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cxsm\Documents\xls\"/>
    </mc:Choice>
  </mc:AlternateContent>
  <xr:revisionPtr revIDLastSave="0" documentId="13_ncr:1_{5FC62762-248A-4948-BA3F-C8EDF4DF809B}" xr6:coauthVersionLast="47" xr6:coauthVersionMax="47" xr10:uidLastSave="{00000000-0000-0000-0000-000000000000}"/>
  <bookViews>
    <workbookView xWindow="-120" yWindow="-120" windowWidth="20730" windowHeight="11040" tabRatio="752" activeTab="7" xr2:uid="{DDEDA552-9E78-46EA-A65F-C0E1B4E5ED7B}"/>
  </bookViews>
  <sheets>
    <sheet name="Sheet3" sheetId="429" r:id="rId1"/>
    <sheet name="KRUISTABEL_IN_UIT" sheetId="354" r:id="rId2"/>
    <sheet name="Sheet2" sheetId="428" r:id="rId3"/>
    <sheet name="KRUISTABEL" sheetId="4" r:id="rId4"/>
    <sheet name="Sheet1" sheetId="427" r:id="rId5"/>
    <sheet name="Sheet4" sheetId="430" r:id="rId6"/>
    <sheet name="kruistabel bron" sheetId="426" r:id="rId7"/>
    <sheet name="INVOER" sheetId="1" r:id="rId8"/>
    <sheet name="RUBRIEKEN" sheetId="256" r:id="rId9"/>
    <sheet name="PER DAG" sheetId="415" r:id="rId10"/>
    <sheet name="AZIE" sheetId="257" r:id="rId11"/>
    <sheet name="Blad28" sheetId="287" r:id="rId12"/>
    <sheet name="Blad29" sheetId="288" r:id="rId13"/>
  </sheets>
  <calcPr calcId="191029"/>
  <pivotCaches>
    <pivotCache cacheId="43" r:id="rId14"/>
    <pivotCache cacheId="47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6" i="1" l="1"/>
  <c r="R7" i="415"/>
  <c r="R6" i="415"/>
  <c r="R5" i="415"/>
  <c r="R4" i="415"/>
  <c r="R3" i="415"/>
  <c r="R2" i="415"/>
  <c r="P7" i="415"/>
  <c r="O7" i="415"/>
  <c r="N7" i="415"/>
  <c r="P6" i="415"/>
  <c r="O6" i="415"/>
  <c r="N6" i="415"/>
  <c r="P5" i="415"/>
  <c r="O5" i="415"/>
  <c r="N5" i="415"/>
  <c r="P4" i="415"/>
  <c r="O4" i="415"/>
  <c r="N4" i="415"/>
  <c r="P3" i="415"/>
  <c r="O3" i="415"/>
  <c r="N3" i="415"/>
  <c r="P2" i="415"/>
  <c r="O2" i="415"/>
  <c r="N2" i="415"/>
</calcChain>
</file>

<file path=xl/sharedStrings.xml><?xml version="1.0" encoding="utf-8"?>
<sst xmlns="http://schemas.openxmlformats.org/spreadsheetml/2006/main" count="2169" uniqueCount="401">
  <si>
    <t>bron</t>
  </si>
  <si>
    <t>jaar</t>
  </si>
  <si>
    <t>datum</t>
  </si>
  <si>
    <t>maand</t>
  </si>
  <si>
    <t>Bedrag</t>
  </si>
  <si>
    <t>Naam tegenpartij</t>
  </si>
  <si>
    <t>hoofdrub</t>
  </si>
  <si>
    <t>rubriek</t>
  </si>
  <si>
    <t>BNPPARIBAS</t>
  </si>
  <si>
    <t>green tiger house</t>
  </si>
  <si>
    <t>AZIE</t>
  </si>
  <si>
    <t>vliegtickets</t>
  </si>
  <si>
    <t>green tigher house</t>
  </si>
  <si>
    <t>eten vliegveld</t>
  </si>
  <si>
    <t>kasopname bali</t>
  </si>
  <si>
    <t>itunes</t>
  </si>
  <si>
    <t>DIV</t>
  </si>
  <si>
    <t>Kosten</t>
  </si>
  <si>
    <t>VASTELASTEN</t>
  </si>
  <si>
    <t>bankkosten</t>
  </si>
  <si>
    <t>PRLV SEPA CARDIF ASSURANCE VIE ECH/060317 ID EMETT</t>
  </si>
  <si>
    <t>overlijdensverz</t>
  </si>
  <si>
    <t>reisverzekering</t>
  </si>
  <si>
    <t>NS GROEP IZ NS REIZIGERS</t>
  </si>
  <si>
    <t>ovchipabo</t>
  </si>
  <si>
    <t>studieschuld</t>
  </si>
  <si>
    <t>STICHTING J O H O</t>
  </si>
  <si>
    <t>div</t>
  </si>
  <si>
    <t>kasopname</t>
  </si>
  <si>
    <t>serenity eco hotel</t>
  </si>
  <si>
    <t>seneman coffee</t>
  </si>
  <si>
    <t>singapore food</t>
  </si>
  <si>
    <t>paypal</t>
  </si>
  <si>
    <t>Debetrente</t>
  </si>
  <si>
    <t>rente</t>
  </si>
  <si>
    <t>internetsites</t>
  </si>
  <si>
    <t>KAS</t>
  </si>
  <si>
    <t>kasverschil</t>
  </si>
  <si>
    <t>BOODSCH</t>
  </si>
  <si>
    <t>boodschappen</t>
  </si>
  <si>
    <t>vodafone beltegoed</t>
  </si>
  <si>
    <t>opladen OV CHOP</t>
  </si>
  <si>
    <t>REIZEN_NL</t>
  </si>
  <si>
    <t>ovchip</t>
  </si>
  <si>
    <t>relay</t>
  </si>
  <si>
    <t>onbekend</t>
  </si>
  <si>
    <t>boek Yoga Sutras</t>
  </si>
  <si>
    <t>boeken</t>
  </si>
  <si>
    <t>UITGAAN</t>
  </si>
  <si>
    <t>espresso</t>
  </si>
  <si>
    <t>uitgaan</t>
  </si>
  <si>
    <t>PRLV SEPA PAYPAL EUROPE S.A.R.L. ET CIE S.C.A ECH/</t>
  </si>
  <si>
    <t>FACTURE CARTE DU 020317 ITUNES.COM/BILL CARTE 4974XXXX</t>
  </si>
  <si>
    <t>FACTURE CARTE DU 030317 ROCKET YOGA ARN CARTE 4974XXXX</t>
  </si>
  <si>
    <t>YOGA</t>
  </si>
  <si>
    <t>yoga</t>
  </si>
  <si>
    <t>rocket yoga</t>
  </si>
  <si>
    <t>KLEDING_PERSVERZ</t>
  </si>
  <si>
    <t>persoonlijke_verzorging</t>
  </si>
  <si>
    <t>kleding</t>
  </si>
  <si>
    <t>FACTURE CARTE DU 180317 TUMMEE.COM MONT CARTE 4974XXXX</t>
  </si>
  <si>
    <t>tummee</t>
  </si>
  <si>
    <t xml:space="preserve"> REMBOURST CB DU 190317 TUMMEE.COM MONT C</t>
  </si>
  <si>
    <t>blendle</t>
  </si>
  <si>
    <t>kapper</t>
  </si>
  <si>
    <t>atac</t>
  </si>
  <si>
    <t>FACTURE CARTE DU 280317 TRANSAVIA CARTE 4974XXXXXXXX87</t>
  </si>
  <si>
    <t>FACTURE CARTE DU 020417 ITUNES.COM/BILL CARTE 4974XXXX</t>
  </si>
  <si>
    <t>COMMISSIONS COTISATION ESPRIT LIBRE</t>
  </si>
  <si>
    <t>PRLV SEPA CARDIF ASSURANCE VIE ECH/050417 ID EMETT</t>
  </si>
  <si>
    <t>Joost</t>
  </si>
  <si>
    <t>wassen</t>
  </si>
  <si>
    <t>SALARIS</t>
  </si>
  <si>
    <t>salaris</t>
  </si>
  <si>
    <t>ZORGVERZ/TOESLAG</t>
  </si>
  <si>
    <t>zorgverzekering</t>
  </si>
  <si>
    <t>FACTURE CARTE DU 020517 ITUNES.COM/BILL CARTE 4974XXXX</t>
  </si>
  <si>
    <t>PRLV SEPA CARDIF ASSURANCE VIE ECH/050517 ID EMETT</t>
  </si>
  <si>
    <t>BELASTINGDIENST</t>
  </si>
  <si>
    <t>fiscus retour</t>
  </si>
  <si>
    <t>COMMISSIONS FORMULE BNP NET. CARTE N : 0004974014048</t>
  </si>
  <si>
    <t>PRLV SEPA CARDIF ASSURANCE VIE ECH/060617 ID EMETT</t>
  </si>
  <si>
    <t>FACTURE CARTE DU 020617 ITUNES.COM/BILL CARTE 4974XXXX</t>
  </si>
  <si>
    <t>repre</t>
  </si>
  <si>
    <t>FACTURE CARTE DU 180617 TUMMEE.COM MONT CARTE 4974XXXX</t>
  </si>
  <si>
    <t>FACTURE CARTE DU 020717 ITUNES.COM/BILL CARTE 4974XXXX</t>
  </si>
  <si>
    <t>FACTURE CARTE DU 020717 OMSTARS.COM OMS CARTE 4974XXXX</t>
  </si>
  <si>
    <t>omstars</t>
  </si>
  <si>
    <t>PRLV SEPA CARDIF ASSURANCE VIE ECH/050717 ID EMETT</t>
  </si>
  <si>
    <t>FACTURE CARTE DU 180717 TUMMEE.COM MONT CARTE 4974XXXX</t>
  </si>
  <si>
    <t>zorgtoeslag</t>
  </si>
  <si>
    <t>FACTURE CARTE DU 020817 ITUNES.COM/BILL CARTE 4974XXXX</t>
  </si>
  <si>
    <t>FACTURE CARTE DU 020817 OMSTARS SUBSCRI CARTE 4974XXXX</t>
  </si>
  <si>
    <t>PRLV SEPA CARDIF ASSURANCE VIE ECH/070817 ID EMETT</t>
  </si>
  <si>
    <t>FACTURE CARTE DU 020917 ITUNES.COM/BILL CARTE 4974XXXX</t>
  </si>
  <si>
    <t>PRLV SEPA CARDIF ASSURANCE VIE ECH/050917 ID EMETT</t>
  </si>
  <si>
    <t>2017 - 10</t>
  </si>
  <si>
    <t>visum</t>
  </si>
  <si>
    <t>FACTURE CARTE DU 031017 ITUNES.COM/BILL CARTE 4974XXXX</t>
  </si>
  <si>
    <t>PRLV SEPA CARDIF ASSURANCE VIE ECH/051017 ID EMETT</t>
  </si>
  <si>
    <t>FACTURE CARTE DU 061017 AMAZON DIGITAL CARTE 4974XXXXX</t>
  </si>
  <si>
    <t>Tandarts</t>
  </si>
  <si>
    <t>FACTURE CARTE DU 181017 PERRY SPORT 04 CARTE 4974XXXXX</t>
  </si>
  <si>
    <t>FACTURE CARTE DU 161017 HOSTEL WORLD CARTE 4974XXXXXXX</t>
  </si>
  <si>
    <t>2017 - 11</t>
  </si>
  <si>
    <t>RETRAIT DAB 03/11/17 BHAGWATI BAHAL NP THAME CARTE 4</t>
  </si>
  <si>
    <t>PRLV SEPA CARDIF ASSURANCE VIE ECH/061117 ID EMETT</t>
  </si>
  <si>
    <t>FACTURE CARTE DU 051117 HOSTEL WORLD CARTE 4974XXXXXXX</t>
  </si>
  <si>
    <t>FACTURE CARTE DU 021117 SUBWAY CARTE 4974XXXXXXXX8716</t>
  </si>
  <si>
    <t>FACTURE CARTE DU 021117 ITUNES.COM/BILL CARTE 4974XXXX</t>
  </si>
  <si>
    <t>RETRAIT DAB 17/11/17 SCB POKHARA BRA NP POKHA CARTE</t>
  </si>
  <si>
    <t>FACTURE CARTE DU 201117 AMAZON DIGITAL CARTE 4974XXXXX</t>
  </si>
  <si>
    <t>2017 - 12</t>
  </si>
  <si>
    <t>PRLV SEPA CARDIF ASSURANCE VIE ECH/051217 ID EMETT</t>
  </si>
  <si>
    <t>FACTURE CARTE DU 021217 ITUNES.COM/BILL CARTE 4974XXXX</t>
  </si>
  <si>
    <t>FACTURE CARTE DU 171217 AIRPORT TEA COF CARTE 4974XXXX</t>
  </si>
  <si>
    <t>FACTURE CARTE DU 181217 GREEN TIGER HOU CARTE 4974XXXX</t>
  </si>
  <si>
    <t>FACTURE CARTE DU 181217 STARBUCKS-KLIA CARTE 4974XXXXX</t>
  </si>
  <si>
    <t>parijs</t>
  </si>
  <si>
    <t>google storage</t>
  </si>
  <si>
    <t>Medium</t>
  </si>
  <si>
    <t>gravit</t>
  </si>
  <si>
    <t>electronica</t>
  </si>
  <si>
    <t>inentingen</t>
  </si>
  <si>
    <t>REIZEN_EUR</t>
  </si>
  <si>
    <t>retour deposit</t>
  </si>
  <si>
    <t xml:space="preserve">kids yoga </t>
  </si>
  <si>
    <t>retour kiva</t>
  </si>
  <si>
    <t>NL22RABO0381604934</t>
  </si>
  <si>
    <t>foodlog</t>
  </si>
  <si>
    <t>kruispost</t>
  </si>
  <si>
    <t>readly</t>
  </si>
  <si>
    <t>STICHTING DERDENGELDEN BUCKAROO</t>
  </si>
  <si>
    <t>OOM HOLDING NV</t>
  </si>
  <si>
    <t>fiets</t>
  </si>
  <si>
    <t>pensioen</t>
  </si>
  <si>
    <t>borg</t>
  </si>
  <si>
    <t>kasverschil infoppoint</t>
  </si>
  <si>
    <t>Blendle</t>
  </si>
  <si>
    <t>Proteinepoeder</t>
  </si>
  <si>
    <t>RABO GOLD CARD</t>
  </si>
  <si>
    <t>hotel</t>
  </si>
  <si>
    <t>2017 - 02</t>
  </si>
  <si>
    <t>2017 - 03</t>
  </si>
  <si>
    <t>2017 - 04</t>
  </si>
  <si>
    <t>2017 - 05</t>
  </si>
  <si>
    <t>2017 - 06</t>
  </si>
  <si>
    <t>2017 - 07</t>
  </si>
  <si>
    <t>2017 - 08</t>
  </si>
  <si>
    <t>2017 - 09</t>
  </si>
  <si>
    <t>Eindtotaal</t>
  </si>
  <si>
    <t>Som van Bedrag</t>
  </si>
  <si>
    <t>microsoft</t>
  </si>
  <si>
    <t>internet_telefoon_NL</t>
  </si>
  <si>
    <t>internet_telefoon_IT</t>
  </si>
  <si>
    <t>POSTEPAY</t>
  </si>
  <si>
    <t>KRUIS</t>
  </si>
  <si>
    <t>azie kasopname/-uitgaves</t>
  </si>
  <si>
    <t>DMK-CNX2 // FACTURE CARTE DU 181217 THAI AIRASIA425 CARTE 4974XXXX</t>
  </si>
  <si>
    <t>DPS-AMS // kiwi.com</t>
  </si>
  <si>
    <t>CNX-DPS // kiwi.com</t>
  </si>
  <si>
    <t>AZIE_VLIEGEN</t>
  </si>
  <si>
    <t>vliegtickets+1</t>
  </si>
  <si>
    <t>vliegtickets_unused</t>
  </si>
  <si>
    <t>AVP verzekering</t>
  </si>
  <si>
    <t>AZIE_VOORAF</t>
  </si>
  <si>
    <t>restaurant</t>
  </si>
  <si>
    <t>snack</t>
  </si>
  <si>
    <t>hotel_rome</t>
  </si>
  <si>
    <t>Chess.com</t>
  </si>
  <si>
    <t>Playstore</t>
  </si>
  <si>
    <t>reanimatie</t>
  </si>
  <si>
    <t>kruis</t>
  </si>
  <si>
    <t>vliegveld</t>
  </si>
  <si>
    <t>Google Playstore</t>
  </si>
  <si>
    <t>internet/telefoon</t>
  </si>
  <si>
    <t>EUR</t>
  </si>
  <si>
    <t xml:space="preserve"> </t>
  </si>
  <si>
    <t>NL24RABO3628561752</t>
  </si>
  <si>
    <t>APWBQB4QWWPHQ2CV</t>
  </si>
  <si>
    <t>NL13ZZZ587241090000</t>
  </si>
  <si>
    <t>BLENDLE</t>
  </si>
  <si>
    <t>NL28DEUT0265186439</t>
  </si>
  <si>
    <t>0W6172F33C5F27B4B868E23B86086A29D5B</t>
  </si>
  <si>
    <t>NL39ZZZ302317620000</t>
  </si>
  <si>
    <t>NL03ZZZ301243580000</t>
  </si>
  <si>
    <t>id</t>
  </si>
  <si>
    <t>USD</t>
  </si>
  <si>
    <t>INR</t>
  </si>
  <si>
    <t>2017 - 01</t>
  </si>
  <si>
    <t>OHRA Schadeverzekeringen</t>
  </si>
  <si>
    <t>NL21ZZZ330520730000</t>
  </si>
  <si>
    <t>D.S.W. Zorgverzekeraar</t>
  </si>
  <si>
    <t>NL81ZZZ241682080000</t>
  </si>
  <si>
    <t>OPMERKINGE</t>
  </si>
  <si>
    <t>LEEG</t>
  </si>
  <si>
    <t>Repre ontvangen</t>
  </si>
  <si>
    <t>NL98INGB0002712510</t>
  </si>
  <si>
    <t>Lidl 475 Panningen PANNINGEN</t>
  </si>
  <si>
    <t>Action 1325 Panningen</t>
  </si>
  <si>
    <t>Spar Enjoy Schatberg SEVENUM</t>
  </si>
  <si>
    <t>NL11RABO0343685310</t>
  </si>
  <si>
    <t>Jumbo PhicoopSevenum SEVENUM</t>
  </si>
  <si>
    <t>Action 1102 Venlo</t>
  </si>
  <si>
    <t>Jan Linders Sevenum SEVENUM</t>
  </si>
  <si>
    <t>Action 1152 Sevenum</t>
  </si>
  <si>
    <t>kringlp oud en nieuw SEVENUM</t>
  </si>
  <si>
    <t>NVV</t>
  </si>
  <si>
    <t>ovfiets</t>
  </si>
  <si>
    <t>kristallen</t>
  </si>
  <si>
    <t>REIZEN_IT</t>
  </si>
  <si>
    <t>kasopname AZIE</t>
  </si>
  <si>
    <t>NL86INGB0002445588</t>
  </si>
  <si>
    <t>proteinepoeder</t>
  </si>
  <si>
    <t>internet_telefoon_nl</t>
  </si>
  <si>
    <t>leeg3</t>
  </si>
  <si>
    <t>avp verzekering</t>
  </si>
  <si>
    <t>medium</t>
  </si>
  <si>
    <t>NL74INGB0004527327</t>
  </si>
  <si>
    <t>Rabobank Nederland</t>
  </si>
  <si>
    <t>Verrekening vorig overzicht</t>
  </si>
  <si>
    <t>pvdd</t>
  </si>
  <si>
    <t>PAYPAL</t>
  </si>
  <si>
    <t>redbubble</t>
  </si>
  <si>
    <t>leeg4</t>
  </si>
  <si>
    <t>LEEG5</t>
  </si>
  <si>
    <t>LEEG6</t>
  </si>
  <si>
    <t>R.C. Smit</t>
  </si>
  <si>
    <t>leeg0</t>
  </si>
  <si>
    <t>Jumbo Panningen PANNINGEN</t>
  </si>
  <si>
    <t>IT47Z3608105138243365043377</t>
  </si>
  <si>
    <t>Kruidvat 3123 PANNINGEN</t>
  </si>
  <si>
    <t>Partycentrum SEVENUM</t>
  </si>
  <si>
    <t>sportkleding</t>
  </si>
  <si>
    <t>BUDGET MOBIEL</t>
  </si>
  <si>
    <t>Xenos Venlo 0029 VENLO</t>
  </si>
  <si>
    <t>McDonald's Maasbree MAASBREE</t>
  </si>
  <si>
    <t>GOOGLE*GOOGLE PLAY APP   IRELAND      IRL</t>
  </si>
  <si>
    <t>Koersopslag</t>
  </si>
  <si>
    <t>debiteuren</t>
  </si>
  <si>
    <t>IN</t>
  </si>
  <si>
    <t>UIT</t>
  </si>
  <si>
    <t>in_uit</t>
  </si>
  <si>
    <t>datum_origineel</t>
  </si>
  <si>
    <t>hostel_azie</t>
  </si>
  <si>
    <t>Bali 2017</t>
  </si>
  <si>
    <t>Nepal 2017</t>
  </si>
  <si>
    <t>Chiang Mai 2017</t>
  </si>
  <si>
    <t>Koh Pagnan 2018</t>
  </si>
  <si>
    <t>Kuala Lumpur 2018</t>
  </si>
  <si>
    <t>SRI LANKA 2018</t>
  </si>
  <si>
    <t>Chiang Mai 2019</t>
  </si>
  <si>
    <t>Koh Pagnan 2019</t>
  </si>
  <si>
    <t>Arambol 2019</t>
  </si>
  <si>
    <t>Bali 2020</t>
  </si>
  <si>
    <t>Koh Pagnan 2020</t>
  </si>
  <si>
    <t>dec 2016/jan 2017</t>
  </si>
  <si>
    <t>feb. 2017</t>
  </si>
  <si>
    <t>nov. 2017</t>
  </si>
  <si>
    <t>dec 2017/jan 2018</t>
  </si>
  <si>
    <t>feb. 2018</t>
  </si>
  <si>
    <t>nov. 2018</t>
  </si>
  <si>
    <t>dec 2018 /jan 2019</t>
  </si>
  <si>
    <t>feb. 2019</t>
  </si>
  <si>
    <t>nov/dec 2019</t>
  </si>
  <si>
    <t>dec 2019/ jan 2020</t>
  </si>
  <si>
    <t>feb. 2020</t>
  </si>
  <si>
    <t>mrt-juni 2020</t>
  </si>
  <si>
    <t>number of days</t>
  </si>
  <si>
    <t>HOTEL</t>
  </si>
  <si>
    <t>BF L D</t>
  </si>
  <si>
    <t>KASUITGAVE</t>
  </si>
  <si>
    <t>Azie hotel</t>
  </si>
  <si>
    <t>Azie_BF_L_D</t>
  </si>
  <si>
    <t>Azie_dagelijkse_uitg</t>
  </si>
  <si>
    <t>Chiang Mai 2018</t>
  </si>
  <si>
    <t>Thailand 2017</t>
  </si>
  <si>
    <t>Thailand 2016</t>
  </si>
  <si>
    <t>Joost uitgave</t>
  </si>
  <si>
    <t xml:space="preserve">DIV </t>
  </si>
  <si>
    <t>Joost lening</t>
  </si>
  <si>
    <t>NL91ABNA0511615140</t>
  </si>
  <si>
    <t>covid</t>
  </si>
  <si>
    <t>hotel vooraf</t>
  </si>
  <si>
    <t>NL46ZZZ271941930000</t>
  </si>
  <si>
    <t>NL87ZZZ281004790000</t>
  </si>
  <si>
    <t>Google Payment IE LTD GooDublin       IRL</t>
  </si>
  <si>
    <t>zorgkosten</t>
  </si>
  <si>
    <t>koersverschillen</t>
  </si>
  <si>
    <t>Column Labels</t>
  </si>
  <si>
    <t>Grand Total</t>
  </si>
  <si>
    <t>Row Labels</t>
  </si>
  <si>
    <t xml:space="preserve">                                                </t>
  </si>
  <si>
    <t>2023 Total</t>
  </si>
  <si>
    <t>UIT_AZIE</t>
  </si>
  <si>
    <t>UIT_AZIE_VOORAF</t>
  </si>
  <si>
    <t>Jumbo Sevenum SEVENUM</t>
  </si>
  <si>
    <t>Stek Venlo</t>
  </si>
  <si>
    <t>Nena Pizza VENLO</t>
  </si>
  <si>
    <t>NL92INGB0005302809</t>
  </si>
  <si>
    <t>Dienst Justis via ING</t>
  </si>
  <si>
    <t>Allerhande Panningen PANNINGEN</t>
  </si>
  <si>
    <t>ITALIAANSE REK</t>
  </si>
  <si>
    <t>UIT_TOT</t>
  </si>
  <si>
    <t>verschil</t>
  </si>
  <si>
    <t>ASIA</t>
  </si>
  <si>
    <t>UIT_VL</t>
  </si>
  <si>
    <t>ABS(bedrag)</t>
  </si>
  <si>
    <t>INKOMSTEN DIV</t>
  </si>
  <si>
    <t>NL06DEUT0265186447</t>
  </si>
  <si>
    <t>Premie polis 7291097</t>
  </si>
  <si>
    <t>TIB7291097</t>
  </si>
  <si>
    <t>REVOLUT</t>
  </si>
  <si>
    <t>(blank)</t>
  </si>
  <si>
    <t>2023 - 01</t>
  </si>
  <si>
    <t>0</t>
  </si>
  <si>
    <t>Sum of Bedrag</t>
  </si>
  <si>
    <t>LEEG2</t>
  </si>
  <si>
    <t>LEEG7</t>
  </si>
  <si>
    <t>LEEG8</t>
  </si>
  <si>
    <t>LEEG9</t>
  </si>
  <si>
    <t>LEEG10</t>
  </si>
  <si>
    <t>TBH</t>
  </si>
  <si>
    <t>ouders</t>
  </si>
  <si>
    <t>OH-671582-2212290157-001-18196773</t>
  </si>
  <si>
    <t>Relatie 8405205 / Verschuldigd per 01/01/2023</t>
  </si>
  <si>
    <t>Abonnement maandelijks papieren    rekeningafschrift                  Periode 01-01-2023 t/m 31-01-2023</t>
  </si>
  <si>
    <t>Rabo TotaalPakket                  Periode 01-01-2023 t/m 31-01-2023</t>
  </si>
  <si>
    <t>2HY8YEKWJSW8VROVKBKI</t>
  </si>
  <si>
    <t>DNR: MHXKLJD - NS International - BuckID: 2HY8YEKWJSW8VROVKBKI</t>
  </si>
  <si>
    <t>9c26fc3a9b8b470b926a53ac1fe5f696</t>
  </si>
  <si>
    <t>Kenmerk: 5210156260200030 / Omschrijving: Premie januari</t>
  </si>
  <si>
    <t>SDDFA2D9234860B4213B5A0019415088F70</t>
  </si>
  <si>
    <t>Foodlog Media B.V. : Foodlog Lid (?202301-35744)</t>
  </si>
  <si>
    <t>18-01-2023 18:17 0051100235665089</t>
  </si>
  <si>
    <t>202301181817183594087398 0051100235665089 Verklaring Omtrent het Gedrag Dienst Justis x4934 pasnr.032</t>
  </si>
  <si>
    <t>IE30CITI99005132956548</t>
  </si>
  <si>
    <t>STR16NANBASQTFJ2ULDXCRANEO3QDFCC9B</t>
  </si>
  <si>
    <t>Blendle Premium</t>
  </si>
  <si>
    <t>D20230118-1262381630-13034543555191</t>
  </si>
  <si>
    <t>Jaarbijdrage JoHo PN:316648-268468</t>
  </si>
  <si>
    <t>NL14ABNA0576850675</t>
  </si>
  <si>
    <t>Factuur: 420008984978</t>
  </si>
  <si>
    <t>COAXX782757605202301171010255120604</t>
  </si>
  <si>
    <t>MAAND FEB. NR. 103261187T300013 VOORSCHOT ZORGTOESLAG 2023 (SMIT ) MEER INFO OP WWW.TOESLAGEN.NL</t>
  </si>
  <si>
    <t>Kaartnummer: ****.****.****.1348   Zie rekeningoverzicht 24-01-2023</t>
  </si>
  <si>
    <t>Belsimpel / Gomibo via Mollie</t>
  </si>
  <si>
    <t>PLUS Musselkanaal MUSSELKANAAL</t>
  </si>
  <si>
    <t>SEP*Opladen OV-Chipkaa UTRECHT</t>
  </si>
  <si>
    <t>Polish Supermarkt Pann PANNINGEN</t>
  </si>
  <si>
    <t>Jan Reijnen B.V. PANNINGEN</t>
  </si>
  <si>
    <t>ROZEMARIJN EN THIJM VENLO</t>
  </si>
  <si>
    <t>Stg. De Bibliotheek REUVER</t>
  </si>
  <si>
    <t>Trekpleister 1522 PANNINGEN</t>
  </si>
  <si>
    <t>Partycentrum de Schatber via PAY.nl</t>
  </si>
  <si>
    <t>3dd37b1eff7d4f3290bb6fad4a8f3b18</t>
  </si>
  <si>
    <t>Kenmerk: 2210156260200037 / Omschrijving: Premie mei</t>
  </si>
  <si>
    <t>Primera Panningen PANNINGEN</t>
  </si>
  <si>
    <t>Kamer van Koophandel via CCV Group BV</t>
  </si>
  <si>
    <t>GOOGLE*GOOGLE STORAGE    Dublin       IRL</t>
  </si>
  <si>
    <t>Food Plus 807            DUBAI        ARE</t>
  </si>
  <si>
    <t>EMIRATES LEIS CONB DXB   DUBAI        ARE</t>
  </si>
  <si>
    <t>GOOGLE*GOOGLE PLAY APP   Dublin       IRL</t>
  </si>
  <si>
    <t>GOOGLE*GOOGLE STORAGE    G.CO/HELPPAY#IRL</t>
  </si>
  <si>
    <t>Google Payment IrelandLTDDublin       IRL</t>
  </si>
  <si>
    <t>LEEG04</t>
  </si>
  <si>
    <t>2023 - 02</t>
  </si>
  <si>
    <t>2023 - 03</t>
  </si>
  <si>
    <t>2023 - 04</t>
  </si>
  <si>
    <t>2023 - 05</t>
  </si>
  <si>
    <t>Microsoft</t>
  </si>
  <si>
    <t>Iris Kocks</t>
  </si>
  <si>
    <t>bol.com b.v. - CO melder</t>
  </si>
  <si>
    <t>CCV*VAN CRANENBROEK BUDEL gitaar en wat kleding</t>
  </si>
  <si>
    <t>zorgverzekering eigen risico</t>
  </si>
  <si>
    <t>EP:Tummers Panningen PANNINGEN koptelefoon</t>
  </si>
  <si>
    <t>Holland &amp; Barrett VENLO gebroken lijnzaad en edelgist</t>
  </si>
  <si>
    <t>Primera Aarle Rixtel AARLE-RIXTEL kadootje kleinkind henriette</t>
  </si>
  <si>
    <t>Rabo Betaalverzoek kofffer samsonite</t>
  </si>
  <si>
    <t>STICHTING DERDENGELDEN BUCKAROO geld terug reis hamburg</t>
  </si>
  <si>
    <t>(blank) Total</t>
  </si>
  <si>
    <t>BOODSCH Total</t>
  </si>
  <si>
    <t>LEEG4</t>
  </si>
  <si>
    <t>main_category</t>
  </si>
  <si>
    <t>category</t>
  </si>
  <si>
    <t>income_expenses</t>
  </si>
  <si>
    <t>Description</t>
  </si>
  <si>
    <t>date</t>
  </si>
  <si>
    <t>source</t>
  </si>
  <si>
    <t>revolut</t>
  </si>
  <si>
    <t>starting balance</t>
  </si>
  <si>
    <t>cash</t>
  </si>
  <si>
    <t>STARTING_BALANCE</t>
  </si>
  <si>
    <t>crypto</t>
  </si>
  <si>
    <t>WERKGEVEER B.V.</t>
  </si>
  <si>
    <t>S</t>
  </si>
  <si>
    <t>R.C. Jansen</t>
  </si>
  <si>
    <t>Iris Jansen TOTAAL 74,14</t>
  </si>
  <si>
    <t>Iris Jansen LOPENDE REKENING</t>
  </si>
  <si>
    <t>Iris Jansen LOPENDE REKENING schrift+mok</t>
  </si>
  <si>
    <t>Iris Jansen TOTAAL 74,14 blender en haakjes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</si>
</sst>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€&quot;\ #,##0;[Red]&quot;€&quot;\ \-#,##0"/>
    <numFmt numFmtId="8" formatCode="&quot;€&quot;\ #,##0.00;[Red]&quot;€&quot;\ \-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8"/>
      <color rgb="FF191919"/>
      <name val="Arial"/>
      <family val="2"/>
    </font>
    <font>
      <sz val="8"/>
      <color theme="1"/>
      <name val="Arial"/>
      <family val="2"/>
    </font>
    <font>
      <sz val="10"/>
      <color rgb="FF19191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1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0"/>
      <color theme="1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9D08E"/>
        <bgColor rgb="FF000000"/>
      </patternFill>
    </fill>
    <fill>
      <patternFill patternType="solid">
        <fgColor rgb="FFD6DCE4"/>
        <bgColor rgb="FF000000"/>
      </patternFill>
    </fill>
  </fills>
  <borders count="2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3" fillId="0" borderId="0"/>
    <xf numFmtId="0" fontId="5" fillId="0" borderId="0"/>
    <xf numFmtId="0" fontId="6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11" applyNumberFormat="0" applyFill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4" fillId="0" borderId="0" applyNumberFormat="0" applyFill="0" applyBorder="0" applyAlignment="0" applyProtection="0"/>
    <xf numFmtId="0" fontId="15" fillId="13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14" applyNumberFormat="0" applyAlignment="0" applyProtection="0"/>
    <xf numFmtId="0" fontId="19" fillId="17" borderId="15" applyNumberFormat="0" applyAlignment="0" applyProtection="0"/>
    <xf numFmtId="0" fontId="20" fillId="17" borderId="14" applyNumberFormat="0" applyAlignment="0" applyProtection="0"/>
    <xf numFmtId="0" fontId="21" fillId="0" borderId="16" applyNumberFormat="0" applyFill="0" applyAlignment="0" applyProtection="0"/>
    <xf numFmtId="0" fontId="22" fillId="18" borderId="17" applyNumberFormat="0" applyAlignment="0" applyProtection="0"/>
    <xf numFmtId="0" fontId="23" fillId="0" borderId="0" applyNumberFormat="0" applyFill="0" applyBorder="0" applyAlignment="0" applyProtection="0"/>
    <xf numFmtId="0" fontId="1" fillId="19" borderId="1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19" applyNumberFormat="0" applyFill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2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</cellStyleXfs>
  <cellXfs count="78">
    <xf numFmtId="0" fontId="0" fillId="0" borderId="0" xfId="0"/>
    <xf numFmtId="14" fontId="0" fillId="0" borderId="0" xfId="0" applyNumberFormat="1"/>
    <xf numFmtId="0" fontId="4" fillId="0" borderId="0" xfId="1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pivotButton="1"/>
    <xf numFmtId="0" fontId="0" fillId="4" borderId="0" xfId="0" applyFill="1"/>
    <xf numFmtId="0" fontId="0" fillId="5" borderId="0" xfId="0" applyFill="1"/>
    <xf numFmtId="0" fontId="4" fillId="0" borderId="0" xfId="0" applyFont="1" applyAlignment="1">
      <alignment horizontal="left"/>
    </xf>
    <xf numFmtId="0" fontId="4" fillId="0" borderId="0" xfId="0" applyFont="1"/>
    <xf numFmtId="14" fontId="4" fillId="0" borderId="0" xfId="0" applyNumberFormat="1" applyFont="1"/>
    <xf numFmtId="0" fontId="3" fillId="0" borderId="0" xfId="0" applyFont="1"/>
    <xf numFmtId="0" fontId="5" fillId="0" borderId="0" xfId="2"/>
    <xf numFmtId="0" fontId="4" fillId="3" borderId="0" xfId="0" applyFont="1" applyFill="1"/>
    <xf numFmtId="0" fontId="4" fillId="3" borderId="0" xfId="0" applyFont="1" applyFill="1" applyAlignment="1">
      <alignment horizontal="left"/>
    </xf>
    <xf numFmtId="0" fontId="4" fillId="6" borderId="0" xfId="0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0" fontId="0" fillId="7" borderId="0" xfId="0" applyFill="1"/>
    <xf numFmtId="14" fontId="0" fillId="7" borderId="0" xfId="0" applyNumberFormat="1" applyFill="1"/>
    <xf numFmtId="0" fontId="0" fillId="0" borderId="0" xfId="0" applyAlignment="1">
      <alignment horizontal="left" inden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8" borderId="5" xfId="0" applyFont="1" applyFill="1" applyBorder="1" applyAlignment="1">
      <alignment vertical="center" wrapText="1"/>
    </xf>
    <xf numFmtId="0" fontId="8" fillId="8" borderId="6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8" borderId="5" xfId="0" applyFont="1" applyFill="1" applyBorder="1" applyAlignment="1">
      <alignment vertical="top" wrapText="1"/>
    </xf>
    <xf numFmtId="0" fontId="10" fillId="8" borderId="6" xfId="0" applyFont="1" applyFill="1" applyBorder="1" applyAlignment="1">
      <alignment horizontal="center" vertical="top" wrapText="1"/>
    </xf>
    <xf numFmtId="0" fontId="2" fillId="0" borderId="6" xfId="0" applyFont="1" applyBorder="1" applyAlignment="1">
      <alignment horizontal="center" wrapText="1"/>
    </xf>
    <xf numFmtId="0" fontId="2" fillId="0" borderId="6" xfId="0" applyFont="1" applyBorder="1" applyAlignment="1">
      <alignment horizontal="right" wrapText="1"/>
    </xf>
    <xf numFmtId="0" fontId="2" fillId="0" borderId="7" xfId="0" applyFont="1" applyBorder="1" applyAlignment="1">
      <alignment horizontal="right" wrapText="1"/>
    </xf>
    <xf numFmtId="0" fontId="2" fillId="0" borderId="5" xfId="0" applyFont="1" applyBorder="1" applyAlignment="1">
      <alignment wrapText="1"/>
    </xf>
    <xf numFmtId="8" fontId="0" fillId="0" borderId="0" xfId="0" applyNumberFormat="1"/>
    <xf numFmtId="8" fontId="2" fillId="0" borderId="6" xfId="0" applyNumberFormat="1" applyFont="1" applyBorder="1" applyAlignment="1">
      <alignment horizontal="right" wrapText="1"/>
    </xf>
    <xf numFmtId="6" fontId="0" fillId="0" borderId="0" xfId="0" applyNumberFormat="1"/>
    <xf numFmtId="14" fontId="8" fillId="8" borderId="6" xfId="0" applyNumberFormat="1" applyFont="1" applyFill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 wrapText="1"/>
    </xf>
    <xf numFmtId="14" fontId="9" fillId="0" borderId="8" xfId="0" applyNumberFormat="1" applyFont="1" applyBorder="1" applyAlignment="1">
      <alignment horizontal="center" vertical="center" wrapText="1"/>
    </xf>
    <xf numFmtId="8" fontId="2" fillId="0" borderId="0" xfId="0" applyNumberFormat="1" applyFont="1" applyAlignment="1">
      <alignment horizontal="right"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horizontal="center" wrapText="1"/>
    </xf>
    <xf numFmtId="0" fontId="2" fillId="0" borderId="10" xfId="0" applyFont="1" applyBorder="1" applyAlignment="1">
      <alignment wrapText="1"/>
    </xf>
    <xf numFmtId="0" fontId="2" fillId="0" borderId="2" xfId="0" applyFont="1" applyBorder="1" applyAlignment="1">
      <alignment horizontal="center" wrapText="1"/>
    </xf>
    <xf numFmtId="0" fontId="10" fillId="9" borderId="6" xfId="0" applyFont="1" applyFill="1" applyBorder="1" applyAlignment="1">
      <alignment horizontal="center" vertical="top" wrapText="1"/>
    </xf>
    <xf numFmtId="8" fontId="2" fillId="9" borderId="6" xfId="0" applyNumberFormat="1" applyFont="1" applyFill="1" applyBorder="1" applyAlignment="1">
      <alignment horizontal="right" wrapText="1"/>
    </xf>
    <xf numFmtId="0" fontId="2" fillId="9" borderId="6" xfId="0" applyFont="1" applyFill="1" applyBorder="1" applyAlignment="1">
      <alignment horizontal="center" wrapText="1"/>
    </xf>
    <xf numFmtId="0" fontId="2" fillId="9" borderId="6" xfId="0" applyFont="1" applyFill="1" applyBorder="1" applyAlignment="1">
      <alignment horizontal="right" wrapText="1"/>
    </xf>
    <xf numFmtId="8" fontId="2" fillId="10" borderId="6" xfId="0" applyNumberFormat="1" applyFont="1" applyFill="1" applyBorder="1" applyAlignment="1">
      <alignment horizontal="right" wrapText="1"/>
    </xf>
    <xf numFmtId="0" fontId="2" fillId="10" borderId="6" xfId="0" applyFont="1" applyFill="1" applyBorder="1" applyAlignment="1">
      <alignment horizontal="right" wrapText="1"/>
    </xf>
    <xf numFmtId="0" fontId="0" fillId="11" borderId="0" xfId="0" applyFill="1"/>
    <xf numFmtId="0" fontId="0" fillId="12" borderId="0" xfId="0" applyFill="1"/>
    <xf numFmtId="0" fontId="4" fillId="5" borderId="0" xfId="0" applyFont="1" applyFill="1"/>
    <xf numFmtId="0" fontId="0" fillId="7" borderId="1" xfId="0" applyFill="1" applyBorder="1"/>
    <xf numFmtId="0" fontId="0" fillId="0" borderId="0" xfId="0" applyAlignment="1">
      <alignment horizontal="left" indent="2"/>
    </xf>
    <xf numFmtId="0" fontId="0" fillId="0" borderId="0" xfId="0" pivotButton="1" applyAlignment="1">
      <alignment horizontal="left"/>
    </xf>
    <xf numFmtId="0" fontId="4" fillId="0" borderId="0" xfId="0" applyFont="1" applyBorder="1"/>
    <xf numFmtId="14" fontId="0" fillId="7" borderId="0" xfId="0" applyNumberFormat="1" applyFill="1" applyBorder="1"/>
    <xf numFmtId="0" fontId="0" fillId="0" borderId="0" xfId="0" applyBorder="1" applyAlignment="1">
      <alignment horizontal="right"/>
    </xf>
    <xf numFmtId="0" fontId="4" fillId="0" borderId="1" xfId="0" applyFont="1" applyBorder="1" applyAlignment="1">
      <alignment horizontal="right"/>
    </xf>
    <xf numFmtId="0" fontId="0" fillId="7" borderId="0" xfId="0" applyFill="1" applyBorder="1"/>
    <xf numFmtId="0" fontId="4" fillId="5" borderId="0" xfId="0" applyFont="1" applyFill="1" applyBorder="1"/>
    <xf numFmtId="0" fontId="4" fillId="7" borderId="0" xfId="0" applyFont="1" applyFill="1"/>
    <xf numFmtId="0" fontId="29" fillId="0" borderId="0" xfId="0" applyFont="1"/>
    <xf numFmtId="0" fontId="29" fillId="44" borderId="0" xfId="0" applyFont="1" applyFill="1"/>
    <xf numFmtId="0" fontId="29" fillId="45" borderId="0" xfId="0" applyFont="1" applyFill="1"/>
    <xf numFmtId="0" fontId="0" fillId="0" borderId="0" xfId="0" applyNumberFormat="1"/>
    <xf numFmtId="0" fontId="27" fillId="0" borderId="0" xfId="0" applyFont="1" applyBorder="1" applyAlignment="1">
      <alignment wrapText="1"/>
    </xf>
    <xf numFmtId="0" fontId="28" fillId="0" borderId="0" xfId="0" applyFont="1" applyBorder="1" applyAlignment="1">
      <alignment wrapText="1"/>
    </xf>
    <xf numFmtId="0" fontId="30" fillId="0" borderId="0" xfId="0" applyFont="1" applyBorder="1" applyAlignment="1">
      <alignment horizontal="right" wrapText="1"/>
    </xf>
    <xf numFmtId="0" fontId="30" fillId="0" borderId="0" xfId="0" applyFont="1"/>
    <xf numFmtId="0" fontId="7" fillId="0" borderId="0" xfId="0" applyFont="1" applyBorder="1" applyAlignment="1">
      <alignment horizontal="right"/>
    </xf>
    <xf numFmtId="0" fontId="30" fillId="0" borderId="1" xfId="0" applyFont="1" applyBorder="1" applyAlignment="1">
      <alignment horizontal="right" wrapText="1"/>
    </xf>
  </cellXfs>
  <cellStyles count="46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e 2" xfId="1" xr:uid="{E5CF4D73-A34B-4695-ADBA-DAA07A344651}"/>
    <cellStyle name="Note" xfId="19" builtinId="10" customBuiltin="1"/>
    <cellStyle name="Output" xfId="14" builtinId="21" customBuiltin="1"/>
    <cellStyle name="Standaard 2" xfId="2" xr:uid="{25D16E53-2028-49A2-A679-48A5EC536AE9}"/>
    <cellStyle name="Standaard 3" xfId="3" xr:uid="{9FA28151-A5E3-442A-A0C8-A2FECE48ABEB}"/>
    <cellStyle name="Standaard 4" xfId="4" xr:uid="{33F3E300-9F64-4A86-98D6-6BD81AF761CD}"/>
    <cellStyle name="Title" xfId="5" builtinId="15" customBuiltin="1"/>
    <cellStyle name="Total" xfId="21" builtinId="25" customBuiltin="1"/>
    <cellStyle name="Warning Text" xfId="18" builtinId="11" customBuiltin="1"/>
  </cellStyles>
  <dxfs count="5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é Smit" refreshedDate="45054.810593518516" createdVersion="8" refreshedVersion="8" minRefreshableVersion="3" recordCount="3999" xr:uid="{E2369411-13F6-4716-A2C2-04A29E0AA785}">
  <cacheSource type="worksheet">
    <worksheetSource ref="A1:H170" sheet="INVOER"/>
  </cacheSource>
  <cacheFields count="14">
    <cacheField name="id" numFmtId="0">
      <sharedItems containsString="0" containsBlank="1" containsNumber="1" containsInteger="1" minValue="1" maxValue="202305163"/>
    </cacheField>
    <cacheField name="bron" numFmtId="0">
      <sharedItems containsBlank="1"/>
    </cacheField>
    <cacheField name="leeg0" numFmtId="0">
      <sharedItems containsBlank="1"/>
    </cacheField>
    <cacheField name="jaar" numFmtId="0">
      <sharedItems containsString="0" containsBlank="1" containsNumber="1" containsInteger="1" minValue="2017" maxValue="2023" count="8">
        <n v="2023"/>
        <n v="2017"/>
        <n v="2018"/>
        <n v="2019"/>
        <n v="2020"/>
        <n v="2021"/>
        <n v="2022"/>
        <m/>
      </sharedItems>
    </cacheField>
    <cacheField name="maand" numFmtId="0">
      <sharedItems containsBlank="1" count="82">
        <s v="2023 - 02"/>
        <s v="2017 - 01"/>
        <s v="2017 - 02"/>
        <s v="2017 - 10"/>
        <s v="2017 - 11"/>
        <s v="2017 - 12"/>
        <s v="2018 -  1"/>
        <s v="2018 - 11"/>
        <s v="2018 - 12"/>
        <s v="2018 - 02"/>
        <s v="2018 - 03"/>
        <s v="2018 - 10"/>
        <s v="2018 - 09"/>
        <s v="2019 -  1"/>
        <s v="2019 - 03"/>
        <s v="2019 - 02"/>
        <s v="2019 - 11"/>
        <s v="2019 - 12"/>
        <s v="2019 - 09"/>
        <s v="2020 - 02"/>
        <s v="2020 - 01"/>
        <s v="2020 - 03"/>
        <s v="2020 - 04"/>
        <s v="2020 - 05"/>
        <s v="2020 - 06"/>
        <s v="2021 - 10"/>
        <s v="2021 - 11"/>
        <s v="2021 - 12"/>
        <s v="2022 - 01"/>
        <s v="2022 - 02"/>
        <s v="2022 - 03"/>
        <s v="2022 - 04"/>
        <s v="2022 - 05"/>
        <s v="2022 - 12"/>
        <s v="2022 - 10"/>
        <s v="2022 - 11"/>
        <s v="2017 - 07"/>
        <s v="2018 - 08"/>
        <s v="2019 - 07"/>
        <s v="2019 - 10"/>
        <s v="2022 - 08"/>
        <s v="2019 - 08"/>
        <s v="2023 - 01"/>
        <s v="2017 - 03"/>
        <s v="2017 - 04"/>
        <s v="2017 - 05"/>
        <s v="2017 - 06"/>
        <s v="2017 - 08"/>
        <s v="2017 - 09"/>
        <s v="2018 - 04"/>
        <s v="2018 - 05"/>
        <s v="2018 - 06"/>
        <s v="2018 - 07"/>
        <s v="2019 - 04"/>
        <s v="2019 - 05"/>
        <s v="2019 - 06"/>
        <s v="2020 - 07"/>
        <s v="2020 - 10"/>
        <s v="2020 - 12"/>
        <s v="2020 - 11"/>
        <s v="2020 - 08"/>
        <s v="2020 - 09"/>
        <s v="2021 - 02"/>
        <s v="2021 - 03"/>
        <s v="2021 - 09"/>
        <s v="2021 - 01"/>
        <s v="2021 - 04"/>
        <s v="2021 - 05"/>
        <s v="2021 - 06"/>
        <s v="2021 - 07"/>
        <s v="2021 - 08"/>
        <s v="2022 - 06"/>
        <s v="2022 - 07"/>
        <s v="2022 - 09"/>
        <s v="2023 - 03"/>
        <s v="2023 - 04"/>
        <s v="2023 - 05"/>
        <s v="2013 - 13"/>
        <s v="2017 - 13"/>
        <s v="2018 - 13"/>
        <s v="2020 - 13"/>
        <m/>
      </sharedItems>
    </cacheField>
    <cacheField name="datum" numFmtId="0">
      <sharedItems containsDate="1" containsBlank="1" containsMixedTypes="1" minDate="2013-12-31T00:00:00" maxDate="2023-02-21T00:00:00"/>
    </cacheField>
    <cacheField name="datum_origineel" numFmtId="0">
      <sharedItems containsDate="1" containsString="0" containsBlank="1" containsMixedTypes="1" minDate="2017-01-02T00:00:00" maxDate="2021-11-03T00:00:00"/>
    </cacheField>
    <cacheField name="Bedrag" numFmtId="0">
      <sharedItems containsString="0" containsBlank="1" containsNumber="1" minValue="-2100" maxValue="3252.11"/>
    </cacheField>
    <cacheField name="ABS(bedrag)" numFmtId="0">
      <sharedItems containsString="0" containsBlank="1" containsNumber="1" minValue="-50.51" maxValue="10628.02"/>
    </cacheField>
    <cacheField name="leeg3" numFmtId="0">
      <sharedItems containsBlank="1" containsMixedTypes="1" containsNumber="1" minValue="-833.95" maxValue="681.83"/>
    </cacheField>
    <cacheField name="Naam tegenpartij" numFmtId="0">
      <sharedItems containsBlank="1"/>
    </cacheField>
    <cacheField name="in_uit" numFmtId="0">
      <sharedItems containsBlank="1" containsMixedTypes="1" containsNumber="1" containsInteger="1" minValue="3" maxValue="3" count="8">
        <s v="UIT_AZIE"/>
        <s v="UIT"/>
        <s v="UIT_AZIE_VOORAF"/>
        <s v="IN"/>
        <s v="KRUIS"/>
        <s v="UIT_VL"/>
        <m/>
        <n v="3" u="1"/>
      </sharedItems>
    </cacheField>
    <cacheField name="hoofdrub" numFmtId="0">
      <sharedItems containsBlank="1" count="17">
        <s v="AZIE"/>
        <s v="AZIE_VLIEGEN"/>
        <s v="AZIE_VOORAF"/>
        <s v="BOODSCH"/>
        <s v="DIV"/>
        <s v="INKOMSTEN DIV"/>
        <s v="KLEDING_PERSVERZ"/>
        <s v="KRUIS"/>
        <s v="REIZEN_EUR"/>
        <s v="REIZEN_IT"/>
        <s v="REIZEN_NL"/>
        <s v="SALARIS"/>
        <s v="UITGAAN"/>
        <s v="VASTELASTEN"/>
        <s v="YOGA"/>
        <m/>
        <s v="`" u="1"/>
      </sharedItems>
    </cacheField>
    <cacheField name="rubriek" numFmtId="0">
      <sharedItems containsBlank="1" count="97">
        <s v="vliegveld"/>
        <s v="hostel_azie"/>
        <s v="azie kasopname/-uitgaves"/>
        <s v="hotel vooraf"/>
        <s v="hotel"/>
        <s v="azie dagelijkse uitgaven"/>
        <s v="Azie_pinautomaat"/>
        <s v="hotel_vooraf"/>
        <s v="vliegtickets"/>
        <s v="vliegtickets+1"/>
        <s v="vliegtickets_unused"/>
        <s v="visum"/>
        <s v="reisverzekering"/>
        <s v="inentingen"/>
        <s v="covid"/>
        <s v="div"/>
        <s v="boodschappen"/>
        <s v="proteinepoeder"/>
        <s v="itunes"/>
        <s v="onbekend"/>
        <s v="boeken"/>
        <s v="kasverschil"/>
        <s v="repre"/>
        <s v="rente"/>
        <s v="joost repre"/>
        <s v="parijs"/>
        <s v="joost"/>
        <s v="electronica"/>
        <s v="playstore"/>
        <s v="hotel_rome"/>
        <s v="borg"/>
        <s v="kasverschil infoppoint"/>
        <s v="fiets"/>
        <s v="reanimatie"/>
        <s v="kristallen"/>
        <s v="lego"/>
        <s v="lazada"/>
        <s v="joost lening"/>
        <s v="joost gift"/>
        <s v="debiteuren"/>
        <s v="koersverschillen"/>
        <s v="Cryptocurr"/>
        <s v="covidtests"/>
        <s v="fiscus retour"/>
        <s v="retour kiva"/>
        <s v="retour deposit"/>
        <s v="repre in"/>
        <s v="pensioen"/>
        <s v="redbubble"/>
        <s v="kleding"/>
        <s v="wassen"/>
        <s v="kapper"/>
        <s v="persoonlijke_verzorging"/>
        <s v="tandarts"/>
        <s v="sportkleding"/>
        <s v="schoenen"/>
        <s v="medische kosten"/>
        <s v="zorgkosten"/>
        <s v="KRUIS"/>
        <s v="REIZEN_EUR"/>
        <s v="atac"/>
        <s v="ovchip"/>
        <s v="ovfiets"/>
        <s v="salaris"/>
        <s v="uitgaan"/>
        <s v="snack"/>
        <s v="espresso"/>
        <s v="restaurant"/>
        <s v="dagtrips"/>
        <s v="overlijdensverz"/>
        <s v="internet_telefoon_nl"/>
        <s v="tummee"/>
        <s v="blendle"/>
        <s v="microsoft"/>
        <s v="bankkosten"/>
        <s v="omstars"/>
        <s v="internet_telefoon_it"/>
        <s v="ovchipabo"/>
        <s v="studieschuld"/>
        <s v="internetsites"/>
        <s v="avp verzekering"/>
        <s v="zorgverzekering"/>
        <s v="zorgtoeslag"/>
        <s v="google storage"/>
        <s v="medium"/>
        <s v="gravit"/>
        <s v="chess.com"/>
        <s v="foodlog"/>
        <s v="readly"/>
        <s v="nvv"/>
        <s v="pvdd"/>
        <s v="zorgverzekering eigen risico"/>
        <s v="yoga"/>
        <s v="kids yoga "/>
        <s v="acroyoga"/>
        <s v="yogabenodigdhede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é Smit" refreshedDate="45054.811179166667" createdVersion="8" refreshedVersion="8" minRefreshableVersion="3" recordCount="3999" xr:uid="{3D5E3D1A-707B-45C1-8E7F-A5560E5DCC15}">
  <cacheSource type="worksheet">
    <worksheetSource ref="A1:R170" sheet="INVOER"/>
  </cacheSource>
  <cacheFields count="24">
    <cacheField name="id" numFmtId="0">
      <sharedItems containsString="0" containsBlank="1" containsNumber="1" containsInteger="1" minValue="1" maxValue="202305163"/>
    </cacheField>
    <cacheField name="bron" numFmtId="0">
      <sharedItems containsBlank="1" count="12">
        <s v="RABO GOLD CARD"/>
        <s v="BNPPARIBAS"/>
        <s v="KRUIS"/>
        <s v="NL22RABO0381604934"/>
        <s v="POSTEPAY"/>
        <s v="KAS"/>
        <s v="REVOLUT"/>
        <m/>
        <s v="NL24RABO3628561752"/>
        <s v="PAYPAL"/>
        <s v="IT47Z3608105138243365043377"/>
        <s v="ITALIAANSE REK"/>
      </sharedItems>
    </cacheField>
    <cacheField name="leeg0" numFmtId="0">
      <sharedItems containsBlank="1"/>
    </cacheField>
    <cacheField name="jaar" numFmtId="0">
      <sharedItems containsString="0" containsBlank="1" containsNumber="1" containsInteger="1" minValue="2017" maxValue="2023" count="8">
        <n v="2023"/>
        <n v="2017"/>
        <n v="2018"/>
        <n v="2019"/>
        <n v="2020"/>
        <n v="2021"/>
        <n v="2022"/>
        <m/>
      </sharedItems>
    </cacheField>
    <cacheField name="maand" numFmtId="0">
      <sharedItems containsBlank="1" count="82">
        <s v="2023 - 02"/>
        <s v="2017 - 01"/>
        <s v="2017 - 02"/>
        <s v="2017 - 10"/>
        <s v="2017 - 11"/>
        <s v="2017 - 12"/>
        <s v="2018 -  1"/>
        <s v="2018 - 11"/>
        <s v="2018 - 12"/>
        <s v="2018 - 02"/>
        <s v="2018 - 03"/>
        <s v="2018 - 10"/>
        <s v="2018 - 09"/>
        <s v="2019 -  1"/>
        <s v="2019 - 03"/>
        <s v="2019 - 02"/>
        <s v="2019 - 11"/>
        <s v="2019 - 12"/>
        <s v="2019 - 09"/>
        <s v="2020 - 02"/>
        <s v="2020 - 01"/>
        <s v="2020 - 03"/>
        <s v="2020 - 04"/>
        <s v="2020 - 05"/>
        <s v="2020 - 06"/>
        <s v="2021 - 10"/>
        <s v="2021 - 11"/>
        <s v="2021 - 12"/>
        <s v="2022 - 01"/>
        <s v="2022 - 02"/>
        <s v="2022 - 03"/>
        <s v="2022 - 04"/>
        <s v="2022 - 05"/>
        <s v="2022 - 12"/>
        <s v="2022 - 10"/>
        <s v="2022 - 11"/>
        <s v="2017 - 07"/>
        <s v="2018 - 08"/>
        <s v="2019 - 07"/>
        <s v="2019 - 10"/>
        <s v="2022 - 08"/>
        <s v="2019 - 08"/>
        <s v="2023 - 01"/>
        <s v="2017 - 03"/>
        <s v="2017 - 04"/>
        <s v="2017 - 05"/>
        <s v="2017 - 06"/>
        <s v="2017 - 08"/>
        <s v="2017 - 09"/>
        <s v="2018 - 04"/>
        <s v="2018 - 05"/>
        <s v="2018 - 06"/>
        <s v="2018 - 07"/>
        <s v="2019 - 04"/>
        <s v="2019 - 05"/>
        <s v="2019 - 06"/>
        <s v="2020 - 07"/>
        <s v="2020 - 10"/>
        <s v="2020 - 12"/>
        <s v="2020 - 11"/>
        <s v="2020 - 08"/>
        <s v="2020 - 09"/>
        <s v="2021 - 02"/>
        <s v="2021 - 03"/>
        <s v="2021 - 09"/>
        <s v="2021 - 01"/>
        <s v="2021 - 04"/>
        <s v="2021 - 05"/>
        <s v="2021 - 06"/>
        <s v="2021 - 07"/>
        <s v="2021 - 08"/>
        <s v="2022 - 06"/>
        <s v="2022 - 07"/>
        <s v="2022 - 09"/>
        <s v="2023 - 03"/>
        <s v="2023 - 04"/>
        <s v="2023 - 05"/>
        <s v="2013 - 13"/>
        <s v="2017 - 13"/>
        <s v="2018 - 13"/>
        <s v="2020 - 13"/>
        <m/>
      </sharedItems>
    </cacheField>
    <cacheField name="datum" numFmtId="0">
      <sharedItems containsDate="1" containsBlank="1" containsMixedTypes="1" minDate="2013-12-31T00:00:00" maxDate="2023-02-21T00:00:00"/>
    </cacheField>
    <cacheField name="datum_origineel" numFmtId="0">
      <sharedItems containsDate="1" containsString="0" containsBlank="1" containsMixedTypes="1" minDate="2017-01-02T00:00:00" maxDate="2021-11-03T00:00:00"/>
    </cacheField>
    <cacheField name="Bedrag" numFmtId="0">
      <sharedItems containsString="0" containsBlank="1" containsNumber="1" minValue="-2100" maxValue="3252.11"/>
    </cacheField>
    <cacheField name="ABS(bedrag)" numFmtId="0">
      <sharedItems containsString="0" containsBlank="1" containsNumber="1" minValue="-50.51" maxValue="10628.02"/>
    </cacheField>
    <cacheField name="leeg3" numFmtId="0">
      <sharedItems containsBlank="1" containsMixedTypes="1" containsNumber="1" minValue="-833.95" maxValue="681.83"/>
    </cacheField>
    <cacheField name="Naam tegenpartij" numFmtId="0">
      <sharedItems containsBlank="1"/>
    </cacheField>
    <cacheField name="in_uit" numFmtId="0">
      <sharedItems containsBlank="1"/>
    </cacheField>
    <cacheField name="hoofdrub" numFmtId="0">
      <sharedItems containsBlank="1"/>
    </cacheField>
    <cacheField name="rubriek" numFmtId="0">
      <sharedItems containsBlank="1"/>
    </cacheField>
    <cacheField name="LEEG04" numFmtId="0">
      <sharedItems containsBlank="1" containsMixedTypes="1" containsNumber="1" minValue="-50.51" maxValue="10628.02"/>
    </cacheField>
    <cacheField name="OPMERKINGE" numFmtId="0">
      <sharedItems containsBlank="1" containsMixedTypes="1" containsNumber="1" minValue="-826.74" maxValue="3631"/>
    </cacheField>
    <cacheField name="LEEG5" numFmtId="0">
      <sharedItems containsBlank="1" containsMixedTypes="1" containsNumber="1" minValue="-755.83" maxValue="20007435802080"/>
    </cacheField>
    <cacheField name="LEEG6" numFmtId="0">
      <sharedItems containsBlank="1" containsMixedTypes="1" containsNumber="1" minValue="3" maxValue="3.1368578202302099E+17"/>
    </cacheField>
    <cacheField name="LEEG" numFmtId="0">
      <sharedItems containsBlank="1" containsMixedTypes="1" containsNumber="1" minValue="-111.58" maxValue="3.1215405202104198E+17"/>
    </cacheField>
    <cacheField name="LEEG2" numFmtId="0">
      <sharedItems containsDate="1" containsBlank="1" containsMixedTypes="1" minDate="2020-01-01T00:00:00" maxDate="7043-11-28T04:15:04"/>
    </cacheField>
    <cacheField name="LEEG4" numFmtId="0">
      <sharedItems containsDate="1" containsBlank="1" containsMixedTypes="1" minDate="2020-01-01T00:00:00" maxDate="1900-01-02T15:02:07"/>
    </cacheField>
    <cacheField name="LEEG7" numFmtId="0">
      <sharedItems containsDate="1" containsBlank="1" containsMixedTypes="1" minDate="1900-01-08T02:18:12" maxDate="8083-06-15T22:58:04"/>
    </cacheField>
    <cacheField name="LEEG8" numFmtId="0">
      <sharedItems containsBlank="1" containsMixedTypes="1" containsNumber="1" minValue="1.85" maxValue="8086.51"/>
    </cacheField>
    <cacheField name="LEEG9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9">
  <r>
    <n v="202305149"/>
    <s v="RABO GOLD CARD"/>
    <s v="EUR"/>
    <x v="0"/>
    <x v="0"/>
    <d v="2023-02-20T00:00:00"/>
    <m/>
    <n v="-7.44"/>
    <m/>
    <n v="-7.44"/>
    <s v="EMIRATES LEIS CONB DXB   DUBAI        ARE"/>
    <x v="0"/>
    <x v="0"/>
    <x v="0"/>
  </r>
  <r>
    <n v="1"/>
    <s v="BNPPARIBAS"/>
    <m/>
    <x v="1"/>
    <x v="1"/>
    <d v="2017-01-02T00:00:00"/>
    <d v="2017-01-02T00:00:00"/>
    <n v="-25.07"/>
    <n v="25.07"/>
    <m/>
    <s v="green tiger house"/>
    <x v="0"/>
    <x v="0"/>
    <x v="1"/>
  </r>
  <r>
    <n v="3"/>
    <s v="BNPPARIBAS"/>
    <m/>
    <x v="1"/>
    <x v="1"/>
    <d v="2017-01-02T00:00:00"/>
    <d v="2017-01-02T00:00:00"/>
    <n v="-283.25"/>
    <n v="283.25"/>
    <m/>
    <s v="kasopname AZIE"/>
    <x v="0"/>
    <x v="0"/>
    <x v="2"/>
  </r>
  <r>
    <n v="5"/>
    <s v="BNPPARIBAS"/>
    <m/>
    <x v="1"/>
    <x v="1"/>
    <d v="2017-01-02T00:00:00"/>
    <d v="2017-01-02T00:00:00"/>
    <n v="-23.46"/>
    <n v="23.46"/>
    <m/>
    <s v="green tigher house"/>
    <x v="0"/>
    <x v="0"/>
    <x v="1"/>
  </r>
  <r>
    <n v="6"/>
    <s v="BNPPARIBAS"/>
    <m/>
    <x v="1"/>
    <x v="1"/>
    <d v="2017-01-02T00:00:00"/>
    <d v="2017-01-02T00:00:00"/>
    <n v="-4.47"/>
    <n v="4.47"/>
    <m/>
    <s v="eten vliegveld"/>
    <x v="0"/>
    <x v="0"/>
    <x v="2"/>
  </r>
  <r>
    <n v="7"/>
    <s v="BNPPARIBAS"/>
    <m/>
    <x v="1"/>
    <x v="1"/>
    <d v="2017-01-02T00:00:00"/>
    <d v="2017-01-02T00:00:00"/>
    <n v="-147.06"/>
    <n v="147.06"/>
    <m/>
    <s v="kasopname bali"/>
    <x v="0"/>
    <x v="0"/>
    <x v="2"/>
  </r>
  <r>
    <n v="10"/>
    <s v="BNPPARIBAS"/>
    <m/>
    <x v="1"/>
    <x v="2"/>
    <d v="2017-02-02T00:00:00"/>
    <d v="2017-02-02T00:00:00"/>
    <n v="-2.97"/>
    <n v="2.97"/>
    <m/>
    <s v="eten vliegveld"/>
    <x v="0"/>
    <x v="0"/>
    <x v="2"/>
  </r>
  <r>
    <n v="11"/>
    <s v="BNPPARIBAS"/>
    <m/>
    <x v="1"/>
    <x v="2"/>
    <d v="2017-02-02T00:00:00"/>
    <d v="2017-02-02T00:00:00"/>
    <n v="-183.74"/>
    <n v="183.74"/>
    <m/>
    <s v="kasopname"/>
    <x v="0"/>
    <x v="0"/>
    <x v="2"/>
  </r>
  <r>
    <n v="12"/>
    <s v="BNPPARIBAS"/>
    <m/>
    <x v="1"/>
    <x v="2"/>
    <d v="2017-02-02T00:00:00"/>
    <d v="2017-02-02T00:00:00"/>
    <n v="-12.84"/>
    <n v="12.84"/>
    <m/>
    <s v="serenity eco hotel"/>
    <x v="0"/>
    <x v="0"/>
    <x v="1"/>
  </r>
  <r>
    <n v="13"/>
    <s v="BNPPARIBAS"/>
    <m/>
    <x v="1"/>
    <x v="2"/>
    <d v="2017-02-02T00:00:00"/>
    <d v="2017-02-02T00:00:00"/>
    <n v="-6.85"/>
    <n v="6.85"/>
    <m/>
    <s v="seneman coffee"/>
    <x v="0"/>
    <x v="0"/>
    <x v="2"/>
  </r>
  <r>
    <n v="14"/>
    <s v="BNPPARIBAS"/>
    <m/>
    <x v="1"/>
    <x v="2"/>
    <d v="2017-02-02T00:00:00"/>
    <d v="2017-02-02T00:00:00"/>
    <n v="-185.24"/>
    <n v="185.24"/>
    <m/>
    <s v="kasopname"/>
    <x v="0"/>
    <x v="0"/>
    <x v="2"/>
  </r>
  <r>
    <n v="15"/>
    <s v="BNPPARIBAS"/>
    <m/>
    <x v="1"/>
    <x v="2"/>
    <d v="2017-02-02T00:00:00"/>
    <d v="2017-02-02T00:00:00"/>
    <n v="-185.24"/>
    <n v="185.24"/>
    <m/>
    <s v="kasopname"/>
    <x v="0"/>
    <x v="0"/>
    <x v="2"/>
  </r>
  <r>
    <n v="16"/>
    <s v="BNPPARIBAS"/>
    <m/>
    <x v="1"/>
    <x v="2"/>
    <d v="2017-02-02T00:00:00"/>
    <d v="2017-02-02T00:00:00"/>
    <n v="-94.2"/>
    <n v="94.2"/>
    <m/>
    <s v="kasopname"/>
    <x v="0"/>
    <x v="0"/>
    <x v="2"/>
  </r>
  <r>
    <n v="17"/>
    <s v="BNPPARIBAS"/>
    <m/>
    <x v="1"/>
    <x v="2"/>
    <d v="2017-02-02T00:00:00"/>
    <d v="2017-02-02T00:00:00"/>
    <n v="-7.15"/>
    <n v="7.15"/>
    <m/>
    <s v="singapore food"/>
    <x v="0"/>
    <x v="0"/>
    <x v="2"/>
  </r>
  <r>
    <n v="83"/>
    <s v="BNPPARIBAS"/>
    <m/>
    <x v="1"/>
    <x v="3"/>
    <d v="2017-10-25T00:00:00"/>
    <d v="2017-10-25T00:00:00"/>
    <n v="-2.87"/>
    <n v="2.87"/>
    <m/>
    <s v="FACTURE CARTE DU 161017 HOSTEL WORLD CARTE 4974XXXXXXX"/>
    <x v="0"/>
    <x v="0"/>
    <x v="1"/>
  </r>
  <r>
    <n v="86"/>
    <s v="BNPPARIBAS"/>
    <m/>
    <x v="1"/>
    <x v="4"/>
    <d v="2017-11-06T00:00:00"/>
    <d v="2017-11-06T00:00:00"/>
    <n v="-179.11"/>
    <n v="179.11"/>
    <m/>
    <s v="RETRAIT DAB 03/11/17 BHAGWATI BAHAL NP THAME CARTE 4"/>
    <x v="0"/>
    <x v="0"/>
    <x v="2"/>
  </r>
  <r>
    <n v="88"/>
    <s v="BNPPARIBAS"/>
    <m/>
    <x v="1"/>
    <x v="4"/>
    <d v="2017-11-06T00:00:00"/>
    <d v="2017-11-06T00:00:00"/>
    <n v="-5.8"/>
    <n v="5.8"/>
    <m/>
    <s v="FACTURE CARTE DU 051117 HOSTEL WORLD CARTE 4974XXXXXXX"/>
    <x v="0"/>
    <x v="0"/>
    <x v="1"/>
  </r>
  <r>
    <n v="91"/>
    <s v="BNPPARIBAS"/>
    <m/>
    <x v="1"/>
    <x v="4"/>
    <d v="2017-11-20T00:00:00"/>
    <d v="2017-11-20T00:00:00"/>
    <n v="-301.19"/>
    <n v="301.19"/>
    <m/>
    <s v="RETRAIT DAB 17/11/17 SCB POKHARA BRA NP POKHA CARTE"/>
    <x v="0"/>
    <x v="0"/>
    <x v="2"/>
  </r>
  <r>
    <n v="100"/>
    <s v="BNPPARIBAS"/>
    <m/>
    <x v="1"/>
    <x v="5"/>
    <d v="2017-12-21T00:00:00"/>
    <d v="2017-12-21T00:00:00"/>
    <n v="-75.94"/>
    <n v="75.94"/>
    <m/>
    <s v="FACTURE CARTE DU 181217 GREEN TIGER HOU CARTE 4974XXXX"/>
    <x v="0"/>
    <x v="0"/>
    <x v="1"/>
  </r>
  <r>
    <n v="419"/>
    <s v="KRUIS"/>
    <m/>
    <x v="1"/>
    <x v="2"/>
    <d v="2017-02-01T00:00:00"/>
    <d v="2017-02-01T00:00:00"/>
    <n v="-185.62"/>
    <n v="185.62"/>
    <m/>
    <s v="correctie hostels bali"/>
    <x v="0"/>
    <x v="0"/>
    <x v="1"/>
  </r>
  <r>
    <n v="420"/>
    <s v="KRUIS"/>
    <m/>
    <x v="1"/>
    <x v="2"/>
    <d v="2017-02-01T00:00:00"/>
    <d v="2017-02-01T00:00:00"/>
    <n v="185.62"/>
    <n v="185.62"/>
    <m/>
    <s v="correctie hostels bali"/>
    <x v="0"/>
    <x v="0"/>
    <x v="2"/>
  </r>
  <r>
    <n v="697"/>
    <s v="NL22RABO0381604934"/>
    <m/>
    <x v="1"/>
    <x v="4"/>
    <d v="2017-11-01T00:00:00"/>
    <d v="2017-11-01T00:00:00"/>
    <n v="-18.600000000000001"/>
    <n v="18.600000000000001"/>
    <m/>
    <s v="CCV*STAYOKAY ZEEBURG A AMSTERDAM"/>
    <x v="0"/>
    <x v="0"/>
    <x v="3"/>
  </r>
  <r>
    <n v="702"/>
    <s v="NL22RABO0381604934"/>
    <m/>
    <x v="1"/>
    <x v="4"/>
    <d v="2017-11-09T00:00:00"/>
    <d v="2017-11-09T00:00:00"/>
    <n v="-87.38"/>
    <n v="87.38"/>
    <m/>
    <s v="SCT HBL AFC MAN I BAGMATI NPL"/>
    <x v="0"/>
    <x v="0"/>
    <x v="2"/>
  </r>
  <r>
    <n v="720"/>
    <s v="RABO GOLD CARD"/>
    <m/>
    <x v="1"/>
    <x v="5"/>
    <d v="2017-12-25T00:00:00"/>
    <d v="2017-12-25T00:00:00"/>
    <n v="-77.98"/>
    <n v="77.98"/>
    <m/>
    <s v="GREEN TIGER HOUSE CHIANG MAI TH"/>
    <x v="0"/>
    <x v="0"/>
    <x v="1"/>
  </r>
  <r>
    <n v="721"/>
    <s v="RABO GOLD CARD"/>
    <m/>
    <x v="1"/>
    <x v="5"/>
    <d v="2017-12-31T00:00:00"/>
    <d v="2017-12-31T00:00:00"/>
    <n v="-76.73"/>
    <n v="76.73"/>
    <m/>
    <s v="GREEN TIGER HOUSE CHIANG MAI TH"/>
    <x v="0"/>
    <x v="0"/>
    <x v="1"/>
  </r>
  <r>
    <n v="727"/>
    <s v="BNPPARIBAS"/>
    <m/>
    <x v="2"/>
    <x v="6"/>
    <d v="2018-01-15T00:00:00"/>
    <d v="2018-01-15T00:00:00"/>
    <n v="-277.67"/>
    <n v="277.67"/>
    <m/>
    <s v="RETRAIT DAB 13/01/18 T278B523301B020 TH CHIAN CARTE"/>
    <x v="0"/>
    <x v="0"/>
    <x v="2"/>
  </r>
  <r>
    <n v="785"/>
    <s v="BNPPARIBAS"/>
    <m/>
    <x v="2"/>
    <x v="7"/>
    <d v="2018-11-01T00:00:00"/>
    <d v="2018-11-01T00:00:00"/>
    <n v="-44.36"/>
    <n v="44.36"/>
    <m/>
    <s v="CI hotel colombo"/>
    <x v="0"/>
    <x v="0"/>
    <x v="1"/>
  </r>
  <r>
    <n v="806"/>
    <s v="BNPPARIBAS"/>
    <m/>
    <x v="2"/>
    <x v="8"/>
    <d v="2018-12-01T00:00:00"/>
    <d v="2018-12-01T00:00:00"/>
    <n v="-2.71"/>
    <n v="2.71"/>
    <m/>
    <s v="seven eleven SIN"/>
    <x v="0"/>
    <x v="0"/>
    <x v="2"/>
  </r>
  <r>
    <n v="807"/>
    <s v="BNPPARIBAS"/>
    <m/>
    <x v="2"/>
    <x v="8"/>
    <d v="2018-12-01T00:00:00"/>
    <d v="2018-12-01T00:00:00"/>
    <n v="-2.14"/>
    <n v="2.14"/>
    <m/>
    <s v="seven eleven SIN"/>
    <x v="0"/>
    <x v="0"/>
    <x v="2"/>
  </r>
  <r>
    <n v="1114"/>
    <s v="KRUIS"/>
    <m/>
    <x v="2"/>
    <x v="7"/>
    <d v="2018-11-11T00:00:00"/>
    <d v="2018-11-11T00:00:00"/>
    <n v="-137"/>
    <n v="137"/>
    <m/>
    <s v="Hostel Sri Lanka"/>
    <x v="0"/>
    <x v="0"/>
    <x v="1"/>
  </r>
  <r>
    <n v="1115"/>
    <s v="KRUIS"/>
    <m/>
    <x v="2"/>
    <x v="7"/>
    <d v="2018-11-11T00:00:00"/>
    <d v="2018-11-11T00:00:00"/>
    <n v="137"/>
    <n v="137"/>
    <m/>
    <s v="Hostel Sri Lanka"/>
    <x v="0"/>
    <x v="0"/>
    <x v="2"/>
  </r>
  <r>
    <n v="1116"/>
    <s v="KRUIS"/>
    <m/>
    <x v="2"/>
    <x v="8"/>
    <d v="2018-12-12T00:00:00"/>
    <d v="2018-12-12T00:00:00"/>
    <n v="-272"/>
    <n v="272"/>
    <m/>
    <s v="Hotel GTH "/>
    <x v="0"/>
    <x v="0"/>
    <x v="1"/>
  </r>
  <r>
    <n v="1117"/>
    <s v="KRUIS"/>
    <m/>
    <x v="2"/>
    <x v="8"/>
    <d v="2018-12-12T00:00:00"/>
    <d v="2018-12-12T00:00:00"/>
    <n v="272"/>
    <n v="272"/>
    <m/>
    <s v="Hotel GTH "/>
    <x v="0"/>
    <x v="0"/>
    <x v="2"/>
  </r>
  <r>
    <n v="1118"/>
    <s v="NL22RABO0381604934"/>
    <m/>
    <x v="2"/>
    <x v="6"/>
    <d v="2018-01-01T00:00:00"/>
    <d v="2018-01-01T00:00:00"/>
    <n v="0"/>
    <n v="0"/>
    <m/>
    <s v="UPCA CHIANGMAI THA WAS 600"/>
    <x v="0"/>
    <x v="0"/>
    <x v="2"/>
  </r>
  <r>
    <n v="1123"/>
    <s v="NL22RABO0381604934"/>
    <m/>
    <x v="2"/>
    <x v="6"/>
    <d v="2018-01-29T00:00:00"/>
    <d v="2018-01-29T00:00:00"/>
    <n v="0"/>
    <n v="0"/>
    <m/>
    <s v="RABOBANK NEDERLAND"/>
    <x v="0"/>
    <x v="0"/>
    <x v="2"/>
  </r>
  <r>
    <n v="1127"/>
    <s v="NL22RABO0381604934"/>
    <m/>
    <x v="2"/>
    <x v="9"/>
    <d v="2018-02-07T00:00:00"/>
    <d v="2018-02-07T00:00:00"/>
    <n v="-135.59"/>
    <n v="135.59"/>
    <m/>
    <s v="0006 SURAT THA"/>
    <x v="0"/>
    <x v="0"/>
    <x v="2"/>
  </r>
  <r>
    <n v="1128"/>
    <s v="NL22RABO0381604934"/>
    <m/>
    <x v="2"/>
    <x v="9"/>
    <d v="2018-02-15T00:00:00"/>
    <d v="2018-02-15T00:00:00"/>
    <n v="-126.07"/>
    <n v="126.07"/>
    <m/>
    <s v="MALAYAN BANKING TUN H.S.LEE MYS"/>
    <x v="0"/>
    <x v="0"/>
    <x v="2"/>
  </r>
  <r>
    <n v="1142"/>
    <s v="NL22RABO0381604934"/>
    <m/>
    <x v="2"/>
    <x v="10"/>
    <d v="2018-03-02T00:00:00"/>
    <d v="2018-03-02T00:00:00"/>
    <n v="0"/>
    <n v="0"/>
    <m/>
    <s v="RABOBANK NEDERLAND"/>
    <x v="0"/>
    <x v="0"/>
    <x v="2"/>
  </r>
  <r>
    <n v="1331"/>
    <s v="NL22RABO0381604934"/>
    <m/>
    <x v="2"/>
    <x v="11"/>
    <d v="2018-10-28T00:00:00"/>
    <d v="2018-10-28T00:00:00"/>
    <n v="0"/>
    <n v="0"/>
    <m/>
    <s v="RABOBANK NEDERLAND"/>
    <x v="0"/>
    <x v="0"/>
    <x v="2"/>
  </r>
  <r>
    <n v="1332"/>
    <s v="NL22RABO0381604934"/>
    <m/>
    <x v="2"/>
    <x v="11"/>
    <d v="2018-10-28T00:00:00"/>
    <d v="2018-10-28T00:00:00"/>
    <n v="0"/>
    <n v="0"/>
    <m/>
    <s v="RABOBANK NEDERLAND"/>
    <x v="0"/>
    <x v="0"/>
    <x v="2"/>
  </r>
  <r>
    <n v="1351"/>
    <s v="NL22RABO0381604934"/>
    <m/>
    <x v="2"/>
    <x v="7"/>
    <d v="2018-11-08T00:00:00"/>
    <d v="2018-11-08T00:00:00"/>
    <n v="-4.8099999999999996"/>
    <n v="4.8099999999999996"/>
    <m/>
    <s v="123454093 ABU DHABI ARE"/>
    <x v="0"/>
    <x v="0"/>
    <x v="2"/>
  </r>
  <r>
    <n v="1352"/>
    <s v="NL22RABO0381604934"/>
    <m/>
    <x v="2"/>
    <x v="7"/>
    <d v="2018-11-09T00:00:00"/>
    <d v="2018-11-09T00:00:00"/>
    <n v="-305.75"/>
    <n v="305.75"/>
    <m/>
    <s v="ATM004 Katunayake LKA"/>
    <x v="0"/>
    <x v="0"/>
    <x v="2"/>
  </r>
  <r>
    <n v="1353"/>
    <s v="NL22RABO0381604934"/>
    <m/>
    <x v="2"/>
    <x v="7"/>
    <d v="2018-11-12T00:00:00"/>
    <d v="2018-11-12T00:00:00"/>
    <n v="-52.01"/>
    <n v="52.01"/>
    <m/>
    <s v="Seylan Bank HIKKADUWA LKA"/>
    <x v="0"/>
    <x v="0"/>
    <x v="2"/>
  </r>
  <r>
    <n v="1360"/>
    <s v="NL22RABO0381604934"/>
    <m/>
    <x v="2"/>
    <x v="8"/>
    <d v="2018-12-06T00:00:00"/>
    <d v="2018-12-06T00:00:00"/>
    <n v="-415.14"/>
    <n v="415.14"/>
    <m/>
    <s v="SCB CHIANGMAI THA"/>
    <x v="0"/>
    <x v="0"/>
    <x v="2"/>
  </r>
  <r>
    <n v="1369"/>
    <s v="RABO GOLD CARD"/>
    <m/>
    <x v="2"/>
    <x v="6"/>
    <d v="2018-01-08T00:00:00"/>
    <d v="2018-01-08T00:00:00"/>
    <n v="-76.38"/>
    <n v="76.38"/>
    <m/>
    <s v="GREEN TIGER HOUSE CHIANG MAI TH"/>
    <x v="0"/>
    <x v="0"/>
    <x v="1"/>
  </r>
  <r>
    <n v="1370"/>
    <s v="RABO GOLD CARD"/>
    <m/>
    <x v="2"/>
    <x v="6"/>
    <d v="2018-01-15T00:00:00"/>
    <d v="2018-01-15T00:00:00"/>
    <n v="-79.680000000000007"/>
    <n v="79.680000000000007"/>
    <m/>
    <s v="GREEN TIGER HOUSE CHIANG MAI TH"/>
    <x v="0"/>
    <x v="0"/>
    <x v="1"/>
  </r>
  <r>
    <n v="1371"/>
    <s v="RABO GOLD CARD"/>
    <m/>
    <x v="2"/>
    <x v="6"/>
    <d v="2018-01-22T00:00:00"/>
    <d v="2018-01-22T00:00:00"/>
    <n v="-75.599999999999994"/>
    <n v="75.599999999999994"/>
    <m/>
    <s v="GREEN TIGER HOUSE CHIANG MAI TH"/>
    <x v="0"/>
    <x v="0"/>
    <x v="1"/>
  </r>
  <r>
    <n v="1378"/>
    <s v="RABO GOLD CARD"/>
    <m/>
    <x v="2"/>
    <x v="12"/>
    <d v="2018-09-21T00:00:00"/>
    <d v="2018-09-21T00:00:00"/>
    <n v="-19.57"/>
    <n v="19.57"/>
    <m/>
    <s v="HOSTEL WORLD INTERNET IRL"/>
    <x v="0"/>
    <x v="0"/>
    <x v="1"/>
  </r>
  <r>
    <n v="1380"/>
    <s v="RABO GOLD CARD"/>
    <m/>
    <x v="2"/>
    <x v="11"/>
    <d v="2018-10-28T00:00:00"/>
    <d v="2018-10-28T00:00:00"/>
    <n v="-6.21"/>
    <n v="6.21"/>
    <m/>
    <s v="HOSTEL WORLD INTERNET IRL"/>
    <x v="0"/>
    <x v="0"/>
    <x v="1"/>
  </r>
  <r>
    <n v="1385"/>
    <s v="BNPPARIBAS"/>
    <m/>
    <x v="3"/>
    <x v="13"/>
    <d v="2019-01-09T00:00:00"/>
    <d v="2019-01-09T00:00:00"/>
    <n v="-4.58"/>
    <n v="4.58"/>
    <m/>
    <s v="FACTURE CARTE DU 070119 GOOD SOULS CARTE 4974XXXXXXXX8"/>
    <x v="0"/>
    <x v="0"/>
    <x v="2"/>
  </r>
  <r>
    <n v="1400"/>
    <s v="BNPPARIBAS"/>
    <m/>
    <x v="3"/>
    <x v="14"/>
    <d v="2019-03-07T00:00:00"/>
    <d v="2019-03-07T00:00:00"/>
    <n v="-5.74"/>
    <n v="5.74"/>
    <m/>
    <s v="FACTURE CARTE DU 040319 SUBWAY - T2 CARTE 4974XXXXXXXX"/>
    <x v="0"/>
    <x v="0"/>
    <x v="2"/>
  </r>
  <r>
    <n v="1648"/>
    <s v="KRUIS"/>
    <m/>
    <x v="3"/>
    <x v="13"/>
    <d v="2019-01-01T00:00:00"/>
    <d v="2019-01-01T00:00:00"/>
    <n v="-311"/>
    <n v="311"/>
    <m/>
    <s v="Hotel GTH "/>
    <x v="0"/>
    <x v="0"/>
    <x v="1"/>
  </r>
  <r>
    <n v="1649"/>
    <s v="KRUIS"/>
    <m/>
    <x v="3"/>
    <x v="13"/>
    <d v="2019-01-09T00:00:00"/>
    <d v="2019-01-09T00:00:00"/>
    <n v="311"/>
    <n v="311"/>
    <m/>
    <s v="Hotel GTH "/>
    <x v="0"/>
    <x v="0"/>
    <x v="2"/>
  </r>
  <r>
    <n v="1650"/>
    <s v="KRUIS"/>
    <m/>
    <x v="3"/>
    <x v="15"/>
    <d v="2019-02-01T00:00:00"/>
    <d v="2019-02-01T00:00:00"/>
    <n v="-111"/>
    <n v="111"/>
    <m/>
    <s v="Hotel GTH "/>
    <x v="0"/>
    <x v="0"/>
    <x v="1"/>
  </r>
  <r>
    <n v="1651"/>
    <s v="KRUIS"/>
    <m/>
    <x v="3"/>
    <x v="15"/>
    <d v="2019-02-28T00:00:00"/>
    <d v="2019-02-28T00:00:00"/>
    <n v="111"/>
    <n v="111"/>
    <m/>
    <s v="Hotel GTH "/>
    <x v="0"/>
    <x v="0"/>
    <x v="2"/>
  </r>
  <r>
    <n v="1662"/>
    <s v="KRUIS"/>
    <m/>
    <x v="3"/>
    <x v="16"/>
    <d v="2019-11-02T00:00:00"/>
    <d v="2019-11-02T00:00:00"/>
    <n v="35"/>
    <n v="35"/>
    <m/>
    <s v="Over in kas INR"/>
    <x v="0"/>
    <x v="0"/>
    <x v="2"/>
  </r>
  <r>
    <n v="1663"/>
    <s v="KRUIS"/>
    <m/>
    <x v="3"/>
    <x v="17"/>
    <d v="2019-12-01T00:00:00"/>
    <d v="2019-12-01T00:00:00"/>
    <n v="-466"/>
    <n v="466"/>
    <m/>
    <s v="transfer bahts van januari naar dec"/>
    <x v="0"/>
    <x v="0"/>
    <x v="2"/>
  </r>
  <r>
    <n v="1664"/>
    <s v="KRUIS"/>
    <m/>
    <x v="3"/>
    <x v="16"/>
    <d v="2019-12-05T00:00:00"/>
    <d v="2019-12-05T00:00:00"/>
    <n v="-98.59"/>
    <n v="98.59"/>
    <m/>
    <s v="hostel"/>
    <x v="0"/>
    <x v="0"/>
    <x v="1"/>
  </r>
  <r>
    <n v="1665"/>
    <s v="KRUIS"/>
    <m/>
    <x v="3"/>
    <x v="17"/>
    <d v="2019-12-05T00:00:00"/>
    <d v="2019-12-05T00:00:00"/>
    <n v="-63.1"/>
    <n v="63.1"/>
    <m/>
    <s v="hostel"/>
    <x v="0"/>
    <x v="0"/>
    <x v="1"/>
  </r>
  <r>
    <n v="1666"/>
    <s v="KRUIS"/>
    <m/>
    <x v="3"/>
    <x v="16"/>
    <d v="2019-12-05T00:00:00"/>
    <d v="2019-12-05T00:00:00"/>
    <n v="98.59"/>
    <n v="98.59"/>
    <m/>
    <s v="hostel "/>
    <x v="0"/>
    <x v="0"/>
    <x v="2"/>
  </r>
  <r>
    <n v="1667"/>
    <s v="KRUIS"/>
    <m/>
    <x v="3"/>
    <x v="17"/>
    <d v="2019-12-05T00:00:00"/>
    <d v="2019-12-05T00:00:00"/>
    <n v="63.1"/>
    <n v="63.1"/>
    <m/>
    <s v="hostel "/>
    <x v="0"/>
    <x v="0"/>
    <x v="2"/>
  </r>
  <r>
    <n v="1668"/>
    <s v="KRUIS"/>
    <m/>
    <x v="3"/>
    <x v="17"/>
    <d v="2019-12-05T00:00:00"/>
    <d v="2019-12-05T00:00:00"/>
    <n v="221"/>
    <n v="221"/>
    <m/>
    <s v="GREEN TIGER HOSUE"/>
    <x v="0"/>
    <x v="0"/>
    <x v="2"/>
  </r>
  <r>
    <n v="1669"/>
    <s v="KRUIS"/>
    <m/>
    <x v="3"/>
    <x v="17"/>
    <d v="2019-12-31T00:00:00"/>
    <d v="2019-12-31T00:00:00"/>
    <n v="-221"/>
    <n v="221"/>
    <m/>
    <s v="Green tiger house"/>
    <x v="0"/>
    <x v="0"/>
    <x v="1"/>
  </r>
  <r>
    <n v="1670"/>
    <s v="KRUIS"/>
    <m/>
    <x v="3"/>
    <x v="17"/>
    <d v="2019-12-31T00:00:00"/>
    <d v="2019-12-31T00:00:00"/>
    <m/>
    <n v="0"/>
    <m/>
    <s v="Uitgegeven Contanten  CM"/>
    <x v="0"/>
    <x v="0"/>
    <x v="2"/>
  </r>
  <r>
    <n v="1671"/>
    <s v="NL22RABO0381604934"/>
    <m/>
    <x v="3"/>
    <x v="15"/>
    <d v="2018-12-20T00:00:00"/>
    <d v="2018-12-20T00:00:00"/>
    <n v="-154.74"/>
    <n v="154.74"/>
    <m/>
    <s v="Captan's Home /Booking.com  (betaald in dec 2018)"/>
    <x v="0"/>
    <x v="0"/>
    <x v="1"/>
  </r>
  <r>
    <n v="1672"/>
    <s v="NL22RABO0381604934"/>
    <m/>
    <x v="3"/>
    <x v="13"/>
    <d v="2018-12-27T00:00:00"/>
    <d v="2018-12-27T00:00:00"/>
    <n v="-689.29"/>
    <n v="689.29"/>
    <m/>
    <s v="UPCA CHIANGMAI THA - eigenlijk dec 2018"/>
    <x v="0"/>
    <x v="0"/>
    <x v="2"/>
  </r>
  <r>
    <n v="1680"/>
    <s v="NL22RABO0381604934"/>
    <m/>
    <x v="3"/>
    <x v="15"/>
    <d v="2019-02-02T00:00:00"/>
    <d v="2019-02-02T00:00:00"/>
    <n v="-684.43"/>
    <n v="684.43"/>
    <m/>
    <s v="UPCA CHIANGMAI THA"/>
    <x v="0"/>
    <x v="0"/>
    <x v="2"/>
  </r>
  <r>
    <n v="1688"/>
    <s v="NL22RABO0381604934"/>
    <m/>
    <x v="3"/>
    <x v="15"/>
    <d v="2019-02-28T00:00:00"/>
    <d v="2019-02-28T00:00:00"/>
    <n v="466"/>
    <n v="466"/>
    <m/>
    <s v="NOG IN KAS, CORRECTIE"/>
    <x v="0"/>
    <x v="0"/>
    <x v="2"/>
  </r>
  <r>
    <n v="2008"/>
    <s v="NL22RABO0381604934"/>
    <m/>
    <x v="3"/>
    <x v="16"/>
    <d v="2019-11-14T00:00:00"/>
    <d v="2019-11-14T00:00:00"/>
    <n v="-130.30000000000001"/>
    <n v="130.30000000000001"/>
    <m/>
    <s v="ICICI BANK NORTHGOA IND"/>
    <x v="0"/>
    <x v="0"/>
    <x v="2"/>
  </r>
  <r>
    <n v="2010"/>
    <s v="NL22RABO0381604934"/>
    <m/>
    <x v="3"/>
    <x v="16"/>
    <d v="2019-11-19T00:00:00"/>
    <d v="2019-11-19T00:00:00"/>
    <n v="-127.38"/>
    <n v="127.38"/>
    <m/>
    <s v="SBI ARAMBOL ARAMBOL IND"/>
    <x v="0"/>
    <x v="0"/>
    <x v="2"/>
  </r>
  <r>
    <n v="2011"/>
    <s v="NL22RABO0381604934"/>
    <m/>
    <x v="3"/>
    <x v="16"/>
    <d v="2019-11-20T00:00:00"/>
    <d v="2019-11-20T00:00:00"/>
    <n v="-127.41"/>
    <n v="127.41"/>
    <m/>
    <s v="SBI ARAMBOL ARAMBOL IND"/>
    <x v="0"/>
    <x v="0"/>
    <x v="2"/>
  </r>
  <r>
    <n v="2033"/>
    <s v="POSTEPAY"/>
    <m/>
    <x v="3"/>
    <x v="18"/>
    <d v="2019-09-13T00:00:00"/>
    <d v="2019-09-13T00:00:00"/>
    <n v="-23.9"/>
    <n v="23.9"/>
    <m/>
    <s v="PAGAMENTO ON LINE 13/09/2019 22.36 HOSTEL WORLD X IRL N. 661984"/>
    <x v="0"/>
    <x v="0"/>
    <x v="1"/>
  </r>
  <r>
    <n v="2046"/>
    <s v="RABO GOLD CARD"/>
    <m/>
    <x v="3"/>
    <x v="17"/>
    <d v="2019-12-01T00:00:00"/>
    <d v="2019-12-01T00:00:00"/>
    <n v="-2.4"/>
    <n v="2.4"/>
    <m/>
    <s v="correctie"/>
    <x v="0"/>
    <x v="0"/>
    <x v="2"/>
  </r>
  <r>
    <n v="2046"/>
    <s v="RABO GOLD CARD"/>
    <m/>
    <x v="3"/>
    <x v="17"/>
    <d v="2019-12-01T00:00:00"/>
    <d v="2019-12-01T00:00:00"/>
    <n v="-132.29"/>
    <n v="132.29"/>
    <m/>
    <s v="HDFC BANK LTD. NORTH GOA IND"/>
    <x v="0"/>
    <x v="0"/>
    <x v="2"/>
  </r>
  <r>
    <n v="2048"/>
    <s v="RABO GOLD CARD"/>
    <m/>
    <x v="3"/>
    <x v="17"/>
    <d v="2019-12-01T00:00:00"/>
    <d v="2019-12-01T00:00:00"/>
    <n v="-7.33"/>
    <n v="7.33"/>
    <m/>
    <s v="PLENTY SEEB MCT"/>
    <x v="0"/>
    <x v="0"/>
    <x v="2"/>
  </r>
  <r>
    <n v="2049"/>
    <s v="RABO GOLD CARD"/>
    <m/>
    <x v="3"/>
    <x v="17"/>
    <d v="2019-12-01T00:00:00"/>
    <d v="2019-12-01T00:00:00"/>
    <n v="-6.32"/>
    <n v="6.32"/>
    <m/>
    <s v="SPICE KITCHEN MCT OMN"/>
    <x v="0"/>
    <x v="0"/>
    <x v="2"/>
  </r>
  <r>
    <n v="2051"/>
    <s v="RABO GOLD CARD"/>
    <m/>
    <x v="3"/>
    <x v="17"/>
    <d v="2019-12-01T00:00:00"/>
    <d v="2019-12-01T00:00:00"/>
    <n v="-3.03"/>
    <n v="3.03"/>
    <m/>
    <s v="MCDONALDS MCT OMN"/>
    <x v="0"/>
    <x v="0"/>
    <x v="2"/>
  </r>
  <r>
    <n v="2052"/>
    <s v="RABO GOLD CARD"/>
    <m/>
    <x v="3"/>
    <x v="17"/>
    <d v="2019-12-01T00:00:00"/>
    <d v="2019-12-01T00:00:00"/>
    <n v="-2.52"/>
    <n v="2.52"/>
    <m/>
    <s v="PLENTY SEEB MCT"/>
    <x v="0"/>
    <x v="0"/>
    <x v="2"/>
  </r>
  <r>
    <n v="2053"/>
    <s v="RABO GOLD CARD"/>
    <m/>
    <x v="3"/>
    <x v="17"/>
    <d v="2019-12-01T00:00:00"/>
    <d v="2019-12-01T00:00:00"/>
    <n v="-2.41"/>
    <n v="2.41"/>
    <m/>
    <s v="LAUGHING BUDDHA ARAMBOL GOA"/>
    <x v="0"/>
    <x v="0"/>
    <x v="2"/>
  </r>
  <r>
    <n v="2060"/>
    <s v="BNPPARIBAS"/>
    <m/>
    <x v="4"/>
    <x v="19"/>
    <d v="2020-03-03T00:00:00"/>
    <d v="2020-03-03T00:00:00"/>
    <n v="330"/>
    <n v="330"/>
    <m/>
    <s v="VIREMENT /DE MLLE CLAIRE VERBEKE /MOTIF MERCI RENE /REF MERCI RENE"/>
    <x v="0"/>
    <x v="0"/>
    <x v="2"/>
  </r>
  <r>
    <n v="2109"/>
    <s v="KRUIS"/>
    <m/>
    <x v="4"/>
    <x v="20"/>
    <d v="2020-01-01T00:00:00"/>
    <d v="2020-01-01T00:00:00"/>
    <n v="0"/>
    <n v="0"/>
    <m/>
    <s v="uitgaves volgens kasboek"/>
    <x v="0"/>
    <x v="0"/>
    <x v="2"/>
  </r>
  <r>
    <n v="2110"/>
    <s v="KRUIS"/>
    <m/>
    <x v="4"/>
    <x v="20"/>
    <d v="2020-01-01T00:00:00"/>
    <d v="2020-01-01T00:00:00"/>
    <n v="-321.65302976402228"/>
    <n v="321.65302976402228"/>
    <m/>
    <s v="Green Tiger House"/>
    <x v="0"/>
    <x v="0"/>
    <x v="1"/>
  </r>
  <r>
    <n v="2111"/>
    <s v="KRUIS"/>
    <m/>
    <x v="4"/>
    <x v="20"/>
    <d v="2020-01-01T00:00:00"/>
    <d v="2020-01-01T00:00:00"/>
    <n v="321.65302976402228"/>
    <n v="321.65302976402228"/>
    <m/>
    <s v="corr hotel"/>
    <x v="0"/>
    <x v="0"/>
    <x v="2"/>
  </r>
  <r>
    <n v="2112"/>
    <s v="KRUIS"/>
    <m/>
    <x v="4"/>
    <x v="19"/>
    <d v="2020-02-02T00:00:00"/>
    <d v="2020-02-02T00:00:00"/>
    <n v="0"/>
    <n v="0"/>
    <m/>
    <s v="uitgaves volgens kasboek"/>
    <x v="0"/>
    <x v="0"/>
    <x v="2"/>
  </r>
  <r>
    <n v="2113"/>
    <s v="KRUIS"/>
    <m/>
    <x v="4"/>
    <x v="19"/>
    <d v="2020-02-02T00:00:00"/>
    <d v="2020-02-02T00:00:00"/>
    <n v="-176.39037116091546"/>
    <n v="176.39037116091546"/>
    <m/>
    <s v="Green Tiger House"/>
    <x v="0"/>
    <x v="0"/>
    <x v="1"/>
  </r>
  <r>
    <n v="2114"/>
    <s v="KRUIS"/>
    <m/>
    <x v="4"/>
    <x v="19"/>
    <d v="2020-02-02T00:00:00"/>
    <d v="2020-02-02T00:00:00"/>
    <n v="176.39037116091546"/>
    <n v="176.39037116091546"/>
    <m/>
    <s v="corr hotel"/>
    <x v="0"/>
    <x v="0"/>
    <x v="2"/>
  </r>
  <r>
    <n v="2115"/>
    <s v="KRUIS"/>
    <m/>
    <x v="4"/>
    <x v="19"/>
    <d v="2020-02-02T00:00:00"/>
    <d v="2020-02-02T00:00:00"/>
    <n v="0"/>
    <n v="0"/>
    <m/>
    <s v="uitgaves volgens kasboek"/>
    <x v="0"/>
    <x v="0"/>
    <x v="2"/>
  </r>
  <r>
    <n v="2116"/>
    <s v="KRUIS"/>
    <m/>
    <x v="4"/>
    <x v="19"/>
    <d v="2020-02-02T00:00:00"/>
    <d v="2020-02-02T00:00:00"/>
    <n v="-87.569934322549258"/>
    <n v="87.569934322549258"/>
    <m/>
    <s v="New Ubud Hostel"/>
    <x v="0"/>
    <x v="0"/>
    <x v="1"/>
  </r>
  <r>
    <n v="2117"/>
    <s v="KRUIS"/>
    <m/>
    <x v="4"/>
    <x v="19"/>
    <d v="2020-02-02T00:00:00"/>
    <d v="2020-02-02T00:00:00"/>
    <n v="87.569934322549258"/>
    <n v="87.569934322549258"/>
    <m/>
    <s v="corr hotel"/>
    <x v="0"/>
    <x v="0"/>
    <x v="2"/>
  </r>
  <r>
    <n v="2118"/>
    <s v="KRUIS"/>
    <m/>
    <x v="4"/>
    <x v="19"/>
    <d v="2020-02-02T00:00:00"/>
    <d v="2020-02-02T00:00:00"/>
    <n v="497.43"/>
    <n v="497.43"/>
    <m/>
    <s v="Over in kas THB"/>
    <x v="0"/>
    <x v="0"/>
    <x v="2"/>
  </r>
  <r>
    <n v="2119"/>
    <s v="KRUIS"/>
    <m/>
    <x v="4"/>
    <x v="21"/>
    <d v="2020-03-03T00:00:00"/>
    <d v="2020-03-03T00:00:00"/>
    <n v="0"/>
    <n v="0"/>
    <m/>
    <s v="uitgaves volgens kasboek"/>
    <x v="0"/>
    <x v="0"/>
    <x v="2"/>
  </r>
  <r>
    <n v="2120"/>
    <s v="KRUIS"/>
    <m/>
    <x v="4"/>
    <x v="21"/>
    <d v="2020-03-03T00:00:00"/>
    <d v="2020-03-03T00:00:00"/>
    <n v="-58.379956215032841"/>
    <n v="58.379956215032841"/>
    <m/>
    <s v="New Ubud Hostel"/>
    <x v="0"/>
    <x v="0"/>
    <x v="1"/>
  </r>
  <r>
    <n v="2121"/>
    <s v="KRUIS"/>
    <m/>
    <x v="4"/>
    <x v="21"/>
    <d v="2020-03-03T00:00:00"/>
    <d v="2020-03-03T00:00:00"/>
    <n v="58.379956215032841"/>
    <n v="58.379956215032841"/>
    <m/>
    <s v="corr hotel"/>
    <x v="0"/>
    <x v="0"/>
    <x v="2"/>
  </r>
  <r>
    <n v="2122"/>
    <s v="KRUIS"/>
    <m/>
    <x v="4"/>
    <x v="21"/>
    <d v="2020-03-03T00:00:00"/>
    <d v="2020-03-03T00:00:00"/>
    <n v="0"/>
    <n v="0"/>
    <m/>
    <s v="uitgaves volgens kasboek"/>
    <x v="0"/>
    <x v="0"/>
    <x v="2"/>
  </r>
  <r>
    <n v="2123"/>
    <s v="KRUIS"/>
    <m/>
    <x v="4"/>
    <x v="21"/>
    <d v="2020-03-03T00:00:00"/>
    <d v="2020-03-03T00:00:00"/>
    <n v="-95.31819456125595"/>
    <n v="95.31819456125595"/>
    <m/>
    <s v="Captan Home"/>
    <x v="0"/>
    <x v="0"/>
    <x v="1"/>
  </r>
  <r>
    <n v="2124"/>
    <s v="KRUIS"/>
    <m/>
    <x v="4"/>
    <x v="21"/>
    <d v="2020-03-03T00:00:00"/>
    <d v="2020-03-03T00:00:00"/>
    <n v="95.31819456125595"/>
    <n v="95.31819456125595"/>
    <m/>
    <s v="corr hotel"/>
    <x v="0"/>
    <x v="0"/>
    <x v="2"/>
  </r>
  <r>
    <n v="2125"/>
    <s v="KRUIS"/>
    <m/>
    <x v="4"/>
    <x v="21"/>
    <d v="2020-03-03T00:00:00"/>
    <d v="2020-03-03T00:00:00"/>
    <n v="28.571428571428573"/>
    <n v="28.571428571428573"/>
    <m/>
    <s v="ingewisseld BHT-USD Bernadette"/>
    <x v="0"/>
    <x v="0"/>
    <x v="2"/>
  </r>
  <r>
    <n v="2126"/>
    <s v="KRUIS"/>
    <m/>
    <x v="4"/>
    <x v="21"/>
    <d v="2020-03-03T00:00:00"/>
    <d v="2020-03-03T00:00:00"/>
    <n v="-497.43"/>
    <n v="497.43"/>
    <m/>
    <s v="in kas THB"/>
    <x v="0"/>
    <x v="0"/>
    <x v="2"/>
  </r>
  <r>
    <n v="2127"/>
    <s v="KRUIS"/>
    <m/>
    <x v="4"/>
    <x v="22"/>
    <d v="2020-04-04T00:00:00"/>
    <d v="2020-04-04T00:00:00"/>
    <n v="0"/>
    <n v="0"/>
    <m/>
    <s v="uitgaves volgens kasboek"/>
    <x v="0"/>
    <x v="0"/>
    <x v="2"/>
  </r>
  <r>
    <n v="2128"/>
    <s v="KRUIS"/>
    <m/>
    <x v="4"/>
    <x v="22"/>
    <d v="2020-04-04T00:00:00"/>
    <d v="2020-04-04T00:00:00"/>
    <n v="-144.17878168929474"/>
    <n v="144.17878168929474"/>
    <m/>
    <s v="Captan Home"/>
    <x v="0"/>
    <x v="0"/>
    <x v="1"/>
  </r>
  <r>
    <n v="2129"/>
    <s v="KRUIS"/>
    <m/>
    <x v="4"/>
    <x v="22"/>
    <d v="2020-04-04T00:00:00"/>
    <d v="2020-04-04T00:00:00"/>
    <n v="144.17878168929474"/>
    <n v="144.17878168929474"/>
    <m/>
    <s v="corr hotel"/>
    <x v="0"/>
    <x v="0"/>
    <x v="2"/>
  </r>
  <r>
    <n v="2130"/>
    <s v="KRUIS"/>
    <m/>
    <x v="4"/>
    <x v="22"/>
    <d v="2020-04-30T00:00:00"/>
    <d v="2020-04-30T00:00:00"/>
    <m/>
    <n v="0"/>
    <m/>
    <s v="nog in kas (496,22)"/>
    <x v="0"/>
    <x v="0"/>
    <x v="2"/>
  </r>
  <r>
    <n v="2131"/>
    <s v="KRUIS"/>
    <m/>
    <x v="4"/>
    <x v="23"/>
    <d v="2020-05-05T00:00:00"/>
    <d v="2020-05-05T00:00:00"/>
    <n v="148.45714285714286"/>
    <n v="148.45714285714286"/>
    <m/>
    <s v="correctie hoistel"/>
    <x v="0"/>
    <x v="0"/>
    <x v="2"/>
  </r>
  <r>
    <n v="2132"/>
    <s v="KRUIS"/>
    <m/>
    <x v="4"/>
    <x v="23"/>
    <d v="2020-05-05T00:00:00"/>
    <d v="2020-05-05T00:00:00"/>
    <n v="-148.45714285714286"/>
    <n v="148.45714285714286"/>
    <m/>
    <s v="correctie hoistel"/>
    <x v="0"/>
    <x v="0"/>
    <x v="1"/>
  </r>
  <r>
    <n v="2133"/>
    <s v="KRUIS"/>
    <m/>
    <x v="4"/>
    <x v="24"/>
    <d v="2020-06-06T00:00:00"/>
    <d v="2020-06-06T00:00:00"/>
    <n v="95"/>
    <n v="95"/>
    <m/>
    <s v="correctie thai bhat"/>
    <x v="0"/>
    <x v="0"/>
    <x v="2"/>
  </r>
  <r>
    <n v="2134"/>
    <s v="KRUIS"/>
    <m/>
    <x v="4"/>
    <x v="24"/>
    <d v="2020-06-06T00:00:00"/>
    <d v="2020-06-06T00:00:00"/>
    <n v="148.45714285714286"/>
    <n v="148.45714285714286"/>
    <m/>
    <s v="correctie hoistel"/>
    <x v="0"/>
    <x v="0"/>
    <x v="2"/>
  </r>
  <r>
    <n v="2135"/>
    <s v="KRUIS"/>
    <m/>
    <x v="4"/>
    <x v="24"/>
    <d v="2020-06-06T00:00:00"/>
    <d v="2020-06-06T00:00:00"/>
    <n v="-148.45714285714286"/>
    <n v="148.45714285714286"/>
    <m/>
    <s v="correctie hoistel"/>
    <x v="0"/>
    <x v="0"/>
    <x v="1"/>
  </r>
  <r>
    <n v="2146"/>
    <s v="NL22RABO0381604934"/>
    <m/>
    <x v="4"/>
    <x v="20"/>
    <d v="2020-01-03T00:00:00"/>
    <d v="2020-01-03T00:00:00"/>
    <n v="-760.07"/>
    <n v="760.07"/>
    <m/>
    <s v="UPCA CHIANGMAI THA"/>
    <x v="0"/>
    <x v="0"/>
    <x v="2"/>
  </r>
  <r>
    <n v="2151"/>
    <s v="NL22RABO0381604934"/>
    <m/>
    <x v="4"/>
    <x v="19"/>
    <d v="2020-02-01T00:00:00"/>
    <d v="2020-01-31T00:00:00"/>
    <n v="-749.03"/>
    <n v="749.03"/>
    <m/>
    <s v="UPCA CHIANGMAI THA"/>
    <x v="0"/>
    <x v="0"/>
    <x v="2"/>
  </r>
  <r>
    <n v="2158"/>
    <s v="NL22RABO0381604934"/>
    <m/>
    <x v="4"/>
    <x v="19"/>
    <d v="2020-02-17T00:00:00"/>
    <d v="2020-02-17T00:00:00"/>
    <n v="-306.93"/>
    <n v="306.93"/>
    <m/>
    <s v="THAI FARMERS BA CHIANGMAI THA"/>
    <x v="0"/>
    <x v="0"/>
    <x v="2"/>
  </r>
  <r>
    <n v="2159"/>
    <s v="NL22RABO0381604934"/>
    <m/>
    <x v="4"/>
    <x v="19"/>
    <d v="2020-02-18T00:00:00"/>
    <d v="2020-02-18T00:00:00"/>
    <n v="-104.13"/>
    <n v="104.13"/>
    <m/>
    <s v="950 Jakarta IDN"/>
    <x v="0"/>
    <x v="0"/>
    <x v="2"/>
  </r>
  <r>
    <n v="2162"/>
    <s v="NL22RABO0381604934"/>
    <m/>
    <x v="4"/>
    <x v="19"/>
    <d v="2020-02-20T00:00:00"/>
    <d v="2020-02-20T00:00:00"/>
    <n v="-102.77"/>
    <n v="102.77"/>
    <m/>
    <s v="RPC DENPASAR DENPASAR IDN"/>
    <x v="0"/>
    <x v="0"/>
    <x v="2"/>
  </r>
  <r>
    <n v="2164"/>
    <s v="NL22RABO0381604934"/>
    <m/>
    <x v="4"/>
    <x v="19"/>
    <d v="2020-02-25T00:00:00"/>
    <d v="2020-02-25T00:00:00"/>
    <n v="-169.76"/>
    <n v="169.76"/>
    <m/>
    <s v="00000000000 DENPASAR   M IDN"/>
    <x v="0"/>
    <x v="0"/>
    <x v="2"/>
  </r>
  <r>
    <n v="2168"/>
    <s v="NL22RABO0381604934"/>
    <m/>
    <x v="4"/>
    <x v="21"/>
    <d v="2020-03-05T00:00:00"/>
    <d v="2020-03-05T00:00:00"/>
    <n v="-161.66999999999999"/>
    <n v="161.66999999999999"/>
    <m/>
    <s v="00000000000 DENPASAR   M IDN"/>
    <x v="0"/>
    <x v="0"/>
    <x v="2"/>
  </r>
  <r>
    <n v="2169"/>
    <s v="NL22RABO0381604934"/>
    <m/>
    <x v="4"/>
    <x v="21"/>
    <d v="2020-03-14T00:00:00"/>
    <d v="2020-03-14T00:00:00"/>
    <n v="-18.82"/>
    <n v="18.82"/>
    <m/>
    <s v="RPC DENPASAR DENPASAR IDN"/>
    <x v="0"/>
    <x v="0"/>
    <x v="2"/>
  </r>
  <r>
    <n v="2173"/>
    <s v="NL22RABO0381604934"/>
    <m/>
    <x v="4"/>
    <x v="22"/>
    <d v="2020-04-01T00:00:00"/>
    <d v="2020-03-26T00:00:00"/>
    <n v="-581.20000000000005"/>
    <n v="581.20000000000005"/>
    <m/>
    <s v="0006 SURAT THA"/>
    <x v="0"/>
    <x v="0"/>
    <x v="2"/>
  </r>
  <r>
    <n v="2178"/>
    <s v="NL22RABO0381604934"/>
    <m/>
    <x v="4"/>
    <x v="22"/>
    <d v="2020-04-14T00:00:00"/>
    <d v="2020-04-14T00:00:00"/>
    <n v="341.86"/>
    <n v="341.86"/>
    <m/>
    <s v="JANE KING"/>
    <x v="0"/>
    <x v="0"/>
    <x v="2"/>
  </r>
  <r>
    <n v="2179"/>
    <s v="NL22RABO0381604934"/>
    <m/>
    <x v="4"/>
    <x v="22"/>
    <d v="2020-04-16T00:00:00"/>
    <d v="2020-04-16T00:00:00"/>
    <n v="-578.98"/>
    <n v="578.98"/>
    <m/>
    <s v="BAYA SURATTHANI THA"/>
    <x v="0"/>
    <x v="0"/>
    <x v="2"/>
  </r>
  <r>
    <n v="2187"/>
    <s v="NL22RABO0381604934"/>
    <m/>
    <x v="4"/>
    <x v="23"/>
    <d v="2020-05-07T00:00:00"/>
    <d v="2020-05-07T00:00:00"/>
    <n v="341.34"/>
    <n v="341.34"/>
    <m/>
    <s v="JANE KING"/>
    <x v="0"/>
    <x v="0"/>
    <x v="2"/>
  </r>
  <r>
    <n v="2188"/>
    <s v="NL22RABO0381604934"/>
    <m/>
    <x v="4"/>
    <x v="23"/>
    <d v="2020-05-15T00:00:00"/>
    <d v="2020-05-15T00:00:00"/>
    <n v="-445.84"/>
    <n v="445.84"/>
    <m/>
    <s v="BAYA SURATTHANI THA"/>
    <x v="0"/>
    <x v="0"/>
    <x v="2"/>
  </r>
  <r>
    <n v="2195"/>
    <s v="NL22RABO0381604934"/>
    <m/>
    <x v="4"/>
    <x v="24"/>
    <d v="2020-06-09T00:00:00"/>
    <d v="2020-06-09T00:00:00"/>
    <n v="-435.02"/>
    <n v="435.02"/>
    <m/>
    <s v="BAYA SURATTHANI THA"/>
    <x v="0"/>
    <x v="0"/>
    <x v="2"/>
  </r>
  <r>
    <n v="2590"/>
    <s v="RABO GOLD CARD"/>
    <m/>
    <x v="4"/>
    <x v="20"/>
    <d v="2020-01-09T00:00:00"/>
    <d v="2020-01-09T00:00:00"/>
    <n v="-71.08"/>
    <n v="71.08"/>
    <m/>
    <s v="ALEX YOGA // ASHRAM PROGRAM FEE LOC   COIMBATORE   TAM"/>
    <x v="0"/>
    <x v="0"/>
    <x v="2"/>
  </r>
  <r>
    <n v="2593"/>
    <s v="RABO GOLD CARD"/>
    <m/>
    <x v="4"/>
    <x v="19"/>
    <d v="2020-02-03T00:00:00"/>
    <d v="2020-02-03T00:00:00"/>
    <n v="-28.46"/>
    <n v="28.46"/>
    <m/>
    <s v="VIETJETAIR CYBER - THB   HA NOI       VNM"/>
    <x v="0"/>
    <x v="0"/>
    <x v="2"/>
  </r>
  <r>
    <n v="2598"/>
    <s v="RABO GOLD CARD"/>
    <m/>
    <x v="4"/>
    <x v="21"/>
    <d v="2020-03-21T00:00:00"/>
    <d v="2020-03-21T00:00:00"/>
    <n v="-1.06"/>
    <n v="1.06"/>
    <m/>
    <s v="HOSTEL WORLD             X            IRL"/>
    <x v="0"/>
    <x v="0"/>
    <x v="1"/>
  </r>
  <r>
    <n v="2658"/>
    <s v="KRUIS"/>
    <m/>
    <x v="5"/>
    <x v="25"/>
    <d v="2021-11-17T00:00:00"/>
    <d v="2021-11-17T00:00:00"/>
    <n v="-8.3333333333333339"/>
    <n v="8.3333333333333339"/>
    <m/>
    <s v="CORRECTIE HOTEL"/>
    <x v="0"/>
    <x v="0"/>
    <x v="4"/>
  </r>
  <r>
    <n v="2659"/>
    <s v="KRUIS"/>
    <m/>
    <x v="5"/>
    <x v="26"/>
    <d v="2021-11-17T00:00:00"/>
    <d v="2021-11-17T00:00:00"/>
    <m/>
    <n v="0"/>
    <m/>
    <s v="IN KAS 791,33"/>
    <x v="0"/>
    <x v="0"/>
    <x v="2"/>
  </r>
  <r>
    <n v="2662"/>
    <s v="KRUIS"/>
    <m/>
    <x v="5"/>
    <x v="26"/>
    <d v="2021-11-30T00:00:00"/>
    <m/>
    <n v="-172.75"/>
    <n v="172.75"/>
    <m/>
    <s v="dagelijkse uitgaves"/>
    <x v="0"/>
    <x v="0"/>
    <x v="5"/>
  </r>
  <r>
    <n v="2663"/>
    <s v="KRUIS"/>
    <m/>
    <x v="5"/>
    <x v="26"/>
    <d v="2021-11-30T00:00:00"/>
    <m/>
    <n v="-85.833333333333329"/>
    <n v="85.833333333333329"/>
    <m/>
    <s v="hotel azie"/>
    <x v="0"/>
    <x v="0"/>
    <x v="4"/>
  </r>
  <r>
    <n v="2664"/>
    <s v="KRUIS"/>
    <m/>
    <x v="5"/>
    <x v="26"/>
    <d v="2021-11-30T00:00:00"/>
    <m/>
    <m/>
    <n v="0"/>
    <n v="258.58"/>
    <s v="correctie"/>
    <x v="0"/>
    <x v="0"/>
    <x v="6"/>
  </r>
  <r>
    <n v="2665"/>
    <s v="KRUIS"/>
    <m/>
    <x v="5"/>
    <x v="26"/>
    <d v="2021-11-30T00:00:00"/>
    <m/>
    <m/>
    <n v="0"/>
    <m/>
    <s v="correctie thai bhat IN -95"/>
    <x v="0"/>
    <x v="0"/>
    <x v="6"/>
  </r>
  <r>
    <n v="3108"/>
    <s v="NL22RABO0381604934"/>
    <m/>
    <x v="5"/>
    <x v="26"/>
    <d v="2021-11-08T00:00:00"/>
    <d v="2021-11-08T00:00:00"/>
    <n v="-24"/>
    <n v="24"/>
    <s v="NL14RABO0155503219"/>
    <s v="Stayokay via GlobalCollect"/>
    <x v="0"/>
    <x v="0"/>
    <x v="3"/>
  </r>
  <r>
    <n v="3124"/>
    <s v="NL22RABO0381604934"/>
    <m/>
    <x v="5"/>
    <x v="26"/>
    <d v="2021-11-14T00:00:00"/>
    <d v="2021-11-14T00:00:00"/>
    <n v="-4.54"/>
    <n v="4.54"/>
    <m/>
    <s v="CCV*STAYOKAY ZEEBURG A AMSTERDAM"/>
    <x v="0"/>
    <x v="0"/>
    <x v="3"/>
  </r>
  <r>
    <n v="3131"/>
    <s v="NL22RABO0381604934"/>
    <m/>
    <x v="5"/>
    <x v="26"/>
    <d v="2021-11-18T00:00:00"/>
    <d v="2021-11-18T00:00:00"/>
    <m/>
    <n v="0"/>
    <n v="-826.74"/>
    <s v="FX.BOOTH K.MAX YEAKKAT PHUKET THA"/>
    <x v="0"/>
    <x v="0"/>
    <x v="6"/>
  </r>
  <r>
    <n v="3223"/>
    <s v="RABO GOLD CARD"/>
    <m/>
    <x v="5"/>
    <x v="25"/>
    <d v="2021-10-31T00:00:00"/>
    <m/>
    <n v="-3.7"/>
    <n v="3.7"/>
    <m/>
    <s v="WWW.HOSTELWORLD.COM      DUBLIN       IRL"/>
    <x v="0"/>
    <x v="0"/>
    <x v="4"/>
  </r>
  <r>
    <n v="3227"/>
    <s v="RABO GOLD CARD"/>
    <m/>
    <x v="5"/>
    <x v="26"/>
    <d v="2021-11-19T00:00:00"/>
    <m/>
    <n v="-1.96"/>
    <n v="1.96"/>
    <m/>
    <s v="WWW.HOSTELWORLD.COM      DUBLIN       IRL"/>
    <x v="0"/>
    <x v="0"/>
    <x v="4"/>
  </r>
  <r>
    <n v="3239"/>
    <s v="KRUIS"/>
    <m/>
    <x v="5"/>
    <x v="27"/>
    <d v="2021-12-31T00:00:00"/>
    <m/>
    <n v="-482.61111111111109"/>
    <n v="482.61111111111109"/>
    <m/>
    <s v="dagelijkse uitgaves"/>
    <x v="0"/>
    <x v="0"/>
    <x v="5"/>
  </r>
  <r>
    <n v="3240"/>
    <s v="KRUIS"/>
    <m/>
    <x v="5"/>
    <x v="27"/>
    <d v="2021-12-31T00:00:00"/>
    <m/>
    <n v="-80"/>
    <n v="80"/>
    <m/>
    <s v="hotel azie"/>
    <x v="0"/>
    <x v="0"/>
    <x v="4"/>
  </r>
  <r>
    <n v="3241"/>
    <s v="KRUIS"/>
    <m/>
    <x v="6"/>
    <x v="27"/>
    <d v="2021-12-31T00:00:00"/>
    <m/>
    <m/>
    <n v="0"/>
    <n v="562"/>
    <s v="correctie"/>
    <x v="0"/>
    <x v="0"/>
    <x v="6"/>
  </r>
  <r>
    <n v="3242"/>
    <s v="KRUIS"/>
    <m/>
    <x v="6"/>
    <x v="28"/>
    <d v="2022-01-31T00:00:00"/>
    <m/>
    <n v="-343.5"/>
    <n v="343.5"/>
    <m/>
    <s v="dagelijkse uitgaves"/>
    <x v="0"/>
    <x v="0"/>
    <x v="5"/>
  </r>
  <r>
    <n v="3244"/>
    <s v="KRUIS"/>
    <m/>
    <x v="6"/>
    <x v="28"/>
    <d v="2022-01-31T00:00:00"/>
    <m/>
    <n v="-172.22222222222223"/>
    <n v="172.22222222222223"/>
    <m/>
    <s v="hotel azie"/>
    <x v="0"/>
    <x v="0"/>
    <x v="4"/>
  </r>
  <r>
    <n v="3245"/>
    <s v="KRUIS"/>
    <m/>
    <x v="6"/>
    <x v="28"/>
    <d v="2022-01-31T00:00:00"/>
    <m/>
    <m/>
    <n v="0"/>
    <n v="681.83"/>
    <s v="correctie"/>
    <x v="0"/>
    <x v="0"/>
    <x v="6"/>
  </r>
  <r>
    <n v="3246"/>
    <s v="KRUIS"/>
    <m/>
    <x v="6"/>
    <x v="29"/>
    <d v="2022-02-28T00:00:00"/>
    <m/>
    <n v="-438.47222222222223"/>
    <n v="438.47222222222223"/>
    <m/>
    <s v="dagelijkse uitgaves"/>
    <x v="0"/>
    <x v="0"/>
    <x v="5"/>
  </r>
  <r>
    <n v="3247"/>
    <s v="KRUIS"/>
    <m/>
    <x v="6"/>
    <x v="29"/>
    <d v="2022-02-28T00:00:00"/>
    <m/>
    <n v="-155.55555555555554"/>
    <n v="155.55555555555554"/>
    <m/>
    <s v="hotel azie"/>
    <x v="0"/>
    <x v="0"/>
    <x v="4"/>
  </r>
  <r>
    <n v="3248"/>
    <s v="KRUIS"/>
    <m/>
    <x v="6"/>
    <x v="29"/>
    <d v="2022-02-28T00:00:00"/>
    <m/>
    <m/>
    <n v="0"/>
    <n v="594"/>
    <s v="correctie"/>
    <x v="0"/>
    <x v="0"/>
    <x v="6"/>
  </r>
  <r>
    <n v="3249"/>
    <s v="KRUIS"/>
    <m/>
    <x v="6"/>
    <x v="30"/>
    <d v="2022-03-31T00:00:00"/>
    <m/>
    <n v="-382.80555555555554"/>
    <n v="382.80555555555554"/>
    <m/>
    <s v="dagelijkse uitgaves"/>
    <x v="0"/>
    <x v="0"/>
    <x v="5"/>
  </r>
  <r>
    <n v="3250"/>
    <s v="KRUIS"/>
    <m/>
    <x v="6"/>
    <x v="30"/>
    <d v="2022-03-31T00:00:00"/>
    <m/>
    <n v="-172.22222222222223"/>
    <n v="172.22222222222223"/>
    <m/>
    <s v="hotel azie"/>
    <x v="0"/>
    <x v="0"/>
    <x v="4"/>
  </r>
  <r>
    <n v="3251"/>
    <s v="KRUIS"/>
    <m/>
    <x v="6"/>
    <x v="30"/>
    <d v="2022-03-31T00:00:00"/>
    <m/>
    <m/>
    <n v="0"/>
    <n v="555.03"/>
    <s v="correctie dag uitg hotel"/>
    <x v="0"/>
    <x v="0"/>
    <x v="6"/>
  </r>
  <r>
    <n v="3252"/>
    <s v="KRUIS"/>
    <m/>
    <x v="6"/>
    <x v="31"/>
    <d v="2022-04-30T00:00:00"/>
    <m/>
    <n v="-326.41666666666669"/>
    <n v="326.41666666666669"/>
    <m/>
    <s v="dagelijkse uitgaves"/>
    <x v="0"/>
    <x v="0"/>
    <x v="5"/>
  </r>
  <r>
    <n v="3253"/>
    <s v="KRUIS"/>
    <m/>
    <x v="6"/>
    <x v="31"/>
    <d v="2022-04-30T00:00:00"/>
    <m/>
    <n v="-166.66666666666666"/>
    <n v="166.66666666666666"/>
    <m/>
    <s v="hotel azie"/>
    <x v="0"/>
    <x v="0"/>
    <x v="4"/>
  </r>
  <r>
    <n v="3254"/>
    <s v="KRUIS"/>
    <m/>
    <x v="6"/>
    <x v="31"/>
    <d v="2022-04-30T00:00:00"/>
    <m/>
    <m/>
    <n v="0"/>
    <n v="493"/>
    <s v="correctie"/>
    <x v="0"/>
    <x v="0"/>
    <x v="6"/>
  </r>
  <r>
    <n v="3255"/>
    <s v="KRUIS"/>
    <m/>
    <x v="6"/>
    <x v="32"/>
    <d v="2022-05-21T00:00:00"/>
    <m/>
    <n v="-242.22222222222223"/>
    <n v="242.22222222222223"/>
    <m/>
    <s v="dagelijkse uitgaves"/>
    <x v="0"/>
    <x v="0"/>
    <x v="5"/>
  </r>
  <r>
    <n v="3256"/>
    <s v="KRUIS"/>
    <m/>
    <x v="6"/>
    <x v="32"/>
    <d v="2022-05-21T00:00:00"/>
    <m/>
    <n v="-111.11111111111111"/>
    <n v="111.11111111111111"/>
    <m/>
    <s v="hotel azie"/>
    <x v="0"/>
    <x v="0"/>
    <x v="4"/>
  </r>
  <r>
    <n v="3258"/>
    <s v="KRUIS"/>
    <m/>
    <x v="6"/>
    <x v="32"/>
    <d v="2022-05-31T00:00:00"/>
    <m/>
    <m/>
    <n v="0"/>
    <n v="406"/>
    <s v="correctie"/>
    <x v="0"/>
    <x v="0"/>
    <x v="6"/>
  </r>
  <r>
    <n v="3259"/>
    <s v="KRUIS"/>
    <m/>
    <x v="6"/>
    <x v="32"/>
    <d v="2022-05-31T00:00:00"/>
    <m/>
    <m/>
    <n v="0"/>
    <n v="0"/>
    <s v="correctie thai bhat UIT 226,40"/>
    <x v="0"/>
    <x v="0"/>
    <x v="6"/>
  </r>
  <r>
    <n v="3260"/>
    <s v="KRUIS"/>
    <m/>
    <x v="6"/>
    <x v="32"/>
    <d v="2022-05-31T00:00:00"/>
    <m/>
    <m/>
    <n v="0"/>
    <n v="9.14"/>
    <s v="correctie"/>
    <x v="0"/>
    <x v="0"/>
    <x v="6"/>
  </r>
  <r>
    <n v="3261"/>
    <s v="KRUIS"/>
    <m/>
    <x v="6"/>
    <x v="32"/>
    <d v="2022-05-21T00:00:00"/>
    <m/>
    <n v="-9.14"/>
    <n v="9.14"/>
    <m/>
    <s v="correctie ouders ??"/>
    <x v="0"/>
    <x v="0"/>
    <x v="5"/>
  </r>
  <r>
    <n v="3262"/>
    <s v="NL22RABO0381604934"/>
    <m/>
    <x v="6"/>
    <x v="28"/>
    <d v="2022-01-01T00:00:00"/>
    <d v="2022-01-01T00:00:00"/>
    <m/>
    <n v="0"/>
    <n v="-812.83"/>
    <s v="SRI THANU PHONE &amp; TRAV SURATTHANI"/>
    <x v="0"/>
    <x v="0"/>
    <x v="6"/>
  </r>
  <r>
    <n v="3274"/>
    <s v="NL22RABO0381604934"/>
    <m/>
    <x v="6"/>
    <x v="28"/>
    <d v="2022-01-21T00:00:00"/>
    <d v="2022-01-21T00:00:00"/>
    <n v="-822.02"/>
    <n v="822.02"/>
    <m/>
    <s v="7-11 CHAOPA BEACH SURATTHANI THA"/>
    <x v="0"/>
    <x v="0"/>
    <x v="6"/>
  </r>
  <r>
    <n v="3298"/>
    <s v="NL22RABO0381604934"/>
    <m/>
    <x v="6"/>
    <x v="30"/>
    <d v="2022-03-23T00:00:00"/>
    <d v="2022-03-23T00:00:00"/>
    <m/>
    <n v="0"/>
    <n v="-833.95"/>
    <s v="SRI THANU PHONE &amp; TRAV SURATTHANI"/>
    <x v="0"/>
    <x v="0"/>
    <x v="6"/>
  </r>
  <r>
    <n v="3299"/>
    <s v="NL22RABO0381604934"/>
    <m/>
    <x v="6"/>
    <x v="30"/>
    <d v="2022-03-23T00:00:00"/>
    <d v="2022-03-23T00:00:00"/>
    <m/>
    <n v="0"/>
    <n v="555.96"/>
    <s v="MAT ANSING CJ"/>
    <x v="0"/>
    <x v="0"/>
    <x v="6"/>
  </r>
  <r>
    <n v="3306"/>
    <s v="NL22RABO0381604934"/>
    <m/>
    <x v="6"/>
    <x v="31"/>
    <d v="2022-04-06T00:00:00"/>
    <d v="2022-04-06T00:00:00"/>
    <m/>
    <n v="0"/>
    <n v="-820"/>
    <s v="WISE gekregen van Astrid van Zon"/>
    <x v="0"/>
    <x v="0"/>
    <x v="6"/>
  </r>
  <r>
    <n v="3387"/>
    <s v="RABO GOLD CARD"/>
    <m/>
    <x v="6"/>
    <x v="32"/>
    <d v="2022-05-20T00:00:00"/>
    <m/>
    <n v="-5.51"/>
    <n v="5.51"/>
    <m/>
    <s v="S S P EMIRATES LLC       Abu Dhabi    ARE"/>
    <x v="0"/>
    <x v="0"/>
    <x v="0"/>
  </r>
  <r>
    <n v="202208090"/>
    <s v="KAS"/>
    <s v="EUR"/>
    <x v="6"/>
    <x v="33"/>
    <d v="2022-12-31T12:30:56"/>
    <d v="2022-07-22T00:00:00"/>
    <n v="514.2465753424658"/>
    <m/>
    <m/>
    <s v="Correctie in kas jaarwisseling"/>
    <x v="0"/>
    <x v="0"/>
    <x v="2"/>
  </r>
  <r>
    <n v="202301018"/>
    <s v="NL22RABO0381604934"/>
    <s v="EUR"/>
    <x v="6"/>
    <x v="34"/>
    <d v="2022-10-10T00:00:00"/>
    <d v="2022-10-10T00:00:00"/>
    <n v="-28"/>
    <m/>
    <s v="NL04ADYB2017400157"/>
    <s v="WISE"/>
    <x v="1"/>
    <x v="0"/>
    <x v="7"/>
  </r>
  <r>
    <n v="202301063"/>
    <s v="NL22RABO0381604934"/>
    <s v="EUR"/>
    <x v="6"/>
    <x v="35"/>
    <d v="2022-11-09T00:00:00"/>
    <d v="2022-11-09T00:00:00"/>
    <n v="-148.55000000000001"/>
    <m/>
    <m/>
    <s v="BIDV HANOI VNM"/>
    <x v="0"/>
    <x v="0"/>
    <x v="2"/>
  </r>
  <r>
    <n v="202301064"/>
    <s v="NL22RABO0381604934"/>
    <s v="EUR"/>
    <x v="6"/>
    <x v="35"/>
    <d v="2022-11-09T00:00:00"/>
    <d v="2022-11-09T00:00:00"/>
    <n v="45"/>
    <m/>
    <s v="NL46RABO0120142554"/>
    <s v="P. Vegting"/>
    <x v="0"/>
    <x v="0"/>
    <x v="2"/>
  </r>
  <r>
    <n v="202301065"/>
    <s v="NL22RABO0381604934"/>
    <s v="EUR"/>
    <x v="6"/>
    <x v="35"/>
    <d v="2022-11-10T00:00:00"/>
    <d v="2022-11-10T00:00:00"/>
    <n v="-124.36"/>
    <m/>
    <m/>
    <s v="ATM SMARTBANK CHO D.XU HA NOI VNM"/>
    <x v="0"/>
    <x v="0"/>
    <x v="2"/>
  </r>
  <r>
    <n v="202301066"/>
    <s v="NL22RABO0381604934"/>
    <s v="EUR"/>
    <x v="6"/>
    <x v="35"/>
    <d v="2022-11-16T00:00:00"/>
    <d v="2022-11-16T00:00:00"/>
    <n v="-161.46"/>
    <m/>
    <m/>
    <s v="CRM SMARTBANK CHO D.XU HA NOI VNM"/>
    <x v="0"/>
    <x v="0"/>
    <x v="2"/>
  </r>
  <r>
    <n v="202301067"/>
    <s v="NL22RABO0381604934"/>
    <s v="EUR"/>
    <x v="6"/>
    <x v="35"/>
    <d v="2022-11-17T00:00:00"/>
    <d v="2022-11-17T00:00:00"/>
    <n v="45"/>
    <m/>
    <s v="NL68RABO0140802673"/>
    <s v="Betaalverzoek Rabobank"/>
    <x v="0"/>
    <x v="0"/>
    <x v="2"/>
  </r>
  <r>
    <n v="202301076"/>
    <s v="NL22RABO0381604934"/>
    <s v="EUR"/>
    <x v="6"/>
    <x v="35"/>
    <d v="2022-11-22T00:00:00"/>
    <d v="2022-11-22T00:00:00"/>
    <n v="-120.67"/>
    <m/>
    <m/>
    <s v="ATM CN QUANG NAM 01 QUANG NAM VNM"/>
    <x v="0"/>
    <x v="0"/>
    <x v="2"/>
  </r>
  <r>
    <n v="202301086"/>
    <s v="NL22RABO0381604934"/>
    <s v="EUR"/>
    <x v="6"/>
    <x v="33"/>
    <d v="2022-12-05T00:00:00"/>
    <d v="2022-12-05T00:00:00"/>
    <n v="-121.81"/>
    <m/>
    <m/>
    <s v="ACB ATM HOI AN MARKET QUANGNAM 02"/>
    <x v="0"/>
    <x v="0"/>
    <x v="2"/>
  </r>
  <r>
    <n v="202301088"/>
    <s v="NL22RABO0381604934"/>
    <s v="EUR"/>
    <x v="6"/>
    <x v="33"/>
    <d v="2022-12-19T00:00:00"/>
    <d v="2022-12-19T00:00:00"/>
    <n v="-691.93"/>
    <m/>
    <m/>
    <s v="BANGKOK BANK CHIANGMAI THA"/>
    <x v="0"/>
    <x v="0"/>
    <x v="2"/>
  </r>
  <r>
    <n v="202301094"/>
    <s v="NL22RABO0381604934"/>
    <s v="EUR"/>
    <x v="6"/>
    <x v="33"/>
    <d v="2022-12-26T00:00:00"/>
    <d v="2022-12-26T00:00:00"/>
    <n v="-835.03"/>
    <m/>
    <m/>
    <s v="7-11 AO SRITHANU SURATTHANI THA"/>
    <x v="0"/>
    <x v="0"/>
    <x v="6"/>
  </r>
  <r>
    <n v="202301107"/>
    <s v="RABO GOLD CARD"/>
    <m/>
    <x v="6"/>
    <x v="34"/>
    <d v="2022-10-18T00:00:00"/>
    <m/>
    <n v="-4.5"/>
    <m/>
    <m/>
    <s v="WWW.HOSTELWORLD.COM      DUBLIN       IRL"/>
    <x v="0"/>
    <x v="0"/>
    <x v="3"/>
  </r>
  <r>
    <n v="202301115"/>
    <s v="RABO GOLD CARD"/>
    <m/>
    <x v="6"/>
    <x v="35"/>
    <d v="2022-11-08T00:00:00"/>
    <m/>
    <n v="-3.18"/>
    <m/>
    <m/>
    <s v="O'LEARYS -2         00900HONG KONG    HKG"/>
    <x v="0"/>
    <x v="0"/>
    <x v="2"/>
  </r>
  <r>
    <n v="202301117"/>
    <s v="RABO GOLD CARD"/>
    <m/>
    <x v="6"/>
    <x v="35"/>
    <d v="2022-11-08T00:00:00"/>
    <m/>
    <n v="-5.53"/>
    <m/>
    <m/>
    <s v="PACIFIC COFFEE (A10)     CHEK LAP KOK HKG"/>
    <x v="0"/>
    <x v="0"/>
    <x v="2"/>
  </r>
  <r>
    <n v="202301132"/>
    <s v="REVOLUT"/>
    <m/>
    <x v="6"/>
    <x v="34"/>
    <d v="2022-10-11T19:17:02"/>
    <m/>
    <n v="-72.75"/>
    <m/>
    <m/>
    <s v="Coop 2113 MUSSELKANAAL"/>
    <x v="1"/>
    <x v="0"/>
    <x v="8"/>
  </r>
  <r>
    <n v="202301134"/>
    <s v="REVOLUT"/>
    <m/>
    <x v="6"/>
    <x v="35"/>
    <d v="2022-11-15T21:59:51"/>
    <m/>
    <n v="-0.83"/>
    <m/>
    <m/>
    <s v="Grab* A-46r5rcrwwe94"/>
    <x v="0"/>
    <x v="0"/>
    <x v="2"/>
  </r>
  <r>
    <n v="202301135"/>
    <s v="REVOLUT"/>
    <m/>
    <x v="6"/>
    <x v="35"/>
    <d v="2022-11-15T21:59:51"/>
    <m/>
    <n v="-0.2"/>
    <m/>
    <m/>
    <s v="Grab* A-46r5rcrwwe94"/>
    <x v="0"/>
    <x v="0"/>
    <x v="2"/>
  </r>
  <r>
    <n v="202301137"/>
    <s v="REVOLUT"/>
    <m/>
    <x v="6"/>
    <x v="35"/>
    <d v="2022-11-18T16:52:47"/>
    <m/>
    <n v="-6.05"/>
    <m/>
    <m/>
    <s v="www,hostelworld,com"/>
    <x v="0"/>
    <x v="0"/>
    <x v="3"/>
  </r>
  <r>
    <n v="202301138"/>
    <s v="REVOLUT"/>
    <m/>
    <x v="6"/>
    <x v="35"/>
    <d v="2022-11-20T14:29:47"/>
    <m/>
    <n v="-29.48"/>
    <m/>
    <m/>
    <s v="Bamboo Airways"/>
    <x v="0"/>
    <x v="0"/>
    <x v="8"/>
  </r>
  <r>
    <n v="202301139"/>
    <s v="REVOLUT"/>
    <m/>
    <x v="6"/>
    <x v="35"/>
    <d v="2022-11-20T14:29:47"/>
    <m/>
    <n v="-26.52"/>
    <m/>
    <m/>
    <s v="Bamboo Airways"/>
    <x v="0"/>
    <x v="0"/>
    <x v="8"/>
  </r>
  <r>
    <n v="202301140"/>
    <s v="REVOLUT"/>
    <m/>
    <x v="6"/>
    <x v="33"/>
    <d v="2022-12-08T13:22:17"/>
    <m/>
    <n v="-40.81"/>
    <m/>
    <m/>
    <s v="Bambooairways"/>
    <x v="0"/>
    <x v="0"/>
    <x v="8"/>
  </r>
  <r>
    <n v="202301141"/>
    <s v="REVOLUT"/>
    <m/>
    <x v="6"/>
    <x v="33"/>
    <d v="2022-12-08T13:25:14"/>
    <m/>
    <n v="-1.83"/>
    <m/>
    <m/>
    <s v="Grab* A-49qaxqbg2ec3"/>
    <x v="0"/>
    <x v="0"/>
    <x v="2"/>
  </r>
  <r>
    <n v="202301142"/>
    <s v="REVOLUT"/>
    <m/>
    <x v="6"/>
    <x v="33"/>
    <d v="2022-12-18T12:26:47"/>
    <m/>
    <n v="-1.7"/>
    <m/>
    <m/>
    <s v="www,hostelworld,com"/>
    <x v="0"/>
    <x v="0"/>
    <x v="3"/>
  </r>
  <r>
    <n v="202301143"/>
    <s v="REVOLUT"/>
    <m/>
    <x v="6"/>
    <x v="33"/>
    <d v="2022-12-20T02:41:12"/>
    <m/>
    <n v="-7.19"/>
    <m/>
    <m/>
    <s v="2c2p*seatran Ferry"/>
    <x v="0"/>
    <x v="0"/>
    <x v="2"/>
  </r>
  <r>
    <n v="202301144"/>
    <s v="REVOLUT"/>
    <m/>
    <x v="6"/>
    <x v="33"/>
    <d v="2022-12-20T02:46:30"/>
    <m/>
    <n v="-4.5"/>
    <m/>
    <m/>
    <s v="12go"/>
    <x v="0"/>
    <x v="0"/>
    <x v="2"/>
  </r>
  <r>
    <n v="202301189"/>
    <s v="KAS"/>
    <m/>
    <x v="6"/>
    <x v="33"/>
    <d v="2022-12-05T00:00:00"/>
    <m/>
    <n v="100"/>
    <m/>
    <m/>
    <s v="Gekregen in cash  ADELINE HARTMANN"/>
    <x v="0"/>
    <x v="0"/>
    <x v="8"/>
  </r>
  <r>
    <n v="202301190"/>
    <s v="KAS"/>
    <m/>
    <x v="6"/>
    <x v="33"/>
    <d v="2022-12-05T00:00:00"/>
    <m/>
    <n v="-9"/>
    <m/>
    <m/>
    <s v="teruggegeven in VND   ADELINE HARTMANN"/>
    <x v="0"/>
    <x v="0"/>
    <x v="8"/>
  </r>
  <r>
    <n v="202301191"/>
    <s v="KAS"/>
    <m/>
    <x v="6"/>
    <x v="33"/>
    <d v="2022-12-05T00:00:00"/>
    <m/>
    <n v="-50"/>
    <m/>
    <m/>
    <s v="teruggegeven in EUR   ADELINE HARTMANN"/>
    <x v="0"/>
    <x v="0"/>
    <x v="8"/>
  </r>
  <r>
    <n v="2"/>
    <s v="BNPPARIBAS"/>
    <m/>
    <x v="1"/>
    <x v="1"/>
    <d v="2017-01-02T00:00:00"/>
    <d v="2017-01-02T00:00:00"/>
    <n v="-225.07"/>
    <n v="225.07"/>
    <m/>
    <s v="CNX-DPS // kiwi.com"/>
    <x v="2"/>
    <x v="1"/>
    <x v="8"/>
  </r>
  <r>
    <n v="4"/>
    <s v="BNPPARIBAS"/>
    <m/>
    <x v="1"/>
    <x v="1"/>
    <d v="2017-01-02T00:00:00"/>
    <d v="2017-01-02T00:00:00"/>
    <n v="-486.89"/>
    <n v="486.89"/>
    <m/>
    <s v="DPS-AMS // kiwi.com"/>
    <x v="2"/>
    <x v="1"/>
    <x v="8"/>
  </r>
  <r>
    <n v="99"/>
    <s v="BNPPARIBAS"/>
    <m/>
    <x v="1"/>
    <x v="5"/>
    <d v="2017-12-20T00:00:00"/>
    <d v="2017-12-20T00:00:00"/>
    <n v="-66.84"/>
    <n v="66.84"/>
    <m/>
    <s v="DMK-CNX2 // FACTURE CARTE DU 181217 THAI AIRASIA425 CARTE 4974XXXX"/>
    <x v="2"/>
    <x v="1"/>
    <x v="9"/>
  </r>
  <r>
    <n v="584"/>
    <s v="NL22RABO0381604934"/>
    <m/>
    <x v="1"/>
    <x v="36"/>
    <d v="2017-07-13T00:00:00"/>
    <d v="2017-07-13T00:00:00"/>
    <n v="-403.62"/>
    <n v="403.62"/>
    <m/>
    <s v="AMS-KTM // TIX B.V."/>
    <x v="2"/>
    <x v="1"/>
    <x v="8"/>
  </r>
  <r>
    <n v="718"/>
    <s v="RABO GOLD CARD"/>
    <m/>
    <x v="1"/>
    <x v="4"/>
    <d v="2017-11-12T00:00:00"/>
    <d v="2017-11-12T00:00:00"/>
    <n v="-202.82"/>
    <n v="202.82"/>
    <m/>
    <s v="KTM-DMK // TICKETS mytrip com"/>
    <x v="2"/>
    <x v="1"/>
    <x v="8"/>
  </r>
  <r>
    <n v="719"/>
    <s v="RABO GOLD CARD"/>
    <m/>
    <x v="1"/>
    <x v="4"/>
    <d v="2017-11-18T00:00:00"/>
    <d v="2017-11-18T00:00:00"/>
    <n v="-52.14"/>
    <n v="52.14"/>
    <m/>
    <s v="DMK-CNX1 // unused / WWW.AIRASIA.ALWQJW2017 BANGKOK THA"/>
    <x v="2"/>
    <x v="1"/>
    <x v="10"/>
  </r>
  <r>
    <n v="816"/>
    <s v="BNPPARIBAS"/>
    <m/>
    <x v="2"/>
    <x v="8"/>
    <d v="2018-12-26T00:00:00"/>
    <d v="2018-12-26T00:00:00"/>
    <n v="-57.46"/>
    <n v="57.46"/>
    <m/>
    <s v="URT-CNX // airasia"/>
    <x v="2"/>
    <x v="1"/>
    <x v="9"/>
  </r>
  <r>
    <n v="817"/>
    <s v="BNPPARIBAS"/>
    <m/>
    <x v="2"/>
    <x v="8"/>
    <d v="2019-12-07T00:00:00"/>
    <d v="2019-12-07T00:00:00"/>
    <n v="-71.260000000000005"/>
    <n v="71.260000000000005"/>
    <m/>
    <s v="UNUSED // CNX-kul // airasia  vliegveld colombo"/>
    <x v="2"/>
    <x v="1"/>
    <x v="10"/>
  </r>
  <r>
    <n v="1356"/>
    <s v="NL22RABO0381604934"/>
    <m/>
    <x v="2"/>
    <x v="7"/>
    <d v="2018-11-30T00:00:00"/>
    <d v="2018-11-30T00:00:00"/>
    <n v="0"/>
    <n v="0"/>
    <m/>
    <s v="RABOBANK NEDERLAND"/>
    <x v="2"/>
    <x v="1"/>
    <x v="8"/>
  </r>
  <r>
    <n v="1362"/>
    <s v="NL22RABO0381604934"/>
    <m/>
    <x v="2"/>
    <x v="8"/>
    <d v="2018-12-22T00:00:00"/>
    <d v="2018-12-22T00:00:00"/>
    <n v="-382.57"/>
    <n v="382.57"/>
    <m/>
    <s v="CNX-AMS // TIX B.V."/>
    <x v="2"/>
    <x v="1"/>
    <x v="9"/>
  </r>
  <r>
    <n v="1367"/>
    <s v="RABO GOLD CARD"/>
    <m/>
    <x v="2"/>
    <x v="6"/>
    <d v="2018-01-05T00:00:00"/>
    <d v="2018-01-05T00:00:00"/>
    <n v="-342.79"/>
    <n v="342.79"/>
    <m/>
    <s v="KUL-AMS // PETAS/TRIPAIR P FALIRO GRC"/>
    <x v="2"/>
    <x v="1"/>
    <x v="8"/>
  </r>
  <r>
    <n v="1368"/>
    <s v="RABO GOLD CARD"/>
    <m/>
    <x v="2"/>
    <x v="6"/>
    <d v="2018-01-08T00:00:00"/>
    <d v="2018-01-08T00:00:00"/>
    <n v="-102.27"/>
    <n v="102.27"/>
    <m/>
    <s v="CNX-URT // WWW.AIRASIA.BN9GSG2018 BANGKOK THA"/>
    <x v="2"/>
    <x v="1"/>
    <x v="8"/>
  </r>
  <r>
    <n v="1372"/>
    <s v="RABO GOLD CARD"/>
    <m/>
    <x v="2"/>
    <x v="6"/>
    <d v="2018-01-24T00:00:00"/>
    <d v="2018-01-24T00:00:00"/>
    <n v="-51.6"/>
    <n v="51.6"/>
    <m/>
    <s v="URT-KUL // AIR ASIA (KH) SINGAPORE SGP"/>
    <x v="2"/>
    <x v="1"/>
    <x v="8"/>
  </r>
  <r>
    <n v="1375"/>
    <s v="RABO GOLD CARD"/>
    <m/>
    <x v="2"/>
    <x v="37"/>
    <d v="2018-08-01T00:00:00"/>
    <d v="2018-08-01T00:00:00"/>
    <n v="-310.83"/>
    <n v="310.83"/>
    <m/>
    <s v="CDG-COL // SriLankan 6039999999999 Katunayake DEU"/>
    <x v="2"/>
    <x v="1"/>
    <x v="8"/>
  </r>
  <r>
    <n v="1377"/>
    <s v="RABO GOLD CARD"/>
    <m/>
    <x v="2"/>
    <x v="12"/>
    <d v="2018-09-04T00:00:00"/>
    <d v="2018-09-04T00:00:00"/>
    <n v="-178.93"/>
    <n v="178.93"/>
    <m/>
    <s v="COL-CNX // SINGAPORE 24248314270 SRI LANKA LKA"/>
    <x v="2"/>
    <x v="1"/>
    <x v="8"/>
  </r>
  <r>
    <n v="2031"/>
    <s v="POSTEPAY"/>
    <m/>
    <x v="3"/>
    <x v="38"/>
    <d v="2019-07-29T00:00:00"/>
    <d v="2019-07-29T00:00:00"/>
    <n v="-173.01"/>
    <n v="173.01"/>
    <m/>
    <s v="GOI-DMK // PAGAMENTO ON LINE 29/07/2019 16.54 AIR ASIA INDIA LIMITED MUMBAI IND N. 656508"/>
    <x v="2"/>
    <x v="1"/>
    <x v="8"/>
  </r>
  <r>
    <n v="2032"/>
    <s v="POSTEPAY"/>
    <m/>
    <x v="3"/>
    <x v="38"/>
    <d v="2019-07-29T00:00:00"/>
    <d v="2019-07-29T00:00:00"/>
    <n v="-1.9"/>
    <n v="1.9"/>
    <m/>
    <s v="COMMISSIONE PAGAMENTO IN VALUTA ESTERA 29/07/2019 16.54 N. 656508 - VALUTA INR 13212,00 - CAMBIO 0,01309"/>
    <x v="2"/>
    <x v="1"/>
    <x v="8"/>
  </r>
  <r>
    <n v="2036"/>
    <s v="POSTEPAY"/>
    <m/>
    <x v="3"/>
    <x v="39"/>
    <d v="2019-10-31T00:00:00"/>
    <d v="2019-10-31T00:00:00"/>
    <n v="-44.1"/>
    <n v="44.1"/>
    <m/>
    <s v="DMK KUL"/>
    <x v="2"/>
    <x v="1"/>
    <x v="10"/>
  </r>
  <r>
    <n v="2037"/>
    <s v="RABO GOLD CARD"/>
    <m/>
    <x v="3"/>
    <x v="13"/>
    <d v="2019-01-09T00:00:00"/>
    <d v="2019-01-09T00:00:00"/>
    <n v="-92.82"/>
    <n v="92.82"/>
    <m/>
    <s v="CNX-URT // WWW.AIRASIA.COM BANGKOK THA"/>
    <x v="2"/>
    <x v="1"/>
    <x v="8"/>
  </r>
  <r>
    <n v="2041"/>
    <s v="RABO GOLD CARD"/>
    <m/>
    <x v="3"/>
    <x v="38"/>
    <d v="2019-07-19T00:00:00"/>
    <d v="2019-07-19T00:00:00"/>
    <n v="-271.33"/>
    <n v="271.33"/>
    <m/>
    <s v="AMS-GOI // Oman Air Muscat NLD"/>
    <x v="2"/>
    <x v="1"/>
    <x v="8"/>
  </r>
  <r>
    <n v="2044"/>
    <s v="RABO GOLD CARD"/>
    <m/>
    <x v="3"/>
    <x v="38"/>
    <d v="2019-07-29T00:00:00"/>
    <d v="2019-07-29T00:00:00"/>
    <n v="-35.08"/>
    <n v="35.08"/>
    <m/>
    <s v="DMK-CNX // WWW.NOKAIR.COM BANGKOK TH"/>
    <x v="2"/>
    <x v="1"/>
    <x v="8"/>
  </r>
  <r>
    <n v="2065"/>
    <s v="BNPPARIBAS"/>
    <m/>
    <x v="4"/>
    <x v="21"/>
    <d v="2020-03-12T00:00:00"/>
    <d v="2020-03-12T00:00:00"/>
    <n v="-111.58"/>
    <n v="111.58"/>
    <m/>
    <s v="PAIEMENT CARTE DU 110320 AIRASIA-AK (G81 CARTE   4974XXXXXXXX8716                IDN736050,00IDR+COMMISSION : 4,01"/>
    <x v="2"/>
    <x v="1"/>
    <x v="8"/>
  </r>
  <r>
    <n v="2066"/>
    <s v="BNPPARIBAS"/>
    <m/>
    <x v="4"/>
    <x v="21"/>
    <d v="2020-03-13T00:00:00"/>
    <d v="2020-03-13T00:00:00"/>
    <n v="-15.38"/>
    <n v="15.38"/>
    <m/>
    <s v="PAIEMENT CARTE DU 110320 AIRASIA AK  000 CARTE   4974XXXXXXXX8716                MYS   490,00THB+COMMISSION : 1,30"/>
    <x v="2"/>
    <x v="1"/>
    <x v="10"/>
  </r>
  <r>
    <n v="2076"/>
    <s v="BNPPARIBAS"/>
    <m/>
    <x v="4"/>
    <x v="23"/>
    <d v="2020-05-05T00:00:00"/>
    <d v="2020-05-05T00:00:00"/>
    <n v="-503.74"/>
    <n v="503.74"/>
    <m/>
    <s v="PRELEVEMENT PAYPAL EUROPE S.A.R.L. ET CIE S.C.A ECH/050520 ID EMETTEUR/LU96ZZZ0000000000000000058 MDT/5HBJ224MREGGA REF/1008832377737 PAYPAL VIREMENT LIB/1008832377737 PAYPAL"/>
    <x v="2"/>
    <x v="1"/>
    <x v="8"/>
  </r>
  <r>
    <n v="2194"/>
    <s v="NL22RABO0381604934"/>
    <m/>
    <x v="4"/>
    <x v="24"/>
    <d v="2020-06-03T00:00:00"/>
    <d v="2020-06-03T00:00:00"/>
    <n v="-72.03"/>
    <n v="72.03"/>
    <m/>
    <s v="KLM"/>
    <x v="2"/>
    <x v="1"/>
    <x v="8"/>
  </r>
  <r>
    <n v="2588"/>
    <s v="RABO GOLD CARD"/>
    <m/>
    <x v="4"/>
    <x v="20"/>
    <d v="2020-01-03T00:00:00"/>
    <d v="2020-01-03T00:00:00"/>
    <n v="-299.76"/>
    <n v="299.76"/>
    <m/>
    <s v="XIAMEN AI 07312170230260 BANGKOK      THA"/>
    <x v="2"/>
    <x v="1"/>
    <x v="10"/>
  </r>
  <r>
    <n v="2589"/>
    <s v="RABO GOLD CARD"/>
    <m/>
    <x v="4"/>
    <x v="20"/>
    <d v="2020-01-03T00:00:00"/>
    <d v="2020-01-03T00:00:00"/>
    <n v="286.16000000000003"/>
    <n v="286.16000000000003"/>
    <m/>
    <s v="XIAMEN AI 07312170230260 BANGKOK      THA"/>
    <x v="2"/>
    <x v="1"/>
    <x v="10"/>
  </r>
  <r>
    <n v="2594"/>
    <s v="RABO GOLD CARD"/>
    <m/>
    <x v="4"/>
    <x v="19"/>
    <d v="2020-02-14T00:00:00"/>
    <d v="2020-02-14T00:00:00"/>
    <n v="-538.28"/>
    <n v="538.28"/>
    <m/>
    <s v="BRITISH A 12585234882530 JAKARTA      IDN"/>
    <x v="2"/>
    <x v="1"/>
    <x v="10"/>
  </r>
  <r>
    <n v="2595"/>
    <s v="RABO GOLD CARD"/>
    <m/>
    <x v="4"/>
    <x v="21"/>
    <d v="2020-03-10T00:00:00"/>
    <d v="2020-03-21T00:00:00"/>
    <n v="-520.07000000000005"/>
    <n v="520.07000000000005"/>
    <m/>
    <s v="ETIHADAIR 6072139938374  AMSTERDAM    THA"/>
    <x v="2"/>
    <x v="1"/>
    <x v="9"/>
  </r>
  <r>
    <n v="2597"/>
    <s v="RABO GOLD CARD"/>
    <m/>
    <x v="4"/>
    <x v="21"/>
    <d v="2020-03-21T00:00:00"/>
    <d v="2020-03-21T00:00:00"/>
    <n v="-42.96"/>
    <n v="42.96"/>
    <m/>
    <s v="WWW.AIRASIA.COM          BANGKOK      THA URT-DMK"/>
    <x v="2"/>
    <x v="1"/>
    <x v="10"/>
  </r>
  <r>
    <n v="2599"/>
    <s v="RABO GOLD CARD"/>
    <m/>
    <x v="4"/>
    <x v="21"/>
    <d v="2020-03-21T00:00:00"/>
    <d v="2020-03-21T00:00:00"/>
    <n v="0"/>
    <n v="0"/>
    <m/>
    <s v="ETIHADAIR 6072139938374  AMSTERDAM    THA"/>
    <x v="2"/>
    <x v="1"/>
    <x v="8"/>
  </r>
  <r>
    <n v="2607"/>
    <s v="RABO GOLD CARD"/>
    <m/>
    <x v="4"/>
    <x v="24"/>
    <d v="2020-06-13T00:00:00"/>
    <d v="2020-06-13T00:00:00"/>
    <n v="-45.51"/>
    <n v="45.51"/>
    <m/>
    <s v="Thai Smile Airway BANGKOK THA"/>
    <x v="2"/>
    <x v="1"/>
    <x v="8"/>
  </r>
  <r>
    <n v="3212"/>
    <s v="RABO GOLD CARD"/>
    <m/>
    <x v="5"/>
    <x v="25"/>
    <d v="2021-10-06T00:00:00"/>
    <m/>
    <n v="-11.16"/>
    <n v="11.16"/>
    <m/>
    <s v="ETIHAD AIRW 6072141663979ABU DHABI    NLD"/>
    <x v="2"/>
    <x v="1"/>
    <x v="8"/>
  </r>
  <r>
    <n v="3225"/>
    <s v="RABO GOLD CARD"/>
    <m/>
    <x v="5"/>
    <x v="26"/>
    <d v="2021-11-17T00:00:00"/>
    <m/>
    <n v="-109"/>
    <n v="109"/>
    <m/>
    <s v="*AIRASIA FLIGHT-EUR      KUALA LUMPUR MYS"/>
    <x v="2"/>
    <x v="1"/>
    <x v="8"/>
  </r>
  <r>
    <n v="3235"/>
    <s v="RABO GOLD CARD"/>
    <m/>
    <x v="5"/>
    <x v="27"/>
    <d v="2021-12-20T00:00:00"/>
    <m/>
    <n v="-92.74"/>
    <n v="92.74"/>
    <m/>
    <s v="2C2P   *THAI AIR ASIA    BANGKOK      THA"/>
    <x v="2"/>
    <x v="1"/>
    <x v="8"/>
  </r>
  <r>
    <n v="202208151"/>
    <s v="NL22RABO0381604934"/>
    <s v="EUR"/>
    <x v="6"/>
    <x v="40"/>
    <d v="2022-08-18T00:00:00"/>
    <d v="2022-08-18T00:00:00"/>
    <n v="-91.53"/>
    <n v="91.53"/>
    <s v="DE70202208000093058576"/>
    <s v="Trip.com International Travel Germa"/>
    <x v="2"/>
    <x v="1"/>
    <x v="8"/>
  </r>
  <r>
    <n v="202208161"/>
    <s v="NL22RABO0381604934"/>
    <s v="EUR"/>
    <x v="6"/>
    <x v="40"/>
    <d v="2022-08-22T00:00:00"/>
    <d v="2022-08-22T00:00:00"/>
    <n v="91.53"/>
    <n v="91.53"/>
    <s v="DE70202208000093058576"/>
    <s v="Tripcom International Travel German"/>
    <x v="2"/>
    <x v="1"/>
    <x v="8"/>
  </r>
  <r>
    <n v="202208182"/>
    <s v="RABO GOLD CARD"/>
    <m/>
    <x v="6"/>
    <x v="40"/>
    <d v="2022-08-10T00:00:00"/>
    <d v="2022-08-10T00:00:00"/>
    <n v="-460.45"/>
    <n v="460.45"/>
    <m/>
    <s v="CATHAYPACAIR1602382436177AMSTERDAM NLD"/>
    <x v="2"/>
    <x v="1"/>
    <x v="8"/>
  </r>
  <r>
    <n v="202208183"/>
    <s v="RABO GOLD CARD"/>
    <m/>
    <x v="6"/>
    <x v="40"/>
    <d v="2022-08-18T00:00:00"/>
    <d v="2022-08-18T00:00:00"/>
    <n v="-86.12"/>
    <n v="86.12"/>
    <m/>
    <s v="*AIRASIA-AK A9SBGE3581 SEPANG VNM VND 2.021.400,00 Koers 23471.89967487"/>
    <x v="2"/>
    <x v="1"/>
    <x v="8"/>
  </r>
  <r>
    <n v="202301112"/>
    <s v="RABO GOLD CARD"/>
    <m/>
    <x v="6"/>
    <x v="34"/>
    <d v="2022-10-29T00:00:00"/>
    <m/>
    <n v="-618.61"/>
    <m/>
    <m/>
    <s v="EMIRATES    1762353324313E-COMMERCE   THA"/>
    <x v="1"/>
    <x v="1"/>
    <x v="8"/>
  </r>
  <r>
    <n v="412"/>
    <s v="KAS"/>
    <m/>
    <x v="1"/>
    <x v="3"/>
    <d v="2017-10-01T00:00:00"/>
    <d v="2017-10-01T00:00:00"/>
    <n v="-62.5"/>
    <n v="62.5"/>
    <m/>
    <s v="visum nepal"/>
    <x v="2"/>
    <x v="2"/>
    <x v="11"/>
  </r>
  <r>
    <n v="424"/>
    <s v="NL22RABO0381604934"/>
    <m/>
    <x v="1"/>
    <x v="1"/>
    <d v="2017-01-17T00:00:00"/>
    <d v="2017-01-17T00:00:00"/>
    <n v="-68.11"/>
    <n v="68.11"/>
    <m/>
    <s v="JOHO"/>
    <x v="2"/>
    <x v="2"/>
    <x v="12"/>
  </r>
  <r>
    <n v="679"/>
    <s v="NL22RABO0381604934"/>
    <m/>
    <x v="1"/>
    <x v="3"/>
    <d v="2017-10-24T00:00:00"/>
    <d v="2017-10-24T00:00:00"/>
    <n v="-246.12"/>
    <n v="246.12"/>
    <m/>
    <s v="JOHO"/>
    <x v="2"/>
    <x v="2"/>
    <x v="12"/>
  </r>
  <r>
    <n v="1095"/>
    <s v="KAS"/>
    <m/>
    <x v="2"/>
    <x v="11"/>
    <d v="2018-10-01T00:00:00"/>
    <d v="2018-10-01T00:00:00"/>
    <n v="-30"/>
    <n v="30"/>
    <m/>
    <s v="visum thailand"/>
    <x v="2"/>
    <x v="2"/>
    <x v="11"/>
  </r>
  <r>
    <n v="1272"/>
    <s v="NL22RABO0381604934"/>
    <m/>
    <x v="2"/>
    <x v="12"/>
    <d v="2018-09-13T00:00:00"/>
    <d v="2018-09-13T00:00:00"/>
    <n v="-182.03"/>
    <n v="182.03"/>
    <m/>
    <s v="JOHO"/>
    <x v="2"/>
    <x v="2"/>
    <x v="12"/>
  </r>
  <r>
    <n v="1295"/>
    <s v="NL22RABO0381604934"/>
    <m/>
    <x v="2"/>
    <x v="11"/>
    <d v="2018-10-11T00:00:00"/>
    <d v="2018-10-11T00:00:00"/>
    <n v="-61"/>
    <n v="61"/>
    <m/>
    <s v="CCV*TRAVEL CLINIC OOST ARNHEM"/>
    <x v="2"/>
    <x v="2"/>
    <x v="13"/>
  </r>
  <r>
    <n v="1314"/>
    <s v="NL22RABO0381604934"/>
    <m/>
    <x v="2"/>
    <x v="11"/>
    <d v="2018-10-18T00:00:00"/>
    <d v="2018-10-18T00:00:00"/>
    <n v="-61"/>
    <n v="61"/>
    <m/>
    <s v="CCV*TRAVEL CLINIC OOST ARNHEM"/>
    <x v="2"/>
    <x v="2"/>
    <x v="13"/>
  </r>
  <r>
    <n v="1379"/>
    <s v="RABO GOLD CARD"/>
    <m/>
    <x v="2"/>
    <x v="11"/>
    <d v="2018-10-07T00:00:00"/>
    <d v="2018-10-07T00:00:00"/>
    <n v="-31.13"/>
    <n v="31.13"/>
    <m/>
    <s v="Dept of Immigration sl Colombo 10 LKA"/>
    <x v="2"/>
    <x v="2"/>
    <x v="11"/>
  </r>
  <r>
    <n v="1436"/>
    <s v="BNPPARIBAS"/>
    <m/>
    <x v="3"/>
    <x v="38"/>
    <d v="2019-07-29T00:00:00"/>
    <d v="2019-07-29T00:00:00"/>
    <n v="-77.3"/>
    <n v="77.3"/>
    <m/>
    <s v="PRLV SEPA PAYPAL EUROPE S.A.R.L. ET CIE S.C.A ECH/290719 ID EMETTEUR/LU96ZZZ0000000000000000058 MDT/5HBJ224MREGGA REF/1006191096852 PAYPAL VIREMENT LIB/1006191096852 PAYPAL"/>
    <x v="2"/>
    <x v="2"/>
    <x v="11"/>
  </r>
  <r>
    <n v="1459"/>
    <s v="BNPPARIBAS"/>
    <m/>
    <x v="3"/>
    <x v="39"/>
    <d v="2019-10-31T00:00:00"/>
    <d v="2019-10-31T00:00:00"/>
    <n v="-12.92"/>
    <n v="12.92"/>
    <m/>
    <s v="royal oman police"/>
    <x v="2"/>
    <x v="2"/>
    <x v="11"/>
  </r>
  <r>
    <n v="1641"/>
    <s v="KAS"/>
    <m/>
    <x v="3"/>
    <x v="39"/>
    <d v="2019-10-31T00:00:00"/>
    <d v="2019-10-31T00:00:00"/>
    <n v="-35"/>
    <n v="35"/>
    <m/>
    <s v="visum thailand"/>
    <x v="2"/>
    <x v="2"/>
    <x v="11"/>
  </r>
  <r>
    <n v="1676"/>
    <s v="NL22RABO0381604934"/>
    <m/>
    <x v="3"/>
    <x v="13"/>
    <d v="2019-01-10T00:00:00"/>
    <d v="2019-01-10T00:00:00"/>
    <n v="-80.319999999999993"/>
    <n v="80.319999999999993"/>
    <m/>
    <s v="JOHO"/>
    <x v="2"/>
    <x v="2"/>
    <x v="12"/>
  </r>
  <r>
    <n v="1871"/>
    <s v="NL22RABO0381604934"/>
    <m/>
    <x v="3"/>
    <x v="41"/>
    <d v="2019-08-05T00:00:00"/>
    <d v="2019-08-05T00:00:00"/>
    <n v="-182.03"/>
    <n v="182.03"/>
    <m/>
    <s v="JOHO"/>
    <x v="2"/>
    <x v="2"/>
    <x v="12"/>
  </r>
  <r>
    <n v="1930"/>
    <s v="NL22RABO0381604934"/>
    <m/>
    <x v="3"/>
    <x v="39"/>
    <d v="2019-10-17T00:00:00"/>
    <d v="2019-10-17T00:00:00"/>
    <n v="-56"/>
    <n v="56"/>
    <m/>
    <s v="CCV*TRAVEL CLINIC OOST VELP GLD"/>
    <x v="2"/>
    <x v="2"/>
    <x v="13"/>
  </r>
  <r>
    <n v="2156"/>
    <s v="NL22RABO0381604934"/>
    <m/>
    <x v="4"/>
    <x v="19"/>
    <d v="2020-02-12T00:00:00"/>
    <d v="2020-02-12T00:00:00"/>
    <n v="-63.8"/>
    <n v="63.8"/>
    <m/>
    <s v="JOHO"/>
    <x v="2"/>
    <x v="2"/>
    <x v="12"/>
  </r>
  <r>
    <n v="2157"/>
    <s v="NL22RABO0381604934"/>
    <m/>
    <x v="4"/>
    <x v="19"/>
    <d v="2020-02-12T00:00:00"/>
    <d v="2020-02-12T00:00:00"/>
    <n v="-63.8"/>
    <n v="63.8"/>
    <m/>
    <s v="JOHO"/>
    <x v="2"/>
    <x v="2"/>
    <x v="12"/>
  </r>
  <r>
    <n v="2163"/>
    <s v="NL22RABO0381604934"/>
    <m/>
    <x v="4"/>
    <x v="19"/>
    <d v="2020-02-24T00:00:00"/>
    <d v="2020-02-24T00:00:00"/>
    <n v="51.59"/>
    <n v="51.59"/>
    <m/>
    <s v="JOHO"/>
    <x v="2"/>
    <x v="2"/>
    <x v="12"/>
  </r>
  <r>
    <n v="2174"/>
    <s v="NL22RABO0381604934"/>
    <m/>
    <x v="4"/>
    <x v="22"/>
    <d v="2020-04-02T00:00:00"/>
    <d v="2020-04-02T00:00:00"/>
    <n v="-63.8"/>
    <n v="63.8"/>
    <m/>
    <s v="JOHO"/>
    <x v="2"/>
    <x v="2"/>
    <x v="12"/>
  </r>
  <r>
    <n v="2181"/>
    <s v="NL22RABO0381604934"/>
    <m/>
    <x v="4"/>
    <x v="22"/>
    <d v="2020-04-23T00:00:00"/>
    <d v="2020-04-23T00:00:00"/>
    <n v="-51.59"/>
    <n v="51.59"/>
    <m/>
    <s v="JOHO"/>
    <x v="2"/>
    <x v="2"/>
    <x v="12"/>
  </r>
  <r>
    <n v="2190"/>
    <s v="NL22RABO0381604934"/>
    <m/>
    <x v="4"/>
    <x v="23"/>
    <d v="2020-05-21T00:00:00"/>
    <d v="2020-05-21T00:00:00"/>
    <n v="-63.8"/>
    <n v="63.8"/>
    <m/>
    <s v="JOHO"/>
    <x v="2"/>
    <x v="2"/>
    <x v="12"/>
  </r>
  <r>
    <n v="2196"/>
    <s v="NL22RABO0381604934"/>
    <m/>
    <x v="4"/>
    <x v="24"/>
    <d v="2020-06-11T00:00:00"/>
    <d v="2020-06-11T00:00:00"/>
    <n v="-63.8"/>
    <n v="63.8"/>
    <m/>
    <s v="JOHO"/>
    <x v="2"/>
    <x v="2"/>
    <x v="12"/>
  </r>
  <r>
    <n v="2657"/>
    <s v="KRUIS"/>
    <m/>
    <x v="5"/>
    <x v="25"/>
    <d v="2021-11-17T00:00:00"/>
    <d v="2021-11-17T00:00:00"/>
    <n v="32"/>
    <n v="32"/>
    <m/>
    <s v="CORRECTIE HOTEL"/>
    <x v="2"/>
    <x v="2"/>
    <x v="14"/>
  </r>
  <r>
    <n v="3028"/>
    <s v="NL22RABO0381604934"/>
    <m/>
    <x v="5"/>
    <x v="25"/>
    <d v="2021-10-15T00:00:00"/>
    <d v="2021-10-15T00:00:00"/>
    <n v="-5.29"/>
    <n v="5.29"/>
    <m/>
    <s v="Printerette Frederik 'S-GRAVENHAGE"/>
    <x v="2"/>
    <x v="2"/>
    <x v="11"/>
  </r>
  <r>
    <n v="3029"/>
    <s v="NL22RABO0381604934"/>
    <m/>
    <x v="5"/>
    <x v="25"/>
    <d v="2021-10-15T00:00:00"/>
    <d v="2021-10-15T00:00:00"/>
    <n v="-35"/>
    <n v="35"/>
    <m/>
    <s v="CCV*Royal Thai Embassy  S-GRAVENHAGE"/>
    <x v="2"/>
    <x v="2"/>
    <x v="11"/>
  </r>
  <r>
    <n v="3082"/>
    <s v="NL22RABO0381604934"/>
    <m/>
    <x v="5"/>
    <x v="25"/>
    <d v="2021-10-31T00:00:00"/>
    <d v="2021-11-01T00:00:00"/>
    <n v="-26"/>
    <n v="26"/>
    <s v="NL27INGB0000026500"/>
    <s v="bol.com b.v."/>
    <x v="2"/>
    <x v="2"/>
    <x v="15"/>
  </r>
  <r>
    <n v="3104"/>
    <s v="NL22RABO0381604934"/>
    <m/>
    <x v="5"/>
    <x v="26"/>
    <d v="2021-11-05T00:00:00"/>
    <d v="2021-11-05T00:00:00"/>
    <n v="-79.95"/>
    <n v="79.95"/>
    <s v="NL56DEUT0265186420"/>
    <s v="TicketCounter B.V. by Buckaroo"/>
    <x v="2"/>
    <x v="2"/>
    <x v="14"/>
  </r>
  <r>
    <n v="3111"/>
    <s v="NL22RABO0381604934"/>
    <m/>
    <x v="5"/>
    <x v="26"/>
    <d v="2021-11-09T00:00:00"/>
    <d v="2021-11-09T00:00:00"/>
    <n v="-35.72"/>
    <n v="35.72"/>
    <s v="NL91ABNA0511615140"/>
    <s v="Oom holding nv"/>
    <x v="2"/>
    <x v="2"/>
    <x v="12"/>
  </r>
  <r>
    <n v="3141"/>
    <s v="NL22RABO0381604934"/>
    <m/>
    <x v="5"/>
    <x v="27"/>
    <d v="2021-12-01T00:00:00"/>
    <d v="2021-12-01T00:00:00"/>
    <n v="-66.989999999999995"/>
    <n v="66.989999999999995"/>
    <s v="NL91ABNA0511615140"/>
    <s v="OOM HOLDING NV"/>
    <x v="2"/>
    <x v="2"/>
    <x v="12"/>
  </r>
  <r>
    <n v="3213"/>
    <s v="RABO GOLD CARD"/>
    <m/>
    <x v="5"/>
    <x v="25"/>
    <d v="2021-10-07T00:00:00"/>
    <m/>
    <n v="-152.99"/>
    <n v="152.99"/>
    <m/>
    <s v="Hotel on Booking.com     Amsterdam    NLD"/>
    <x v="2"/>
    <x v="2"/>
    <x v="14"/>
  </r>
  <r>
    <n v="3215"/>
    <s v="RABO GOLD CARD"/>
    <m/>
    <x v="5"/>
    <x v="25"/>
    <d v="2021-10-08T00:00:00"/>
    <m/>
    <n v="-21.86"/>
    <n v="21.86"/>
    <m/>
    <s v="2C2P                     BANGKOK      THA"/>
    <x v="2"/>
    <x v="2"/>
    <x v="14"/>
  </r>
  <r>
    <n v="3217"/>
    <s v="RABO GOLD CARD"/>
    <m/>
    <x v="5"/>
    <x v="25"/>
    <d v="2021-10-09T00:00:00"/>
    <m/>
    <n v="-133.76"/>
    <n v="133.76"/>
    <m/>
    <s v="PHUKET CITY DEVELOPMENT CPHUKET       THA"/>
    <x v="2"/>
    <x v="2"/>
    <x v="14"/>
  </r>
  <r>
    <n v="3219"/>
    <s v="RABO GOLD CARD"/>
    <m/>
    <x v="5"/>
    <x v="25"/>
    <d v="2021-10-09T00:00:00"/>
    <m/>
    <n v="73.03"/>
    <n v="73.03"/>
    <m/>
    <s v="PHUKET CITY DEVELOPMENT CPHUKET       THA"/>
    <x v="2"/>
    <x v="2"/>
    <x v="14"/>
  </r>
  <r>
    <n v="3222"/>
    <s v="RABO GOLD CARD"/>
    <m/>
    <x v="5"/>
    <x v="25"/>
    <d v="2021-10-30T00:00:00"/>
    <m/>
    <n v="122.87"/>
    <n v="122.87"/>
    <m/>
    <s v="Hotel on Booking.com     Amsterdam    NLD"/>
    <x v="2"/>
    <x v="2"/>
    <x v="14"/>
  </r>
  <r>
    <n v="3263"/>
    <s v="NL22RABO0381604934"/>
    <m/>
    <x v="6"/>
    <x v="28"/>
    <d v="2022-01-03T00:00:00"/>
    <d v="2022-01-03T00:00:00"/>
    <n v="-66.989999999999995"/>
    <n v="66.989999999999995"/>
    <s v="NL91ABNA0511615140"/>
    <s v="OOM HOLDING NV"/>
    <x v="2"/>
    <x v="2"/>
    <x v="12"/>
  </r>
  <r>
    <n v="3279"/>
    <s v="NL22RABO0381604934"/>
    <m/>
    <x v="6"/>
    <x v="29"/>
    <d v="2022-02-01T00:00:00"/>
    <d v="2022-02-01T00:00:00"/>
    <n v="-26.8"/>
    <n v="26.8"/>
    <s v="NL91ABNA0511615140"/>
    <s v="OOM HOLDING NV"/>
    <x v="2"/>
    <x v="2"/>
    <x v="12"/>
  </r>
  <r>
    <n v="3284"/>
    <s v="NL22RABO0381604934"/>
    <m/>
    <x v="6"/>
    <x v="29"/>
    <d v="2022-02-17T00:00:00"/>
    <d v="2022-02-17T00:00:00"/>
    <n v="-40.19"/>
    <n v="40.19"/>
    <s v="NL91ABNA0511615140"/>
    <s v="OOM HOLDING NV"/>
    <x v="2"/>
    <x v="2"/>
    <x v="12"/>
  </r>
  <r>
    <n v="3289"/>
    <s v="NL22RABO0381604934"/>
    <m/>
    <x v="6"/>
    <x v="30"/>
    <d v="2022-03-01T00:00:00"/>
    <d v="2022-03-01T00:00:00"/>
    <n v="-66.989999999999995"/>
    <n v="66.989999999999995"/>
    <s v="NL91ABNA0511615140"/>
    <s v="OOM HOLDING NV"/>
    <x v="2"/>
    <x v="2"/>
    <x v="12"/>
  </r>
  <r>
    <n v="3302"/>
    <s v="NL22RABO0381604934"/>
    <m/>
    <x v="6"/>
    <x v="31"/>
    <d v="2022-04-01T00:00:00"/>
    <d v="2022-04-01T00:00:00"/>
    <n v="-66.989999999999995"/>
    <n v="66.989999999999995"/>
    <s v="NL91ABNA0511615140"/>
    <s v="OOM HOLDING NV"/>
    <x v="2"/>
    <x v="2"/>
    <x v="12"/>
  </r>
  <r>
    <n v="3317"/>
    <s v="NL22RABO0381604934"/>
    <m/>
    <x v="6"/>
    <x v="32"/>
    <d v="2022-05-12T00:00:00"/>
    <d v="2022-05-12T00:00:00"/>
    <n v="-43.53"/>
    <n v="43.53"/>
    <s v="NL91ABNA0511615140"/>
    <s v="OOM HOLDING NV"/>
    <x v="2"/>
    <x v="2"/>
    <x v="12"/>
  </r>
  <r>
    <n v="202208003"/>
    <s v="NL22RABO0381604934"/>
    <s v="EUR"/>
    <x v="6"/>
    <x v="32"/>
    <d v="2022-05-25T00:00:00"/>
    <d v="2022-05-25T00:00:00"/>
    <n v="21.77"/>
    <n v="21.77"/>
    <s v="NL91ABNA0511615140"/>
    <s v="OOM HOLDING NV"/>
    <x v="2"/>
    <x v="2"/>
    <x v="12"/>
  </r>
  <r>
    <n v="202301062"/>
    <s v="NL22RABO0381604934"/>
    <s v="EUR"/>
    <x v="6"/>
    <x v="35"/>
    <d v="2022-11-08T00:00:00"/>
    <d v="2022-11-08T00:00:00"/>
    <n v="-56.77"/>
    <m/>
    <s v="NL91ABNA0511615140"/>
    <s v="OOM HOLDING NV"/>
    <x v="2"/>
    <x v="2"/>
    <x v="12"/>
  </r>
  <r>
    <n v="202301083"/>
    <s v="NL22RABO0381604934"/>
    <s v="EUR"/>
    <x v="6"/>
    <x v="33"/>
    <d v="2022-12-01T00:00:00"/>
    <d v="2022-12-01T00:00:00"/>
    <n v="-68.12"/>
    <m/>
    <s v="NL91ABNA0511615140"/>
    <s v="OOM HOLDING NV"/>
    <x v="2"/>
    <x v="2"/>
    <x v="12"/>
  </r>
  <r>
    <n v="202301109"/>
    <s v="RABO GOLD CARD"/>
    <m/>
    <x v="6"/>
    <x v="34"/>
    <d v="2022-10-17T00:00:00"/>
    <m/>
    <n v="-26.75"/>
    <m/>
    <m/>
    <s v="E-VISA VIET NAM          HA NOI       VNM"/>
    <x v="1"/>
    <x v="2"/>
    <x v="11"/>
  </r>
  <r>
    <n v="202301164"/>
    <s v="KAS"/>
    <m/>
    <x v="6"/>
    <x v="34"/>
    <d v="2022-10-20T00:00:00"/>
    <m/>
    <n v="0"/>
    <m/>
    <m/>
    <s v="TCO"/>
    <x v="1"/>
    <x v="2"/>
    <x v="13"/>
  </r>
  <r>
    <n v="202305002"/>
    <s v="NL22RABO0381604934"/>
    <s v="EUR"/>
    <x v="0"/>
    <x v="42"/>
    <d v="2023-01-02T00:00:00"/>
    <d v="2023-01-02T00:00:00"/>
    <n v="-68.12"/>
    <n v="81.709999999999994"/>
    <s v="NL91ABNA0511615140"/>
    <s v="OOM HOLDING NV"/>
    <x v="2"/>
    <x v="2"/>
    <x v="12"/>
  </r>
  <r>
    <n v="202305017"/>
    <s v="NL22RABO0381604934"/>
    <s v="EUR"/>
    <x v="0"/>
    <x v="0"/>
    <d v="2023-02-01T00:00:00"/>
    <d v="2023-02-01T00:00:00"/>
    <n v="-68.12"/>
    <n v="270.33"/>
    <s v="NL91ABNA0511615140"/>
    <s v="OOM HOLDING NV"/>
    <x v="2"/>
    <x v="2"/>
    <x v="12"/>
  </r>
  <r>
    <n v="202305027"/>
    <s v="NL22RABO0381604934"/>
    <s v="EUR"/>
    <x v="0"/>
    <x v="0"/>
    <d v="2023-02-24T00:00:00"/>
    <d v="2023-02-24T00:00:00"/>
    <n v="22.71"/>
    <n v="387.41"/>
    <s v="NL91ABNA0511615140"/>
    <s v="OOM HOLDING NV"/>
    <x v="2"/>
    <x v="2"/>
    <x v="12"/>
  </r>
  <r>
    <n v="112"/>
    <s v="KAS"/>
    <m/>
    <x v="1"/>
    <x v="43"/>
    <d v="2017-03-27T00:00:00"/>
    <d v="2017-03-27T00:00:00"/>
    <n v="-31"/>
    <n v="31"/>
    <m/>
    <s v="boodsch"/>
    <x v="1"/>
    <x v="3"/>
    <x v="16"/>
  </r>
  <r>
    <n v="113"/>
    <s v="KAS"/>
    <m/>
    <x v="1"/>
    <x v="43"/>
    <d v="2017-03-27T00:00:00"/>
    <d v="2017-03-27T00:00:00"/>
    <n v="-19"/>
    <n v="19"/>
    <m/>
    <s v="boodsch"/>
    <x v="1"/>
    <x v="3"/>
    <x v="16"/>
  </r>
  <r>
    <n v="148"/>
    <s v="KAS"/>
    <m/>
    <x v="1"/>
    <x v="44"/>
    <d v="2017-04-11T00:00:00"/>
    <d v="2017-04-11T00:00:00"/>
    <n v="-1.97"/>
    <n v="1.97"/>
    <m/>
    <s v="boodsch"/>
    <x v="1"/>
    <x v="3"/>
    <x v="16"/>
  </r>
  <r>
    <n v="162"/>
    <s v="KAS"/>
    <m/>
    <x v="1"/>
    <x v="44"/>
    <d v="2017-04-17T00:00:00"/>
    <d v="2017-04-17T00:00:00"/>
    <n v="-1.7"/>
    <n v="1.7"/>
    <m/>
    <s v="kurkuma+peper"/>
    <x v="1"/>
    <x v="3"/>
    <x v="16"/>
  </r>
  <r>
    <n v="168"/>
    <s v="KAS"/>
    <m/>
    <x v="1"/>
    <x v="44"/>
    <d v="2017-04-17T00:00:00"/>
    <d v="2017-04-17T00:00:00"/>
    <n v="-0.9"/>
    <n v="0.9"/>
    <m/>
    <s v="appel"/>
    <x v="1"/>
    <x v="3"/>
    <x v="16"/>
  </r>
  <r>
    <n v="175"/>
    <s v="KAS"/>
    <m/>
    <x v="1"/>
    <x v="44"/>
    <d v="2017-04-22T00:00:00"/>
    <d v="2017-04-22T00:00:00"/>
    <n v="-10.1"/>
    <n v="10.1"/>
    <m/>
    <s v="boodsch"/>
    <x v="1"/>
    <x v="3"/>
    <x v="16"/>
  </r>
  <r>
    <n v="187"/>
    <s v="KAS"/>
    <m/>
    <x v="1"/>
    <x v="44"/>
    <d v="2017-04-26T00:00:00"/>
    <d v="2017-04-26T00:00:00"/>
    <n v="-3"/>
    <n v="3"/>
    <m/>
    <s v="boodsch"/>
    <x v="1"/>
    <x v="3"/>
    <x v="16"/>
  </r>
  <r>
    <n v="200"/>
    <s v="KAS"/>
    <m/>
    <x v="1"/>
    <x v="45"/>
    <d v="2017-05-02T00:00:00"/>
    <d v="2017-05-02T00:00:00"/>
    <n v="-2.56"/>
    <n v="2.56"/>
    <m/>
    <s v="boodsch"/>
    <x v="1"/>
    <x v="3"/>
    <x v="16"/>
  </r>
  <r>
    <n v="221"/>
    <s v="KAS"/>
    <m/>
    <x v="1"/>
    <x v="45"/>
    <d v="2017-05-17T00:00:00"/>
    <d v="2017-05-17T00:00:00"/>
    <n v="-4.93"/>
    <n v="4.93"/>
    <m/>
    <s v="boodsch"/>
    <x v="1"/>
    <x v="3"/>
    <x v="16"/>
  </r>
  <r>
    <n v="228"/>
    <s v="KAS"/>
    <m/>
    <x v="1"/>
    <x v="45"/>
    <d v="2017-05-17T00:00:00"/>
    <d v="2017-05-17T00:00:00"/>
    <n v="-5"/>
    <n v="5"/>
    <m/>
    <s v="boodsch "/>
    <x v="1"/>
    <x v="3"/>
    <x v="16"/>
  </r>
  <r>
    <n v="231"/>
    <s v="KAS"/>
    <m/>
    <x v="1"/>
    <x v="45"/>
    <d v="2017-05-20T00:00:00"/>
    <d v="2017-05-20T00:00:00"/>
    <n v="-1"/>
    <n v="1"/>
    <m/>
    <s v="boodsch"/>
    <x v="1"/>
    <x v="3"/>
    <x v="16"/>
  </r>
  <r>
    <n v="246"/>
    <s v="KAS"/>
    <m/>
    <x v="1"/>
    <x v="45"/>
    <d v="2017-05-29T00:00:00"/>
    <d v="2017-05-29T00:00:00"/>
    <n v="-1.41"/>
    <n v="1.41"/>
    <m/>
    <s v="boodsch"/>
    <x v="1"/>
    <x v="3"/>
    <x v="16"/>
  </r>
  <r>
    <n v="251"/>
    <s v="KAS"/>
    <m/>
    <x v="1"/>
    <x v="46"/>
    <d v="2017-06-02T00:00:00"/>
    <d v="2017-06-02T00:00:00"/>
    <n v="-0.89"/>
    <n v="0.89"/>
    <m/>
    <s v="boodsch"/>
    <x v="1"/>
    <x v="3"/>
    <x v="16"/>
  </r>
  <r>
    <n v="252"/>
    <s v="KAS"/>
    <m/>
    <x v="1"/>
    <x v="46"/>
    <d v="2017-06-02T00:00:00"/>
    <d v="2017-06-02T00:00:00"/>
    <n v="-1"/>
    <n v="1"/>
    <m/>
    <s v="boodsch"/>
    <x v="1"/>
    <x v="3"/>
    <x v="16"/>
  </r>
  <r>
    <n v="253"/>
    <s v="KAS"/>
    <m/>
    <x v="1"/>
    <x v="46"/>
    <d v="2017-06-02T00:00:00"/>
    <d v="2017-06-02T00:00:00"/>
    <n v="-1.62"/>
    <n v="1.62"/>
    <m/>
    <s v="boodsch"/>
    <x v="1"/>
    <x v="3"/>
    <x v="16"/>
  </r>
  <r>
    <n v="258"/>
    <s v="KAS"/>
    <m/>
    <x v="1"/>
    <x v="46"/>
    <d v="2017-06-03T00:00:00"/>
    <d v="2017-06-03T00:00:00"/>
    <n v="-5.74"/>
    <n v="5.74"/>
    <m/>
    <s v="boodsch"/>
    <x v="1"/>
    <x v="3"/>
    <x v="16"/>
  </r>
  <r>
    <n v="269"/>
    <s v="KAS"/>
    <m/>
    <x v="1"/>
    <x v="46"/>
    <d v="2017-06-10T00:00:00"/>
    <d v="2017-06-10T00:00:00"/>
    <n v="-0.99"/>
    <n v="0.99"/>
    <m/>
    <s v="boodsch"/>
    <x v="1"/>
    <x v="3"/>
    <x v="16"/>
  </r>
  <r>
    <n v="271"/>
    <s v="KAS"/>
    <m/>
    <x v="1"/>
    <x v="46"/>
    <d v="2017-06-12T00:00:00"/>
    <d v="2017-06-12T00:00:00"/>
    <n v="-1.84"/>
    <n v="1.84"/>
    <m/>
    <s v="boodsch"/>
    <x v="1"/>
    <x v="3"/>
    <x v="16"/>
  </r>
  <r>
    <n v="285"/>
    <s v="KAS"/>
    <m/>
    <x v="1"/>
    <x v="46"/>
    <d v="2017-06-24T00:00:00"/>
    <d v="2017-06-24T00:00:00"/>
    <n v="-1.88"/>
    <n v="1.88"/>
    <m/>
    <s v="boodsch"/>
    <x v="1"/>
    <x v="3"/>
    <x v="16"/>
  </r>
  <r>
    <n v="295"/>
    <s v="KAS"/>
    <m/>
    <x v="1"/>
    <x v="46"/>
    <d v="2017-06-26T00:00:00"/>
    <d v="2017-06-26T00:00:00"/>
    <n v="-1.62"/>
    <n v="1.62"/>
    <m/>
    <s v="boodsch"/>
    <x v="1"/>
    <x v="3"/>
    <x v="16"/>
  </r>
  <r>
    <n v="299"/>
    <s v="KAS"/>
    <m/>
    <x v="1"/>
    <x v="46"/>
    <d v="2017-06-29T00:00:00"/>
    <d v="2017-06-29T00:00:00"/>
    <n v="-1.83"/>
    <n v="1.83"/>
    <m/>
    <s v="boodsch"/>
    <x v="1"/>
    <x v="3"/>
    <x v="16"/>
  </r>
  <r>
    <n v="306"/>
    <s v="KAS"/>
    <m/>
    <x v="1"/>
    <x v="36"/>
    <d v="2017-07-05T00:00:00"/>
    <d v="2017-07-05T00:00:00"/>
    <n v="-5"/>
    <n v="5"/>
    <m/>
    <s v="boodsch"/>
    <x v="1"/>
    <x v="3"/>
    <x v="16"/>
  </r>
  <r>
    <n v="307"/>
    <s v="KAS"/>
    <m/>
    <x v="1"/>
    <x v="36"/>
    <d v="2017-07-05T00:00:00"/>
    <d v="2017-07-05T00:00:00"/>
    <n v="-15.88"/>
    <n v="15.88"/>
    <m/>
    <s v="boodsch"/>
    <x v="1"/>
    <x v="3"/>
    <x v="16"/>
  </r>
  <r>
    <n v="310"/>
    <s v="KAS"/>
    <m/>
    <x v="1"/>
    <x v="36"/>
    <d v="2017-07-05T00:00:00"/>
    <d v="2017-07-05T00:00:00"/>
    <n v="-2.4"/>
    <n v="2.4"/>
    <m/>
    <s v="yogurt 6/7"/>
    <x v="1"/>
    <x v="3"/>
    <x v="16"/>
  </r>
  <r>
    <n v="335"/>
    <s v="KAS"/>
    <m/>
    <x v="1"/>
    <x v="47"/>
    <d v="2017-08-02T00:00:00"/>
    <d v="2017-08-02T00:00:00"/>
    <n v="-3.5"/>
    <n v="3.5"/>
    <m/>
    <s v="kauwgom+w a ter+koffie"/>
    <x v="1"/>
    <x v="3"/>
    <x v="16"/>
  </r>
  <r>
    <n v="347"/>
    <s v="KAS"/>
    <m/>
    <x v="1"/>
    <x v="47"/>
    <d v="2017-08-11T00:00:00"/>
    <d v="2017-08-11T00:00:00"/>
    <n v="-1.07"/>
    <n v="1.07"/>
    <m/>
    <s v="boodsch"/>
    <x v="1"/>
    <x v="3"/>
    <x v="16"/>
  </r>
  <r>
    <n v="350"/>
    <s v="KAS"/>
    <m/>
    <x v="1"/>
    <x v="47"/>
    <d v="2017-08-15T00:00:00"/>
    <d v="2017-08-15T00:00:00"/>
    <n v="-3.41"/>
    <n v="3.41"/>
    <m/>
    <s v="boodsch"/>
    <x v="1"/>
    <x v="3"/>
    <x v="16"/>
  </r>
  <r>
    <n v="353"/>
    <s v="KAS"/>
    <m/>
    <x v="1"/>
    <x v="47"/>
    <d v="2017-08-21T00:00:00"/>
    <d v="2017-08-21T00:00:00"/>
    <n v="-5"/>
    <n v="5"/>
    <m/>
    <s v="boodsch"/>
    <x v="1"/>
    <x v="3"/>
    <x v="16"/>
  </r>
  <r>
    <n v="354"/>
    <s v="KAS"/>
    <m/>
    <x v="1"/>
    <x v="47"/>
    <d v="2017-08-21T00:00:00"/>
    <d v="2017-08-21T00:00:00"/>
    <n v="-4"/>
    <n v="4"/>
    <m/>
    <s v="boodsch"/>
    <x v="1"/>
    <x v="3"/>
    <x v="16"/>
  </r>
  <r>
    <n v="356"/>
    <s v="KAS"/>
    <m/>
    <x v="1"/>
    <x v="47"/>
    <d v="2017-08-21T00:00:00"/>
    <d v="2017-08-21T00:00:00"/>
    <n v="-1.32"/>
    <n v="1.32"/>
    <m/>
    <s v="boodsch"/>
    <x v="1"/>
    <x v="3"/>
    <x v="16"/>
  </r>
  <r>
    <n v="381"/>
    <s v="KAS"/>
    <m/>
    <x v="1"/>
    <x v="48"/>
    <d v="2017-09-12T00:00:00"/>
    <d v="2017-09-12T00:00:00"/>
    <n v="-3.76"/>
    <n v="3.76"/>
    <m/>
    <s v="Boodsch"/>
    <x v="1"/>
    <x v="3"/>
    <x v="16"/>
  </r>
  <r>
    <n v="394"/>
    <s v="KAS"/>
    <m/>
    <x v="1"/>
    <x v="48"/>
    <d v="2017-09-14T00:00:00"/>
    <d v="2017-09-14T00:00:00"/>
    <n v="-0.65"/>
    <n v="0.65"/>
    <m/>
    <s v="knoflook"/>
    <x v="1"/>
    <x v="3"/>
    <x v="16"/>
  </r>
  <r>
    <n v="395"/>
    <s v="KAS"/>
    <m/>
    <x v="1"/>
    <x v="48"/>
    <d v="2017-09-20T00:00:00"/>
    <d v="2017-09-20T00:00:00"/>
    <n v="-5.12"/>
    <n v="5.12"/>
    <m/>
    <s v="boodsch"/>
    <x v="1"/>
    <x v="3"/>
    <x v="16"/>
  </r>
  <r>
    <n v="397"/>
    <s v="KAS"/>
    <m/>
    <x v="1"/>
    <x v="48"/>
    <d v="2017-09-22T00:00:00"/>
    <d v="2017-09-22T00:00:00"/>
    <n v="-1.61"/>
    <n v="1.61"/>
    <m/>
    <s v="boodsch"/>
    <x v="1"/>
    <x v="3"/>
    <x v="16"/>
  </r>
  <r>
    <n v="432"/>
    <s v="NL22RABO0381604934"/>
    <m/>
    <x v="1"/>
    <x v="2"/>
    <d v="2017-02-23T00:00:00"/>
    <d v="2017-02-23T00:00:00"/>
    <n v="-0.73"/>
    <n v="0.73"/>
    <m/>
    <s v="boodsc"/>
    <x v="1"/>
    <x v="3"/>
    <x v="16"/>
  </r>
  <r>
    <n v="433"/>
    <s v="NL22RABO0381604934"/>
    <m/>
    <x v="1"/>
    <x v="2"/>
    <d v="2017-02-23T00:00:00"/>
    <d v="2017-02-23T00:00:00"/>
    <n v="-2.84"/>
    <n v="2.84"/>
    <m/>
    <s v="boodsch ontbijt"/>
    <x v="1"/>
    <x v="3"/>
    <x v="16"/>
  </r>
  <r>
    <n v="434"/>
    <s v="NL22RABO0381604934"/>
    <m/>
    <x v="1"/>
    <x v="2"/>
    <d v="2017-02-23T00:00:00"/>
    <d v="2017-02-23T00:00:00"/>
    <n v="-1.81"/>
    <n v="1.81"/>
    <m/>
    <s v="boodsch soep"/>
    <x v="1"/>
    <x v="3"/>
    <x v="16"/>
  </r>
  <r>
    <n v="437"/>
    <s v="NL22RABO0381604934"/>
    <m/>
    <x v="1"/>
    <x v="2"/>
    <d v="2017-02-25T00:00:00"/>
    <d v="2017-02-25T00:00:00"/>
    <n v="-2.84"/>
    <n v="2.84"/>
    <m/>
    <s v="Coop 2113 MUSSELKANAAL"/>
    <x v="1"/>
    <x v="3"/>
    <x v="16"/>
  </r>
  <r>
    <n v="441"/>
    <s v="NL22RABO0381604934"/>
    <m/>
    <x v="1"/>
    <x v="2"/>
    <d v="2017-02-28T00:00:00"/>
    <d v="2017-02-28T00:00:00"/>
    <n v="-0.73"/>
    <n v="0.73"/>
    <m/>
    <s v="Albert Heijn 1122 STADSKANAAL"/>
    <x v="1"/>
    <x v="3"/>
    <x v="16"/>
  </r>
  <r>
    <n v="442"/>
    <s v="NL22RABO0381604934"/>
    <m/>
    <x v="1"/>
    <x v="2"/>
    <d v="2017-02-28T00:00:00"/>
    <d v="2017-02-28T00:00:00"/>
    <n v="-1.81"/>
    <n v="1.81"/>
    <m/>
    <s v="Coop 2113 MUSSELKANAAL"/>
    <x v="1"/>
    <x v="3"/>
    <x v="16"/>
  </r>
  <r>
    <n v="444"/>
    <s v="NL22RABO0381604934"/>
    <m/>
    <x v="1"/>
    <x v="43"/>
    <d v="2017-03-02T00:00:00"/>
    <d v="2017-03-02T00:00:00"/>
    <n v="-12.32"/>
    <n v="12.32"/>
    <m/>
    <s v="Supermarkt Houwer BV ARNHEM"/>
    <x v="1"/>
    <x v="3"/>
    <x v="16"/>
  </r>
  <r>
    <n v="446"/>
    <s v="NL22RABO0381604934"/>
    <m/>
    <x v="1"/>
    <x v="43"/>
    <d v="2017-03-02T00:00:00"/>
    <d v="2017-03-02T00:00:00"/>
    <n v="-5.14"/>
    <n v="5.14"/>
    <m/>
    <s v="ALBERT HEIJN 1101 ARNHEM"/>
    <x v="1"/>
    <x v="3"/>
    <x v="16"/>
  </r>
  <r>
    <n v="452"/>
    <s v="NL22RABO0381604934"/>
    <m/>
    <x v="1"/>
    <x v="43"/>
    <d v="2017-03-05T00:00:00"/>
    <d v="2017-03-05T00:00:00"/>
    <n v="-4.1900000000000004"/>
    <n v="4.1900000000000004"/>
    <m/>
    <s v="Supermarkt Houwer BV ARNHEM"/>
    <x v="1"/>
    <x v="3"/>
    <x v="16"/>
  </r>
  <r>
    <n v="455"/>
    <s v="NL22RABO0381604934"/>
    <m/>
    <x v="1"/>
    <x v="43"/>
    <d v="2017-03-06T00:00:00"/>
    <d v="2017-03-06T00:00:00"/>
    <n v="-1.78"/>
    <n v="1.78"/>
    <m/>
    <s v="ALBERT HEIJN 1101 ARNHEM"/>
    <x v="1"/>
    <x v="3"/>
    <x v="16"/>
  </r>
  <r>
    <n v="459"/>
    <s v="NL22RABO0381604934"/>
    <m/>
    <x v="1"/>
    <x v="43"/>
    <d v="2017-03-08T00:00:00"/>
    <d v="2017-03-08T00:00:00"/>
    <n v="-2.98"/>
    <n v="2.98"/>
    <m/>
    <s v="ALBERT HEIJN 1101 ARNHEM"/>
    <x v="1"/>
    <x v="3"/>
    <x v="16"/>
  </r>
  <r>
    <n v="470"/>
    <s v="NL22RABO0381604934"/>
    <m/>
    <x v="1"/>
    <x v="43"/>
    <d v="2017-03-12T00:00:00"/>
    <d v="2017-03-12T00:00:00"/>
    <n v="-9.33"/>
    <n v="9.33"/>
    <m/>
    <s v="Plus Musiskwartier ARNHEM"/>
    <x v="1"/>
    <x v="3"/>
    <x v="16"/>
  </r>
  <r>
    <n v="483"/>
    <s v="NL22RABO0381604934"/>
    <m/>
    <x v="1"/>
    <x v="43"/>
    <d v="2017-03-15T00:00:00"/>
    <d v="2017-03-15T00:00:00"/>
    <n v="-0.33"/>
    <n v="0.33"/>
    <m/>
    <s v="Plus Musiskwartier ARNHEM"/>
    <x v="1"/>
    <x v="3"/>
    <x v="16"/>
  </r>
  <r>
    <n v="489"/>
    <s v="NL22RABO0381604934"/>
    <m/>
    <x v="1"/>
    <x v="43"/>
    <d v="2017-03-16T00:00:00"/>
    <d v="2017-03-16T00:00:00"/>
    <n v="-4.5999999999999996"/>
    <n v="4.5999999999999996"/>
    <m/>
    <s v="Plus Musiskwartier ARNHEM"/>
    <x v="1"/>
    <x v="3"/>
    <x v="16"/>
  </r>
  <r>
    <n v="498"/>
    <s v="NL22RABO0381604934"/>
    <m/>
    <x v="1"/>
    <x v="43"/>
    <d v="2017-03-18T00:00:00"/>
    <d v="2017-03-18T00:00:00"/>
    <n v="-6.82"/>
    <n v="6.82"/>
    <m/>
    <s v="Plus Musiskwartier ARNHEM"/>
    <x v="1"/>
    <x v="3"/>
    <x v="16"/>
  </r>
  <r>
    <n v="506"/>
    <s v="NL22RABO0381604934"/>
    <m/>
    <x v="1"/>
    <x v="43"/>
    <d v="2017-03-20T00:00:00"/>
    <d v="2017-03-20T00:00:00"/>
    <n v="-1.82"/>
    <n v="1.82"/>
    <m/>
    <s v="ALBERT HEIJN 1101 ARNHEM"/>
    <x v="1"/>
    <x v="3"/>
    <x v="16"/>
  </r>
  <r>
    <n v="510"/>
    <s v="NL22RABO0381604934"/>
    <m/>
    <x v="1"/>
    <x v="43"/>
    <d v="2017-03-21T00:00:00"/>
    <d v="2017-03-21T00:00:00"/>
    <n v="-1.5"/>
    <n v="1.5"/>
    <m/>
    <s v="AH To Go Arnhem ARNHEM"/>
    <x v="1"/>
    <x v="3"/>
    <x v="16"/>
  </r>
  <r>
    <n v="511"/>
    <s v="NL22RABO0381604934"/>
    <m/>
    <x v="1"/>
    <x v="43"/>
    <d v="2017-03-22T00:00:00"/>
    <d v="2017-03-22T00:00:00"/>
    <n v="-1.05"/>
    <n v="1.05"/>
    <m/>
    <s v="Albert Heijn 1122 STADSKANAAL"/>
    <x v="1"/>
    <x v="3"/>
    <x v="16"/>
  </r>
  <r>
    <n v="512"/>
    <s v="NL22RABO0381604934"/>
    <m/>
    <x v="1"/>
    <x v="43"/>
    <d v="2017-03-22T00:00:00"/>
    <d v="2017-03-22T00:00:00"/>
    <n v="-10"/>
    <n v="10"/>
    <m/>
    <s v="Jumbo Froukje Sloot STADSKANAAL"/>
    <x v="1"/>
    <x v="3"/>
    <x v="16"/>
  </r>
  <r>
    <n v="515"/>
    <s v="NL22RABO0381604934"/>
    <m/>
    <x v="1"/>
    <x v="43"/>
    <d v="2017-03-24T00:00:00"/>
    <d v="2017-03-24T00:00:00"/>
    <n v="-1.99"/>
    <n v="1.99"/>
    <m/>
    <s v="Coop 2113 MUSSELKANAAL"/>
    <x v="1"/>
    <x v="3"/>
    <x v="16"/>
  </r>
  <r>
    <n v="518"/>
    <s v="NL22RABO0381604934"/>
    <m/>
    <x v="1"/>
    <x v="43"/>
    <d v="2017-03-27T00:00:00"/>
    <d v="2017-03-27T00:00:00"/>
    <n v="-5.07"/>
    <n v="5.07"/>
    <m/>
    <s v="Coop 2113 MUSSELKANAAL"/>
    <x v="1"/>
    <x v="3"/>
    <x v="16"/>
  </r>
  <r>
    <n v="526"/>
    <s v="NL22RABO0381604934"/>
    <m/>
    <x v="1"/>
    <x v="44"/>
    <d v="2017-04-03T00:00:00"/>
    <d v="2017-04-03T00:00:00"/>
    <n v="-10.82"/>
    <n v="10.82"/>
    <m/>
    <s v="SUPERMERCATO IPER     \ROMA       RM\"/>
    <x v="1"/>
    <x v="3"/>
    <x v="16"/>
  </r>
  <r>
    <n v="527"/>
    <s v="NL22RABO0381604934"/>
    <m/>
    <x v="1"/>
    <x v="44"/>
    <d v="2017-04-03T00:00:00"/>
    <d v="2017-04-03T00:00:00"/>
    <n v="-10.88"/>
    <n v="10.88"/>
    <m/>
    <s v="SUPERMERCATO DUE P 201\ROMA         \"/>
    <x v="1"/>
    <x v="3"/>
    <x v="16"/>
  </r>
  <r>
    <n v="528"/>
    <s v="NL22RABO0381604934"/>
    <m/>
    <x v="1"/>
    <x v="44"/>
    <d v="2017-04-03T00:00:00"/>
    <d v="2017-04-03T00:00:00"/>
    <n v="-11.3"/>
    <n v="11.3"/>
    <m/>
    <s v="SUPERMERCATO DUE P 201\ROMA         \"/>
    <x v="1"/>
    <x v="3"/>
    <x v="16"/>
  </r>
  <r>
    <n v="532"/>
    <s v="NL22RABO0381604934"/>
    <m/>
    <x v="1"/>
    <x v="44"/>
    <d v="2017-04-10T00:00:00"/>
    <d v="2017-04-10T00:00:00"/>
    <n v="-12.73"/>
    <n v="12.73"/>
    <m/>
    <s v="SUPERMERCATO MA &amp; GI  \ROMA         \"/>
    <x v="1"/>
    <x v="3"/>
    <x v="16"/>
  </r>
  <r>
    <n v="533"/>
    <s v="NL22RABO0381604934"/>
    <m/>
    <x v="1"/>
    <x v="44"/>
    <d v="2017-04-10T00:00:00"/>
    <d v="2017-04-10T00:00:00"/>
    <n v="-14.18"/>
    <n v="14.18"/>
    <m/>
    <s v="LIDL 3508             \ROMA         \"/>
    <x v="1"/>
    <x v="3"/>
    <x v="16"/>
  </r>
  <r>
    <n v="538"/>
    <s v="NL22RABO0381604934"/>
    <m/>
    <x v="1"/>
    <x v="44"/>
    <d v="2017-04-17T00:00:00"/>
    <d v="2017-04-17T00:00:00"/>
    <n v="-16.100000000000001"/>
    <n v="16.100000000000001"/>
    <m/>
    <s v="SUPERMERCATO DUE P 201\ROMA         \"/>
    <x v="1"/>
    <x v="3"/>
    <x v="16"/>
  </r>
  <r>
    <n v="539"/>
    <s v="NL22RABO0381604934"/>
    <m/>
    <x v="1"/>
    <x v="44"/>
    <d v="2017-04-18T00:00:00"/>
    <d v="2017-04-18T00:00:00"/>
    <n v="-10.73"/>
    <n v="10.73"/>
    <m/>
    <s v="SUPERMERCATO DUE P 201\ROMA         \"/>
    <x v="1"/>
    <x v="3"/>
    <x v="16"/>
  </r>
  <r>
    <n v="541"/>
    <s v="NL22RABO0381604934"/>
    <m/>
    <x v="1"/>
    <x v="44"/>
    <d v="2017-04-21T00:00:00"/>
    <d v="2017-04-21T00:00:00"/>
    <n v="-3.86"/>
    <n v="3.86"/>
    <m/>
    <s v="SUPERMERCATO DUE P 201\ROMA         \"/>
    <x v="1"/>
    <x v="3"/>
    <x v="16"/>
  </r>
  <r>
    <n v="542"/>
    <s v="NL22RABO0381604934"/>
    <m/>
    <x v="1"/>
    <x v="44"/>
    <d v="2017-04-24T00:00:00"/>
    <d v="2017-04-24T00:00:00"/>
    <n v="-13.11"/>
    <n v="13.11"/>
    <m/>
    <s v="SUPERMERCATO DUE P 201\ROMA         \"/>
    <x v="1"/>
    <x v="3"/>
    <x v="16"/>
  </r>
  <r>
    <n v="547"/>
    <s v="NL22RABO0381604934"/>
    <m/>
    <x v="1"/>
    <x v="44"/>
    <d v="2017-04-27T00:00:00"/>
    <d v="2017-04-27T00:00:00"/>
    <n v="-11.65"/>
    <n v="11.65"/>
    <m/>
    <s v="SUPERMERCATO DUE P 201\ROMA         \"/>
    <x v="1"/>
    <x v="3"/>
    <x v="16"/>
  </r>
  <r>
    <n v="548"/>
    <s v="NL22RABO0381604934"/>
    <m/>
    <x v="1"/>
    <x v="44"/>
    <d v="2017-04-28T00:00:00"/>
    <d v="2017-04-28T00:00:00"/>
    <n v="-3.89"/>
    <n v="3.89"/>
    <m/>
    <s v="SUPERMERCATO DUE P 201\ROMA         \"/>
    <x v="1"/>
    <x v="3"/>
    <x v="16"/>
  </r>
  <r>
    <n v="551"/>
    <s v="NL22RABO0381604934"/>
    <m/>
    <x v="1"/>
    <x v="45"/>
    <d v="2017-05-03T00:00:00"/>
    <d v="2017-05-03T00:00:00"/>
    <n v="-7.59"/>
    <n v="7.59"/>
    <m/>
    <s v="AL MERCATO            \ROMA         \"/>
    <x v="1"/>
    <x v="3"/>
    <x v="16"/>
  </r>
  <r>
    <n v="556"/>
    <s v="NL22RABO0381604934"/>
    <m/>
    <x v="1"/>
    <x v="45"/>
    <d v="2017-05-10T00:00:00"/>
    <d v="2017-05-10T00:00:00"/>
    <n v="-8.08"/>
    <n v="8.08"/>
    <m/>
    <s v="SUPERMERCATO DUE P 201\ROMA         \"/>
    <x v="1"/>
    <x v="3"/>
    <x v="16"/>
  </r>
  <r>
    <n v="558"/>
    <s v="NL22RABO0381604934"/>
    <m/>
    <x v="1"/>
    <x v="45"/>
    <d v="2017-05-15T00:00:00"/>
    <d v="2017-05-15T00:00:00"/>
    <n v="-16.62"/>
    <n v="16.62"/>
    <m/>
    <s v="SUPERMERCATO DUE P 201\ROMA         \"/>
    <x v="1"/>
    <x v="3"/>
    <x v="16"/>
  </r>
  <r>
    <n v="559"/>
    <s v="NL22RABO0381604934"/>
    <m/>
    <x v="1"/>
    <x v="45"/>
    <d v="2017-05-23T00:00:00"/>
    <d v="2017-05-23T00:00:00"/>
    <n v="-15.26"/>
    <n v="15.26"/>
    <m/>
    <s v="SUPERMERCATO DUE P 201\ROMA         \"/>
    <x v="1"/>
    <x v="3"/>
    <x v="16"/>
  </r>
  <r>
    <n v="564"/>
    <s v="NL22RABO0381604934"/>
    <m/>
    <x v="1"/>
    <x v="45"/>
    <d v="2017-05-26T00:00:00"/>
    <d v="2017-05-26T00:00:00"/>
    <n v="-5.3"/>
    <n v="5.3"/>
    <m/>
    <s v="SUPERMERCATO DUE P 201\ROMA         \"/>
    <x v="1"/>
    <x v="3"/>
    <x v="16"/>
  </r>
  <r>
    <n v="566"/>
    <s v="NL22RABO0381604934"/>
    <m/>
    <x v="1"/>
    <x v="45"/>
    <d v="2017-05-30T00:00:00"/>
    <d v="2017-05-30T00:00:00"/>
    <n v="-26.33"/>
    <n v="26.33"/>
    <m/>
    <s v="SUPERMERCATO DUE P 201\ROMA         \"/>
    <x v="1"/>
    <x v="3"/>
    <x v="16"/>
  </r>
  <r>
    <n v="570"/>
    <s v="NL22RABO0381604934"/>
    <m/>
    <x v="1"/>
    <x v="46"/>
    <d v="2017-06-09T00:00:00"/>
    <d v="2017-06-09T00:00:00"/>
    <n v="-16.72"/>
    <n v="16.72"/>
    <m/>
    <s v="SUPERMERCATO DUE P 201\ROMA         \"/>
    <x v="1"/>
    <x v="3"/>
    <x v="16"/>
  </r>
  <r>
    <n v="571"/>
    <s v="NL22RABO0381604934"/>
    <m/>
    <x v="1"/>
    <x v="46"/>
    <d v="2017-06-12T00:00:00"/>
    <d v="2017-06-12T00:00:00"/>
    <n v="-10.75"/>
    <n v="10.75"/>
    <m/>
    <s v="AL MERCATO            \ROMA         \"/>
    <x v="1"/>
    <x v="3"/>
    <x v="16"/>
  </r>
  <r>
    <n v="572"/>
    <s v="NL22RABO0381604934"/>
    <m/>
    <x v="1"/>
    <x v="46"/>
    <d v="2017-06-12T00:00:00"/>
    <d v="2017-06-12T00:00:00"/>
    <n v="-23.32"/>
    <n v="23.32"/>
    <m/>
    <s v="MA. &amp; GI. SRL         \ROMA         \"/>
    <x v="1"/>
    <x v="3"/>
    <x v="16"/>
  </r>
  <r>
    <n v="573"/>
    <s v="NL22RABO0381604934"/>
    <m/>
    <x v="1"/>
    <x v="46"/>
    <d v="2017-06-20T00:00:00"/>
    <d v="2017-06-20T00:00:00"/>
    <n v="-14.14"/>
    <n v="14.14"/>
    <m/>
    <s v="SUPERMERCATO DUE P 201\ROMA         \"/>
    <x v="1"/>
    <x v="3"/>
    <x v="16"/>
  </r>
  <r>
    <n v="576"/>
    <s v="NL22RABO0381604934"/>
    <m/>
    <x v="1"/>
    <x v="46"/>
    <d v="2017-06-26T00:00:00"/>
    <d v="2017-06-26T00:00:00"/>
    <n v="-27.22"/>
    <n v="27.22"/>
    <m/>
    <s v="SUPERMERCATO DUE P 201\ROMA         \"/>
    <x v="1"/>
    <x v="3"/>
    <x v="16"/>
  </r>
  <r>
    <n v="581"/>
    <s v="NL22RABO0381604934"/>
    <m/>
    <x v="1"/>
    <x v="46"/>
    <d v="2017-06-30T00:00:00"/>
    <d v="2017-06-30T00:00:00"/>
    <n v="-10.23"/>
    <n v="10.23"/>
    <m/>
    <s v="SUPERMERCATO DUE P 201\ROMA         \"/>
    <x v="1"/>
    <x v="3"/>
    <x v="16"/>
  </r>
  <r>
    <n v="585"/>
    <s v="NL22RABO0381604934"/>
    <m/>
    <x v="1"/>
    <x v="36"/>
    <d v="2017-07-14T00:00:00"/>
    <d v="2017-07-14T00:00:00"/>
    <n v="-25.83"/>
    <n v="25.83"/>
    <m/>
    <s v="LIDL 3513             \ROMA         \"/>
    <x v="1"/>
    <x v="3"/>
    <x v="16"/>
  </r>
  <r>
    <n v="587"/>
    <s v="NL22RABO0381604934"/>
    <m/>
    <x v="1"/>
    <x v="36"/>
    <d v="2017-07-24T00:00:00"/>
    <d v="2017-07-24T00:00:00"/>
    <n v="-22.68"/>
    <n v="22.68"/>
    <m/>
    <s v="SUPERMERCATO DUE P 201\ROMA         \"/>
    <x v="1"/>
    <x v="3"/>
    <x v="16"/>
  </r>
  <r>
    <n v="589"/>
    <s v="NL22RABO0381604934"/>
    <m/>
    <x v="1"/>
    <x v="36"/>
    <d v="2017-07-26T00:00:00"/>
    <d v="2017-07-26T00:00:00"/>
    <n v="-9.25"/>
    <n v="9.25"/>
    <m/>
    <s v="IPERTRISCOUNT         \ROMA         \"/>
    <x v="1"/>
    <x v="3"/>
    <x v="16"/>
  </r>
  <r>
    <n v="590"/>
    <s v="NL22RABO0381604934"/>
    <m/>
    <x v="1"/>
    <x v="36"/>
    <d v="2017-07-26T00:00:00"/>
    <d v="2017-07-26T00:00:00"/>
    <n v="-31.24"/>
    <n v="31.24"/>
    <m/>
    <s v="SUPERMERCATO MA &amp; GI  \ROMA         \"/>
    <x v="1"/>
    <x v="3"/>
    <x v="16"/>
  </r>
  <r>
    <n v="597"/>
    <s v="NL22RABO0381604934"/>
    <m/>
    <x v="1"/>
    <x v="47"/>
    <d v="2017-08-07T00:00:00"/>
    <d v="2017-08-07T00:00:00"/>
    <n v="-3.39"/>
    <n v="3.39"/>
    <m/>
    <s v="ECV SHOPS SRL         \ROMA         \"/>
    <x v="1"/>
    <x v="3"/>
    <x v="16"/>
  </r>
  <r>
    <n v="599"/>
    <s v="NL22RABO0381604934"/>
    <m/>
    <x v="1"/>
    <x v="47"/>
    <d v="2017-08-07T00:00:00"/>
    <d v="2017-08-07T00:00:00"/>
    <n v="-1.55"/>
    <n v="1.55"/>
    <m/>
    <s v="ECV SHOPS SRL         \ROMA         \"/>
    <x v="1"/>
    <x v="3"/>
    <x v="16"/>
  </r>
  <r>
    <n v="600"/>
    <s v="NL22RABO0381604934"/>
    <m/>
    <x v="1"/>
    <x v="47"/>
    <d v="2017-08-08T00:00:00"/>
    <d v="2017-08-08T00:00:00"/>
    <n v="-15.95"/>
    <n v="15.95"/>
    <m/>
    <s v="SUPERMERCATO DUE P 201\ROMA         \"/>
    <x v="1"/>
    <x v="3"/>
    <x v="16"/>
  </r>
  <r>
    <n v="601"/>
    <s v="NL22RABO0381604934"/>
    <m/>
    <x v="1"/>
    <x v="47"/>
    <d v="2017-08-08T00:00:00"/>
    <d v="2017-08-08T00:00:00"/>
    <n v="-14"/>
    <n v="14"/>
    <m/>
    <s v="LIDL 3513             \ROMA         \"/>
    <x v="1"/>
    <x v="3"/>
    <x v="16"/>
  </r>
  <r>
    <n v="602"/>
    <s v="NL22RABO0381604934"/>
    <m/>
    <x v="1"/>
    <x v="47"/>
    <d v="2017-08-18T00:00:00"/>
    <d v="2017-08-18T00:00:00"/>
    <n v="-10.119999999999999"/>
    <n v="10.119999999999999"/>
    <m/>
    <s v="ECV SHOPS SRL         \ROMA         \"/>
    <x v="1"/>
    <x v="3"/>
    <x v="16"/>
  </r>
  <r>
    <n v="604"/>
    <s v="NL22RABO0381604934"/>
    <m/>
    <x v="1"/>
    <x v="47"/>
    <d v="2017-08-22T00:00:00"/>
    <d v="2017-08-22T00:00:00"/>
    <n v="-29.84"/>
    <n v="29.84"/>
    <m/>
    <s v="SUPERMERCATO DUE P 201\ROMA         \"/>
    <x v="1"/>
    <x v="3"/>
    <x v="16"/>
  </r>
  <r>
    <n v="609"/>
    <s v="NL22RABO0381604934"/>
    <m/>
    <x v="1"/>
    <x v="47"/>
    <d v="2017-08-28T00:00:00"/>
    <d v="2017-08-28T00:00:00"/>
    <n v="-5.32"/>
    <n v="5.32"/>
    <m/>
    <s v="SUPERMERCATO DUE P 201\ROMA         \"/>
    <x v="1"/>
    <x v="3"/>
    <x v="16"/>
  </r>
  <r>
    <n v="611"/>
    <s v="NL22RABO0381604934"/>
    <m/>
    <x v="1"/>
    <x v="47"/>
    <d v="2017-08-31T00:00:00"/>
    <d v="2017-08-31T00:00:00"/>
    <n v="-13.75"/>
    <n v="13.75"/>
    <m/>
    <s v="SUPERMERCATO DUE P 201\ROMA         \"/>
    <x v="1"/>
    <x v="3"/>
    <x v="16"/>
  </r>
  <r>
    <n v="614"/>
    <s v="NL22RABO0381604934"/>
    <m/>
    <x v="1"/>
    <x v="48"/>
    <d v="2017-09-06T00:00:00"/>
    <d v="2017-09-06T00:00:00"/>
    <n v="-10.09"/>
    <n v="10.09"/>
    <m/>
    <s v="SUPERMERCATO DUE P 201\ROMA         \"/>
    <x v="1"/>
    <x v="3"/>
    <x v="16"/>
  </r>
  <r>
    <n v="617"/>
    <s v="NL22RABO0381604934"/>
    <m/>
    <x v="1"/>
    <x v="48"/>
    <d v="2017-09-13T00:00:00"/>
    <d v="2017-09-13T00:00:00"/>
    <n v="-21.08"/>
    <n v="21.08"/>
    <m/>
    <s v="SUPERMERCATO DUE P 201\ROMA         \"/>
    <x v="1"/>
    <x v="3"/>
    <x v="16"/>
  </r>
  <r>
    <n v="618"/>
    <s v="NL22RABO0381604934"/>
    <m/>
    <x v="1"/>
    <x v="48"/>
    <d v="2017-09-15T00:00:00"/>
    <d v="2017-09-15T00:00:00"/>
    <n v="-5.6"/>
    <n v="5.6"/>
    <m/>
    <s v="SUPERMERCATO DUE P 201 ROMA ITA"/>
    <x v="1"/>
    <x v="3"/>
    <x v="16"/>
  </r>
  <r>
    <n v="619"/>
    <s v="NL22RABO0381604934"/>
    <m/>
    <x v="1"/>
    <x v="48"/>
    <d v="2017-09-15T00:00:00"/>
    <d v="2017-09-15T00:00:00"/>
    <n v="-16.3"/>
    <n v="16.3"/>
    <m/>
    <s v="LIDL 3513             \ROMA         \"/>
    <x v="1"/>
    <x v="3"/>
    <x v="16"/>
  </r>
  <r>
    <n v="622"/>
    <s v="NL22RABO0381604934"/>
    <m/>
    <x v="1"/>
    <x v="48"/>
    <d v="2017-09-21T00:00:00"/>
    <d v="2017-09-21T00:00:00"/>
    <n v="-9.67"/>
    <n v="9.67"/>
    <m/>
    <s v="SUPERMERCATO IPER ROMA       RM ITA"/>
    <x v="1"/>
    <x v="3"/>
    <x v="16"/>
  </r>
  <r>
    <n v="627"/>
    <s v="NL22RABO0381604934"/>
    <m/>
    <x v="1"/>
    <x v="48"/>
    <d v="2017-09-27T00:00:00"/>
    <d v="2017-09-27T00:00:00"/>
    <n v="-5.68"/>
    <n v="5.68"/>
    <m/>
    <s v="SUPERMERCATO DUE P 201 ROMA ITA"/>
    <x v="1"/>
    <x v="3"/>
    <x v="16"/>
  </r>
  <r>
    <n v="632"/>
    <s v="NL22RABO0381604934"/>
    <m/>
    <x v="1"/>
    <x v="3"/>
    <d v="2017-10-06T00:00:00"/>
    <d v="2017-10-06T00:00:00"/>
    <n v="-9.99"/>
    <n v="9.99"/>
    <m/>
    <s v="Lidl 593 Musselkanaa MUSSELKANAAL"/>
    <x v="1"/>
    <x v="3"/>
    <x v="16"/>
  </r>
  <r>
    <n v="636"/>
    <s v="NL22RABO0381604934"/>
    <m/>
    <x v="1"/>
    <x v="3"/>
    <d v="2017-10-09T00:00:00"/>
    <d v="2017-10-09T00:00:00"/>
    <n v="-12.88"/>
    <n v="12.88"/>
    <m/>
    <s v="Supermarkt Houwer BV ARNHEM"/>
    <x v="1"/>
    <x v="3"/>
    <x v="16"/>
  </r>
  <r>
    <n v="638"/>
    <s v="NL22RABO0381604934"/>
    <m/>
    <x v="1"/>
    <x v="3"/>
    <d v="2017-10-10T00:00:00"/>
    <d v="2017-10-10T00:00:00"/>
    <n v="-7.43"/>
    <n v="7.43"/>
    <m/>
    <s v="Spar Arnhem ARNHEM"/>
    <x v="1"/>
    <x v="3"/>
    <x v="16"/>
  </r>
  <r>
    <n v="640"/>
    <s v="NL22RABO0381604934"/>
    <m/>
    <x v="1"/>
    <x v="3"/>
    <d v="2017-10-11T00:00:00"/>
    <d v="2017-10-11T00:00:00"/>
    <n v="-7.63"/>
    <n v="7.63"/>
    <m/>
    <s v="ALBERT HEIJN 1101 ARNHEM"/>
    <x v="1"/>
    <x v="3"/>
    <x v="16"/>
  </r>
  <r>
    <n v="644"/>
    <s v="NL22RABO0381604934"/>
    <m/>
    <x v="1"/>
    <x v="3"/>
    <d v="2017-10-12T00:00:00"/>
    <d v="2017-10-12T00:00:00"/>
    <n v="-6.79"/>
    <n v="6.79"/>
    <m/>
    <s v="ALBERT HEIJN 1101 ARNHEM"/>
    <x v="1"/>
    <x v="3"/>
    <x v="16"/>
  </r>
  <r>
    <n v="646"/>
    <s v="NL22RABO0381604934"/>
    <m/>
    <x v="1"/>
    <x v="3"/>
    <d v="2017-10-13T00:00:00"/>
    <d v="2017-10-13T00:00:00"/>
    <n v="-4.4000000000000004"/>
    <n v="4.4000000000000004"/>
    <m/>
    <s v="ALBERT HEIJN 1101 ARNHEM"/>
    <x v="1"/>
    <x v="3"/>
    <x v="16"/>
  </r>
  <r>
    <n v="650"/>
    <s v="NL22RABO0381604934"/>
    <m/>
    <x v="1"/>
    <x v="3"/>
    <d v="2017-10-14T00:00:00"/>
    <d v="2017-10-14T00:00:00"/>
    <n v="-4.4800000000000004"/>
    <n v="4.4800000000000004"/>
    <m/>
    <s v="Supermarkt Houwer BV ARNHEM"/>
    <x v="1"/>
    <x v="3"/>
    <x v="16"/>
  </r>
  <r>
    <n v="653"/>
    <s v="NL22RABO0381604934"/>
    <m/>
    <x v="1"/>
    <x v="3"/>
    <d v="2017-10-15T00:00:00"/>
    <d v="2017-10-15T00:00:00"/>
    <n v="-4.91"/>
    <n v="4.91"/>
    <m/>
    <s v="Supermarkt Houwer BV ARNHEM"/>
    <x v="1"/>
    <x v="3"/>
    <x v="16"/>
  </r>
  <r>
    <n v="657"/>
    <s v="NL22RABO0381604934"/>
    <m/>
    <x v="1"/>
    <x v="3"/>
    <d v="2017-10-17T00:00:00"/>
    <d v="2017-10-17T00:00:00"/>
    <n v="-3.88"/>
    <n v="3.88"/>
    <m/>
    <s v="ALBERT HEIJN 1101 ARNHEM"/>
    <x v="1"/>
    <x v="3"/>
    <x v="16"/>
  </r>
  <r>
    <n v="670"/>
    <s v="NL22RABO0381604934"/>
    <m/>
    <x v="1"/>
    <x v="3"/>
    <d v="2017-10-21T00:00:00"/>
    <d v="2017-10-21T00:00:00"/>
    <n v="-3.88"/>
    <n v="3.88"/>
    <m/>
    <s v="Supermarkt Houwer BV ARNHEM"/>
    <x v="1"/>
    <x v="3"/>
    <x v="16"/>
  </r>
  <r>
    <n v="674"/>
    <s v="NL22RABO0381604934"/>
    <m/>
    <x v="1"/>
    <x v="3"/>
    <d v="2017-10-22T00:00:00"/>
    <d v="2017-10-22T00:00:00"/>
    <n v="-1.49"/>
    <n v="1.49"/>
    <m/>
    <s v="ALBERT HEIJN 1101 ARNHEM"/>
    <x v="1"/>
    <x v="3"/>
    <x v="16"/>
  </r>
  <r>
    <n v="678"/>
    <s v="NL22RABO0381604934"/>
    <m/>
    <x v="1"/>
    <x v="3"/>
    <d v="2017-10-23T00:00:00"/>
    <d v="2017-10-23T00:00:00"/>
    <n v="-0.75"/>
    <n v="0.75"/>
    <m/>
    <s v="AH to go Zwolle 5828 ZWOLLE"/>
    <x v="1"/>
    <x v="3"/>
    <x v="16"/>
  </r>
  <r>
    <n v="687"/>
    <s v="NL22RABO0381604934"/>
    <m/>
    <x v="1"/>
    <x v="3"/>
    <d v="2017-10-27T00:00:00"/>
    <d v="2017-10-27T00:00:00"/>
    <n v="-0.75"/>
    <n v="0.75"/>
    <m/>
    <s v="Albert Heijn 1122 STADSKANAAL"/>
    <x v="1"/>
    <x v="3"/>
    <x v="16"/>
  </r>
  <r>
    <n v="688"/>
    <s v="NL22RABO0381604934"/>
    <m/>
    <x v="1"/>
    <x v="3"/>
    <d v="2017-10-28T00:00:00"/>
    <d v="2017-10-28T00:00:00"/>
    <n v="-1.75"/>
    <n v="1.75"/>
    <m/>
    <s v="Coop 2113 MUSSELKANAAL"/>
    <x v="1"/>
    <x v="3"/>
    <x v="16"/>
  </r>
  <r>
    <n v="842"/>
    <s v="KAS"/>
    <m/>
    <x v="2"/>
    <x v="10"/>
    <d v="2018-03-09T00:00:00"/>
    <d v="2018-03-09T00:00:00"/>
    <n v="-0.39"/>
    <n v="0.39"/>
    <m/>
    <s v="zout"/>
    <x v="1"/>
    <x v="3"/>
    <x v="16"/>
  </r>
  <r>
    <n v="847"/>
    <s v="KAS"/>
    <m/>
    <x v="2"/>
    <x v="10"/>
    <d v="2018-03-31T00:00:00"/>
    <d v="2018-03-31T00:00:00"/>
    <n v="-31"/>
    <n v="31"/>
    <m/>
    <s v="boodsch"/>
    <x v="1"/>
    <x v="3"/>
    <x v="16"/>
  </r>
  <r>
    <n v="849"/>
    <s v="KAS"/>
    <m/>
    <x v="2"/>
    <x v="10"/>
    <d v="2018-03-31T00:00:00"/>
    <d v="2018-03-31T00:00:00"/>
    <n v="-19"/>
    <n v="19"/>
    <m/>
    <s v="boodsch"/>
    <x v="1"/>
    <x v="3"/>
    <x v="16"/>
  </r>
  <r>
    <n v="857"/>
    <s v="KAS"/>
    <m/>
    <x v="2"/>
    <x v="49"/>
    <d v="2018-04-15T00:00:00"/>
    <d v="2018-04-15T00:00:00"/>
    <n v="-1.61"/>
    <n v="1.61"/>
    <m/>
    <s v="boodsch 4/4"/>
    <x v="1"/>
    <x v="3"/>
    <x v="16"/>
  </r>
  <r>
    <n v="860"/>
    <s v="KAS"/>
    <m/>
    <x v="2"/>
    <x v="49"/>
    <d v="2018-04-15T00:00:00"/>
    <d v="2018-04-15T00:00:00"/>
    <n v="-1.7"/>
    <n v="1.7"/>
    <m/>
    <s v="boodsch 10/4"/>
    <x v="1"/>
    <x v="3"/>
    <x v="16"/>
  </r>
  <r>
    <n v="861"/>
    <s v="KAS"/>
    <m/>
    <x v="2"/>
    <x v="49"/>
    <d v="2018-04-15T00:00:00"/>
    <d v="2018-04-15T00:00:00"/>
    <n v="-1"/>
    <n v="1"/>
    <m/>
    <s v="boodsc 7/4"/>
    <x v="1"/>
    <x v="3"/>
    <x v="16"/>
  </r>
  <r>
    <n v="867"/>
    <s v="KAS"/>
    <m/>
    <x v="2"/>
    <x v="49"/>
    <d v="2018-04-15T00:00:00"/>
    <d v="2018-04-15T00:00:00"/>
    <n v="-2.1800000000000002"/>
    <n v="2.1800000000000002"/>
    <m/>
    <s v="boodsch 18/4"/>
    <x v="1"/>
    <x v="3"/>
    <x v="16"/>
  </r>
  <r>
    <n v="869"/>
    <s v="KAS"/>
    <m/>
    <x v="2"/>
    <x v="49"/>
    <d v="2018-04-15T00:00:00"/>
    <d v="2018-04-15T00:00:00"/>
    <n v="-2"/>
    <n v="2"/>
    <m/>
    <s v="boodsch 13/4"/>
    <x v="1"/>
    <x v="3"/>
    <x v="16"/>
  </r>
  <r>
    <n v="870"/>
    <s v="KAS"/>
    <m/>
    <x v="2"/>
    <x v="49"/>
    <d v="2018-04-15T00:00:00"/>
    <d v="2018-04-15T00:00:00"/>
    <n v="-2.56"/>
    <n v="2.56"/>
    <m/>
    <s v="boodsch 18/4"/>
    <x v="1"/>
    <x v="3"/>
    <x v="16"/>
  </r>
  <r>
    <n v="873"/>
    <s v="KAS"/>
    <m/>
    <x v="2"/>
    <x v="49"/>
    <d v="2018-04-15T00:00:00"/>
    <d v="2018-04-15T00:00:00"/>
    <n v="-1.8"/>
    <n v="1.8"/>
    <m/>
    <s v="boodsch 17/4"/>
    <x v="1"/>
    <x v="3"/>
    <x v="16"/>
  </r>
  <r>
    <n v="874"/>
    <s v="KAS"/>
    <m/>
    <x v="2"/>
    <x v="49"/>
    <d v="2018-04-15T00:00:00"/>
    <d v="2018-04-15T00:00:00"/>
    <n v="-1.8"/>
    <n v="1.8"/>
    <m/>
    <s v="boodsch 14/4"/>
    <x v="1"/>
    <x v="3"/>
    <x v="16"/>
  </r>
  <r>
    <n v="883"/>
    <s v="KAS"/>
    <m/>
    <x v="2"/>
    <x v="49"/>
    <d v="2018-04-15T00:00:00"/>
    <d v="2018-04-15T00:00:00"/>
    <n v="-1.8"/>
    <n v="1.8"/>
    <m/>
    <s v="boodsch 20/4"/>
    <x v="1"/>
    <x v="3"/>
    <x v="16"/>
  </r>
  <r>
    <n v="884"/>
    <s v="KAS"/>
    <m/>
    <x v="2"/>
    <x v="49"/>
    <d v="2018-04-15T00:00:00"/>
    <d v="2018-04-15T00:00:00"/>
    <n v="-0.35"/>
    <n v="0.35"/>
    <m/>
    <s v="boodsch 20/4"/>
    <x v="1"/>
    <x v="3"/>
    <x v="16"/>
  </r>
  <r>
    <n v="893"/>
    <s v="KAS"/>
    <m/>
    <x v="2"/>
    <x v="49"/>
    <d v="2018-04-15T00:00:00"/>
    <d v="2018-04-15T00:00:00"/>
    <n v="-2.0499999999999998"/>
    <n v="2.0499999999999998"/>
    <m/>
    <s v="boodsch 21/4"/>
    <x v="1"/>
    <x v="3"/>
    <x v="16"/>
  </r>
  <r>
    <n v="894"/>
    <s v="KAS"/>
    <m/>
    <x v="2"/>
    <x v="49"/>
    <d v="2018-04-15T00:00:00"/>
    <d v="2018-04-15T00:00:00"/>
    <n v="-1.93"/>
    <n v="1.93"/>
    <m/>
    <s v="boodsch 22/4"/>
    <x v="1"/>
    <x v="3"/>
    <x v="16"/>
  </r>
  <r>
    <n v="896"/>
    <s v="KAS"/>
    <m/>
    <x v="2"/>
    <x v="49"/>
    <d v="2018-04-15T00:00:00"/>
    <d v="2018-04-15T00:00:00"/>
    <n v="-1.8"/>
    <n v="1.8"/>
    <m/>
    <s v="boodsch 26/4"/>
    <x v="1"/>
    <x v="3"/>
    <x v="16"/>
  </r>
  <r>
    <n v="897"/>
    <s v="KAS"/>
    <m/>
    <x v="2"/>
    <x v="49"/>
    <d v="2018-04-15T00:00:00"/>
    <d v="2018-04-15T00:00:00"/>
    <n v="-2.5099999999999998"/>
    <n v="2.5099999999999998"/>
    <m/>
    <s v="boodsch 27/4"/>
    <x v="1"/>
    <x v="3"/>
    <x v="16"/>
  </r>
  <r>
    <n v="902"/>
    <s v="KAS"/>
    <m/>
    <x v="2"/>
    <x v="50"/>
    <d v="2018-05-15T00:00:00"/>
    <d v="2018-05-15T00:00:00"/>
    <n v="-12.12"/>
    <n v="12.12"/>
    <m/>
    <s v="boodsch"/>
    <x v="1"/>
    <x v="3"/>
    <x v="16"/>
  </r>
  <r>
    <n v="905"/>
    <s v="KAS"/>
    <m/>
    <x v="2"/>
    <x v="50"/>
    <d v="2018-05-15T00:00:00"/>
    <d v="2018-05-15T00:00:00"/>
    <n v="-10"/>
    <n v="10"/>
    <m/>
    <s v="boodsch"/>
    <x v="1"/>
    <x v="3"/>
    <x v="16"/>
  </r>
  <r>
    <n v="906"/>
    <s v="KAS"/>
    <m/>
    <x v="2"/>
    <x v="50"/>
    <d v="2018-05-15T00:00:00"/>
    <d v="2018-05-15T00:00:00"/>
    <n v="-2.6"/>
    <n v="2.6"/>
    <m/>
    <s v="boodsch"/>
    <x v="1"/>
    <x v="3"/>
    <x v="16"/>
  </r>
  <r>
    <n v="914"/>
    <s v="KAS"/>
    <m/>
    <x v="2"/>
    <x v="50"/>
    <d v="2018-05-15T00:00:00"/>
    <d v="2018-05-15T00:00:00"/>
    <n v="-1.1599999999999999"/>
    <n v="1.1599999999999999"/>
    <m/>
    <s v="boodsch"/>
    <x v="1"/>
    <x v="3"/>
    <x v="16"/>
  </r>
  <r>
    <n v="915"/>
    <s v="KAS"/>
    <m/>
    <x v="2"/>
    <x v="50"/>
    <d v="2018-05-15T00:00:00"/>
    <d v="2018-05-15T00:00:00"/>
    <n v="1.1200000000000001"/>
    <n v="1.1200000000000001"/>
    <m/>
    <s v="boodsc 11/5"/>
    <x v="1"/>
    <x v="3"/>
    <x v="16"/>
  </r>
  <r>
    <n v="918"/>
    <s v="KAS"/>
    <m/>
    <x v="2"/>
    <x v="50"/>
    <d v="2018-05-15T00:00:00"/>
    <d v="2018-05-15T00:00:00"/>
    <n v="-3.41"/>
    <n v="3.41"/>
    <m/>
    <s v="boodsch 13/5"/>
    <x v="1"/>
    <x v="3"/>
    <x v="16"/>
  </r>
  <r>
    <n v="924"/>
    <s v="KAS"/>
    <m/>
    <x v="2"/>
    <x v="50"/>
    <d v="2018-05-15T00:00:00"/>
    <d v="2018-05-15T00:00:00"/>
    <n v="2"/>
    <n v="2"/>
    <m/>
    <s v="boodsch"/>
    <x v="1"/>
    <x v="3"/>
    <x v="16"/>
  </r>
  <r>
    <n v="927"/>
    <s v="KAS"/>
    <m/>
    <x v="2"/>
    <x v="50"/>
    <d v="2018-05-15T00:00:00"/>
    <d v="2018-05-15T00:00:00"/>
    <n v="-4.37"/>
    <n v="4.37"/>
    <m/>
    <s v="booddch"/>
    <x v="1"/>
    <x v="3"/>
    <x v="16"/>
  </r>
  <r>
    <n v="943"/>
    <s v="KAS"/>
    <m/>
    <x v="2"/>
    <x v="51"/>
    <d v="2018-06-03T00:00:00"/>
    <d v="2018-06-03T00:00:00"/>
    <n v="-1.7"/>
    <n v="1.7"/>
    <m/>
    <s v="boodsch 1/6"/>
    <x v="1"/>
    <x v="3"/>
    <x v="16"/>
  </r>
  <r>
    <n v="953"/>
    <s v="KAS"/>
    <m/>
    <x v="2"/>
    <x v="51"/>
    <d v="2018-06-03T00:00:00"/>
    <d v="2018-06-03T00:00:00"/>
    <n v="-10"/>
    <n v="10"/>
    <m/>
    <s v="boodsch door rob"/>
    <x v="1"/>
    <x v="3"/>
    <x v="16"/>
  </r>
  <r>
    <n v="955"/>
    <s v="KAS"/>
    <m/>
    <x v="2"/>
    <x v="51"/>
    <d v="2018-06-03T00:00:00"/>
    <d v="2018-06-03T00:00:00"/>
    <n v="-1.7"/>
    <n v="1.7"/>
    <m/>
    <s v="boodsch 11/6"/>
    <x v="1"/>
    <x v="3"/>
    <x v="16"/>
  </r>
  <r>
    <n v="957"/>
    <s v="KAS"/>
    <m/>
    <x v="2"/>
    <x v="51"/>
    <d v="2018-06-03T00:00:00"/>
    <d v="2018-06-03T00:00:00"/>
    <n v="-1.86"/>
    <n v="1.86"/>
    <m/>
    <s v="boodsch 206/6"/>
    <x v="1"/>
    <x v="3"/>
    <x v="16"/>
  </r>
  <r>
    <n v="963"/>
    <s v="KAS"/>
    <m/>
    <x v="2"/>
    <x v="51"/>
    <d v="2018-06-03T00:00:00"/>
    <d v="2018-06-03T00:00:00"/>
    <n v="-6.04"/>
    <n v="6.04"/>
    <m/>
    <s v="boodsch 30/6"/>
    <x v="1"/>
    <x v="3"/>
    <x v="16"/>
  </r>
  <r>
    <n v="968"/>
    <s v="KAS"/>
    <m/>
    <x v="2"/>
    <x v="52"/>
    <d v="2018-07-03T00:00:00"/>
    <d v="2018-07-03T00:00:00"/>
    <n v="-1.43"/>
    <n v="1.43"/>
    <m/>
    <s v="boodsch 3/7"/>
    <x v="1"/>
    <x v="3"/>
    <x v="16"/>
  </r>
  <r>
    <n v="969"/>
    <s v="KAS"/>
    <m/>
    <x v="2"/>
    <x v="52"/>
    <d v="2018-07-03T00:00:00"/>
    <d v="2018-07-03T00:00:00"/>
    <n v="-2.1800000000000002"/>
    <n v="2.1800000000000002"/>
    <m/>
    <s v="boodsch 1/7"/>
    <x v="1"/>
    <x v="3"/>
    <x v="16"/>
  </r>
  <r>
    <n v="976"/>
    <s v="KAS"/>
    <m/>
    <x v="2"/>
    <x v="52"/>
    <d v="2018-07-03T00:00:00"/>
    <d v="2018-07-03T00:00:00"/>
    <n v="-1.8"/>
    <n v="1.8"/>
    <m/>
    <s v="boodshc 9/7"/>
    <x v="1"/>
    <x v="3"/>
    <x v="16"/>
  </r>
  <r>
    <n v="980"/>
    <s v="KAS"/>
    <m/>
    <x v="2"/>
    <x v="52"/>
    <d v="2018-07-03T00:00:00"/>
    <d v="2018-07-03T00:00:00"/>
    <n v="-2.69"/>
    <n v="2.69"/>
    <m/>
    <s v="boodsch 4/7"/>
    <x v="1"/>
    <x v="3"/>
    <x v="16"/>
  </r>
  <r>
    <n v="984"/>
    <s v="KAS"/>
    <m/>
    <x v="2"/>
    <x v="52"/>
    <d v="2018-07-03T00:00:00"/>
    <d v="2018-07-03T00:00:00"/>
    <n v="-3.6"/>
    <n v="3.6"/>
    <m/>
    <s v="boodsch 18/7 23/7"/>
    <x v="1"/>
    <x v="3"/>
    <x v="16"/>
  </r>
  <r>
    <n v="988"/>
    <s v="KAS"/>
    <m/>
    <x v="2"/>
    <x v="52"/>
    <d v="2018-07-03T00:00:00"/>
    <d v="2018-07-03T00:00:00"/>
    <n v="-6.5"/>
    <n v="6.5"/>
    <m/>
    <s v="boodsch"/>
    <x v="1"/>
    <x v="3"/>
    <x v="16"/>
  </r>
  <r>
    <n v="992"/>
    <s v="KAS"/>
    <m/>
    <x v="2"/>
    <x v="52"/>
    <d v="2018-07-03T00:00:00"/>
    <d v="2018-07-03T00:00:00"/>
    <n v="-8.11"/>
    <n v="8.11"/>
    <m/>
    <s v="boodscgìh 24/7"/>
    <x v="1"/>
    <x v="3"/>
    <x v="16"/>
  </r>
  <r>
    <n v="993"/>
    <s v="KAS"/>
    <m/>
    <x v="2"/>
    <x v="52"/>
    <d v="2018-07-03T00:00:00"/>
    <d v="2018-07-03T00:00:00"/>
    <n v="-4.2"/>
    <n v="4.2"/>
    <m/>
    <s v="boodsch 31/7"/>
    <x v="1"/>
    <x v="3"/>
    <x v="16"/>
  </r>
  <r>
    <n v="994"/>
    <s v="KAS"/>
    <m/>
    <x v="2"/>
    <x v="52"/>
    <d v="2018-07-03T00:00:00"/>
    <d v="2018-07-03T00:00:00"/>
    <n v="-0.99"/>
    <n v="0.99"/>
    <m/>
    <s v="boodsch 31/7"/>
    <x v="1"/>
    <x v="3"/>
    <x v="16"/>
  </r>
  <r>
    <n v="998"/>
    <s v="KAS"/>
    <m/>
    <x v="2"/>
    <x v="37"/>
    <d v="2018-08-01T00:00:00"/>
    <d v="2018-08-01T00:00:00"/>
    <n v="-1.31"/>
    <n v="1.31"/>
    <m/>
    <s v="boodsch 2/8"/>
    <x v="1"/>
    <x v="3"/>
    <x v="16"/>
  </r>
  <r>
    <n v="999"/>
    <s v="KAS"/>
    <m/>
    <x v="2"/>
    <x v="37"/>
    <d v="2018-08-01T00:00:00"/>
    <d v="2018-08-01T00:00:00"/>
    <n v="-1.08"/>
    <n v="1.08"/>
    <m/>
    <s v="boodsch 3/8"/>
    <x v="1"/>
    <x v="3"/>
    <x v="16"/>
  </r>
  <r>
    <n v="1007"/>
    <s v="KAS"/>
    <m/>
    <x v="2"/>
    <x v="37"/>
    <d v="2018-08-01T00:00:00"/>
    <d v="2018-08-01T00:00:00"/>
    <n v="-2.8"/>
    <n v="2.8"/>
    <m/>
    <s v="boodsch 9/8"/>
    <x v="1"/>
    <x v="3"/>
    <x v="16"/>
  </r>
  <r>
    <n v="1008"/>
    <s v="KAS"/>
    <m/>
    <x v="2"/>
    <x v="37"/>
    <d v="2018-08-01T00:00:00"/>
    <d v="2018-08-01T00:00:00"/>
    <n v="-0.96"/>
    <n v="0.96"/>
    <m/>
    <s v="boodsch 14/8"/>
    <x v="1"/>
    <x v="3"/>
    <x v="16"/>
  </r>
  <r>
    <n v="1009"/>
    <s v="KAS"/>
    <m/>
    <x v="2"/>
    <x v="37"/>
    <d v="2018-08-01T00:00:00"/>
    <d v="2018-08-01T00:00:00"/>
    <n v="-1.8"/>
    <n v="1.8"/>
    <m/>
    <s v="boodsch 6/8"/>
    <x v="1"/>
    <x v="3"/>
    <x v="16"/>
  </r>
  <r>
    <n v="1010"/>
    <s v="KAS"/>
    <m/>
    <x v="2"/>
    <x v="37"/>
    <d v="2018-08-01T00:00:00"/>
    <d v="2018-08-01T00:00:00"/>
    <n v="-3.73"/>
    <n v="3.73"/>
    <m/>
    <s v="boodsch 13/8"/>
    <x v="1"/>
    <x v="3"/>
    <x v="16"/>
  </r>
  <r>
    <n v="1018"/>
    <s v="KAS"/>
    <m/>
    <x v="2"/>
    <x v="37"/>
    <d v="2018-08-01T00:00:00"/>
    <d v="2018-08-01T00:00:00"/>
    <n v="-1.1399999999999999"/>
    <n v="1.1399999999999999"/>
    <m/>
    <s v="boodsch 20/8"/>
    <x v="1"/>
    <x v="3"/>
    <x v="16"/>
  </r>
  <r>
    <n v="1019"/>
    <s v="KAS"/>
    <m/>
    <x v="2"/>
    <x v="37"/>
    <d v="2018-08-01T00:00:00"/>
    <d v="2018-08-01T00:00:00"/>
    <n v="-8.51"/>
    <n v="8.51"/>
    <m/>
    <s v="boodsch 25/8"/>
    <x v="1"/>
    <x v="3"/>
    <x v="16"/>
  </r>
  <r>
    <n v="1021"/>
    <s v="KAS"/>
    <m/>
    <x v="2"/>
    <x v="37"/>
    <d v="2018-08-01T00:00:00"/>
    <d v="2018-08-01T00:00:00"/>
    <n v="-1.8"/>
    <n v="1.8"/>
    <m/>
    <s v="boodsch 18/80"/>
    <x v="1"/>
    <x v="3"/>
    <x v="16"/>
  </r>
  <r>
    <n v="1022"/>
    <s v="KAS"/>
    <m/>
    <x v="2"/>
    <x v="37"/>
    <d v="2018-08-01T00:00:00"/>
    <d v="2018-08-01T00:00:00"/>
    <n v="-1.8"/>
    <n v="1.8"/>
    <m/>
    <s v="boodsch 22/8"/>
    <x v="1"/>
    <x v="3"/>
    <x v="16"/>
  </r>
  <r>
    <n v="1025"/>
    <s v="KAS"/>
    <m/>
    <x v="2"/>
    <x v="37"/>
    <d v="2018-08-01T00:00:00"/>
    <d v="2018-08-01T00:00:00"/>
    <n v="-0.35"/>
    <n v="0.35"/>
    <m/>
    <s v="boodsch 29/8"/>
    <x v="1"/>
    <x v="3"/>
    <x v="16"/>
  </r>
  <r>
    <n v="1036"/>
    <s v="KAS"/>
    <m/>
    <x v="2"/>
    <x v="37"/>
    <d v="2018-08-01T00:00:00"/>
    <d v="2018-08-01T00:00:00"/>
    <n v="-4.5"/>
    <n v="4.5"/>
    <m/>
    <s v="avondeten rijst"/>
    <x v="1"/>
    <x v="3"/>
    <x v="16"/>
  </r>
  <r>
    <n v="1040"/>
    <s v="KAS"/>
    <m/>
    <x v="2"/>
    <x v="12"/>
    <d v="2018-09-01T00:00:00"/>
    <d v="2018-09-01T00:00:00"/>
    <n v="-1.8"/>
    <n v="1.8"/>
    <m/>
    <s v="boodsch 1/9"/>
    <x v="1"/>
    <x v="3"/>
    <x v="16"/>
  </r>
  <r>
    <n v="1045"/>
    <s v="KAS"/>
    <m/>
    <x v="2"/>
    <x v="12"/>
    <d v="2018-09-01T00:00:00"/>
    <d v="2018-09-01T00:00:00"/>
    <n v="-1.61"/>
    <n v="1.61"/>
    <m/>
    <s v="boodsch 3/9"/>
    <x v="1"/>
    <x v="3"/>
    <x v="16"/>
  </r>
  <r>
    <n v="1047"/>
    <s v="KAS"/>
    <m/>
    <x v="2"/>
    <x v="12"/>
    <d v="2018-09-01T00:00:00"/>
    <d v="2018-09-01T00:00:00"/>
    <n v="-4"/>
    <n v="4"/>
    <m/>
    <s v="boodsch 13/9 fruit"/>
    <x v="1"/>
    <x v="3"/>
    <x v="16"/>
  </r>
  <r>
    <n v="1050"/>
    <s v="KAS"/>
    <m/>
    <x v="2"/>
    <x v="12"/>
    <d v="2018-09-01T00:00:00"/>
    <d v="2018-09-01T00:00:00"/>
    <n v="-30"/>
    <n v="30"/>
    <m/>
    <s v="Boodsch 7/9"/>
    <x v="1"/>
    <x v="3"/>
    <x v="16"/>
  </r>
  <r>
    <n v="1051"/>
    <s v="KAS"/>
    <m/>
    <x v="2"/>
    <x v="12"/>
    <d v="2018-09-01T00:00:00"/>
    <d v="2018-09-01T00:00:00"/>
    <n v="-4.0999999999999996"/>
    <n v="4.0999999999999996"/>
    <m/>
    <s v="Boodsch 6/9"/>
    <x v="1"/>
    <x v="3"/>
    <x v="16"/>
  </r>
  <r>
    <n v="1054"/>
    <s v="KAS"/>
    <m/>
    <x v="2"/>
    <x v="12"/>
    <d v="2018-09-01T00:00:00"/>
    <d v="2018-09-01T00:00:00"/>
    <n v="-1.43"/>
    <n v="1.43"/>
    <m/>
    <s v="Boodsch 5/9"/>
    <x v="1"/>
    <x v="3"/>
    <x v="16"/>
  </r>
  <r>
    <n v="1055"/>
    <s v="KAS"/>
    <m/>
    <x v="2"/>
    <x v="12"/>
    <d v="2018-09-01T00:00:00"/>
    <d v="2018-09-01T00:00:00"/>
    <n v="-1.8"/>
    <n v="1.8"/>
    <m/>
    <s v="Boodsch 7/9"/>
    <x v="1"/>
    <x v="3"/>
    <x v="16"/>
  </r>
  <r>
    <n v="1062"/>
    <s v="KAS"/>
    <m/>
    <x v="2"/>
    <x v="12"/>
    <d v="2018-09-01T00:00:00"/>
    <d v="2018-09-01T00:00:00"/>
    <n v="-1.8"/>
    <n v="1.8"/>
    <m/>
    <s v="boodsch 14/9"/>
    <x v="1"/>
    <x v="3"/>
    <x v="16"/>
  </r>
  <r>
    <n v="1071"/>
    <s v="KAS"/>
    <m/>
    <x v="2"/>
    <x v="12"/>
    <d v="2018-09-01T00:00:00"/>
    <d v="2018-09-01T00:00:00"/>
    <n v="-0.55000000000000004"/>
    <n v="0.55000000000000004"/>
    <m/>
    <s v="boodsch 27/9"/>
    <x v="1"/>
    <x v="3"/>
    <x v="16"/>
  </r>
  <r>
    <n v="1072"/>
    <s v="KAS"/>
    <m/>
    <x v="2"/>
    <x v="12"/>
    <d v="2018-09-01T00:00:00"/>
    <d v="2018-09-01T00:00:00"/>
    <n v="-0.9"/>
    <n v="0.9"/>
    <m/>
    <s v="boodsch 29/9"/>
    <x v="1"/>
    <x v="3"/>
    <x v="16"/>
  </r>
  <r>
    <n v="1075"/>
    <s v="KAS"/>
    <m/>
    <x v="2"/>
    <x v="12"/>
    <d v="2018-09-01T00:00:00"/>
    <d v="2018-09-01T00:00:00"/>
    <n v="-2.76"/>
    <n v="2.76"/>
    <m/>
    <s v="boodsch 24/9"/>
    <x v="1"/>
    <x v="3"/>
    <x v="16"/>
  </r>
  <r>
    <n v="1090"/>
    <s v="KAS"/>
    <m/>
    <x v="2"/>
    <x v="11"/>
    <d v="2018-10-01T00:00:00"/>
    <d v="2018-10-01T00:00:00"/>
    <n v="-6.5"/>
    <n v="6.5"/>
    <m/>
    <s v="albert heijn (eigen boodsch)"/>
    <x v="1"/>
    <x v="3"/>
    <x v="16"/>
  </r>
  <r>
    <n v="1110"/>
    <s v="KAS"/>
    <m/>
    <x v="2"/>
    <x v="11"/>
    <d v="2018-10-01T00:00:00"/>
    <d v="2018-10-01T00:00:00"/>
    <n v="-2.29"/>
    <n v="2.29"/>
    <m/>
    <s v="boodsch 23/10"/>
    <x v="1"/>
    <x v="3"/>
    <x v="16"/>
  </r>
  <r>
    <n v="1138"/>
    <s v="NL22RABO0381604934"/>
    <m/>
    <x v="2"/>
    <x v="9"/>
    <d v="2018-02-28T00:00:00"/>
    <d v="2018-02-28T00:00:00"/>
    <n v="-2.6"/>
    <n v="2.6"/>
    <m/>
    <s v="Plus Musiskwartier ARNHEM"/>
    <x v="1"/>
    <x v="3"/>
    <x v="16"/>
  </r>
  <r>
    <n v="1139"/>
    <s v="NL22RABO0381604934"/>
    <m/>
    <x v="2"/>
    <x v="10"/>
    <d v="2018-03-01T00:00:00"/>
    <d v="2018-03-01T00:00:00"/>
    <n v="-4.2300000000000004"/>
    <n v="4.2300000000000004"/>
    <m/>
    <s v="Spar Arnhem ARNHEM"/>
    <x v="1"/>
    <x v="3"/>
    <x v="16"/>
  </r>
  <r>
    <n v="1140"/>
    <s v="NL22RABO0381604934"/>
    <m/>
    <x v="2"/>
    <x v="10"/>
    <d v="2018-03-01T00:00:00"/>
    <d v="2018-03-01T00:00:00"/>
    <n v="-15.03"/>
    <n v="15.03"/>
    <m/>
    <s v="Spar Arnhem ARNHEM"/>
    <x v="1"/>
    <x v="3"/>
    <x v="16"/>
  </r>
  <r>
    <n v="1141"/>
    <s v="NL22RABO0381604934"/>
    <m/>
    <x v="2"/>
    <x v="10"/>
    <d v="2018-03-01T00:00:00"/>
    <d v="2018-03-01T00:00:00"/>
    <n v="-1.25"/>
    <n v="1.25"/>
    <m/>
    <s v="Spar Arnhem Centraal ARNHEM"/>
    <x v="1"/>
    <x v="3"/>
    <x v="16"/>
  </r>
  <r>
    <n v="1149"/>
    <s v="NL22RABO0381604934"/>
    <m/>
    <x v="2"/>
    <x v="10"/>
    <d v="2018-03-06T00:00:00"/>
    <d v="2018-03-06T00:00:00"/>
    <n v="-1.89"/>
    <n v="1.89"/>
    <m/>
    <s v="Spar Arnhem ARNHEM"/>
    <x v="1"/>
    <x v="3"/>
    <x v="16"/>
  </r>
  <r>
    <n v="1151"/>
    <s v="NL22RABO0381604934"/>
    <m/>
    <x v="2"/>
    <x v="10"/>
    <d v="2018-03-07T00:00:00"/>
    <d v="2018-03-07T00:00:00"/>
    <n v="-3.54"/>
    <n v="3.54"/>
    <m/>
    <s v="Spar Arnhem ARNHEM"/>
    <x v="1"/>
    <x v="3"/>
    <x v="16"/>
  </r>
  <r>
    <n v="1161"/>
    <s v="NL22RABO0381604934"/>
    <m/>
    <x v="2"/>
    <x v="10"/>
    <d v="2018-03-12T00:00:00"/>
    <d v="2018-03-12T00:00:00"/>
    <n v="-2.29"/>
    <n v="2.29"/>
    <m/>
    <s v="Spar Arnhem ARNHEM"/>
    <x v="1"/>
    <x v="3"/>
    <x v="16"/>
  </r>
  <r>
    <n v="1163"/>
    <s v="NL22RABO0381604934"/>
    <m/>
    <x v="2"/>
    <x v="10"/>
    <d v="2018-03-13T00:00:00"/>
    <d v="2018-03-13T00:00:00"/>
    <n v="-3.64"/>
    <n v="3.64"/>
    <m/>
    <s v="Spar Arnhem ARNHEM"/>
    <x v="1"/>
    <x v="3"/>
    <x v="16"/>
  </r>
  <r>
    <n v="1169"/>
    <s v="NL22RABO0381604934"/>
    <m/>
    <x v="2"/>
    <x v="10"/>
    <d v="2018-03-16T00:00:00"/>
    <d v="2018-03-16T00:00:00"/>
    <n v="-6.73"/>
    <n v="6.73"/>
    <m/>
    <s v="Spar Arnhem ARNHEM"/>
    <x v="1"/>
    <x v="3"/>
    <x v="16"/>
  </r>
  <r>
    <n v="1180"/>
    <s v="NL22RABO0381604934"/>
    <m/>
    <x v="2"/>
    <x v="10"/>
    <d v="2018-03-24T00:00:00"/>
    <d v="2018-03-24T00:00:00"/>
    <n v="-4.95"/>
    <n v="4.95"/>
    <m/>
    <s v="Coop 2113 MUSSELKANAAL"/>
    <x v="1"/>
    <x v="3"/>
    <x v="16"/>
  </r>
  <r>
    <n v="1181"/>
    <s v="NL22RABO0381604934"/>
    <m/>
    <x v="2"/>
    <x v="10"/>
    <d v="2018-03-24T00:00:00"/>
    <d v="2018-03-24T00:00:00"/>
    <n v="-3.45"/>
    <n v="3.45"/>
    <m/>
    <s v="Coop 2113 MUSSELKANAAL"/>
    <x v="1"/>
    <x v="3"/>
    <x v="16"/>
  </r>
  <r>
    <n v="1185"/>
    <s v="NL22RABO0381604934"/>
    <m/>
    <x v="2"/>
    <x v="10"/>
    <d v="2018-03-26T00:00:00"/>
    <d v="2018-03-26T00:00:00"/>
    <n v="-11.69"/>
    <n v="11.69"/>
    <m/>
    <s v="SUPERMERCATO DUE P 201 ROMA ITA"/>
    <x v="1"/>
    <x v="3"/>
    <x v="16"/>
  </r>
  <r>
    <n v="1188"/>
    <s v="NL22RABO0381604934"/>
    <m/>
    <x v="2"/>
    <x v="10"/>
    <d v="2018-03-27T00:00:00"/>
    <d v="2018-03-27T00:00:00"/>
    <n v="-43.59"/>
    <n v="43.59"/>
    <m/>
    <s v="SUPERMERCATO DUE P 201 ROMA ITA"/>
    <x v="1"/>
    <x v="3"/>
    <x v="16"/>
  </r>
  <r>
    <n v="1191"/>
    <s v="NL22RABO0381604934"/>
    <m/>
    <x v="2"/>
    <x v="49"/>
    <d v="2018-04-15T00:00:00"/>
    <d v="2018-04-15T00:00:00"/>
    <n v="-33.93"/>
    <n v="33.93"/>
    <m/>
    <s v="boodsch 6/4"/>
    <x v="1"/>
    <x v="3"/>
    <x v="16"/>
  </r>
  <r>
    <n v="1192"/>
    <s v="NL22RABO0381604934"/>
    <m/>
    <x v="2"/>
    <x v="49"/>
    <d v="2018-04-15T00:00:00"/>
    <d v="2018-04-15T00:00:00"/>
    <n v="-2.38"/>
    <n v="2.38"/>
    <m/>
    <s v="boodsch 11/4"/>
    <x v="1"/>
    <x v="3"/>
    <x v="16"/>
  </r>
  <r>
    <n v="1194"/>
    <s v="NL22RABO0381604934"/>
    <m/>
    <x v="2"/>
    <x v="49"/>
    <d v="2018-04-15T00:00:00"/>
    <d v="2018-04-15T00:00:00"/>
    <n v="-34.659999999999997"/>
    <n v="34.659999999999997"/>
    <m/>
    <s v="boodsch 23/4"/>
    <x v="1"/>
    <x v="3"/>
    <x v="16"/>
  </r>
  <r>
    <n v="1204"/>
    <s v="NL22RABO0381604934"/>
    <m/>
    <x v="2"/>
    <x v="50"/>
    <d v="2018-05-15T00:00:00"/>
    <d v="2018-05-15T00:00:00"/>
    <n v="-11.8"/>
    <n v="11.8"/>
    <m/>
    <s v="boodsch 2/5"/>
    <x v="1"/>
    <x v="3"/>
    <x v="16"/>
  </r>
  <r>
    <n v="1206"/>
    <s v="NL22RABO0381604934"/>
    <m/>
    <x v="2"/>
    <x v="50"/>
    <d v="2018-05-15T00:00:00"/>
    <d v="2018-05-15T00:00:00"/>
    <n v="-10.77"/>
    <n v="10.77"/>
    <m/>
    <s v="boodsc 11/5"/>
    <x v="1"/>
    <x v="3"/>
    <x v="16"/>
  </r>
  <r>
    <n v="1208"/>
    <s v="NL22RABO0381604934"/>
    <m/>
    <x v="2"/>
    <x v="50"/>
    <d v="2018-05-15T00:00:00"/>
    <d v="2018-05-15T00:00:00"/>
    <n v="-10.77"/>
    <n v="10.77"/>
    <m/>
    <s v="boodsch 11/5"/>
    <x v="1"/>
    <x v="3"/>
    <x v="16"/>
  </r>
  <r>
    <n v="1210"/>
    <s v="NL22RABO0381604934"/>
    <m/>
    <x v="2"/>
    <x v="50"/>
    <d v="2018-05-15T00:00:00"/>
    <d v="2018-05-15T00:00:00"/>
    <n v="-17.34"/>
    <n v="17.34"/>
    <m/>
    <s v="boodsch"/>
    <x v="1"/>
    <x v="3"/>
    <x v="16"/>
  </r>
  <r>
    <n v="1211"/>
    <s v="NL22RABO0381604934"/>
    <m/>
    <x v="2"/>
    <x v="50"/>
    <d v="2018-05-15T00:00:00"/>
    <d v="2018-05-15T00:00:00"/>
    <n v="-14"/>
    <n v="14"/>
    <m/>
    <s v="boodsch 16/5"/>
    <x v="1"/>
    <x v="3"/>
    <x v="16"/>
  </r>
  <r>
    <n v="1212"/>
    <s v="NL22RABO0381604934"/>
    <m/>
    <x v="2"/>
    <x v="50"/>
    <d v="2018-05-15T00:00:00"/>
    <d v="2018-05-15T00:00:00"/>
    <n v="-11.01"/>
    <n v="11.01"/>
    <m/>
    <s v="boodsch 26/"/>
    <x v="1"/>
    <x v="3"/>
    <x v="16"/>
  </r>
  <r>
    <n v="1214"/>
    <s v="NL22RABO0381604934"/>
    <m/>
    <x v="2"/>
    <x v="50"/>
    <d v="2018-05-15T00:00:00"/>
    <d v="2018-05-15T00:00:00"/>
    <n v="-6.34"/>
    <n v="6.34"/>
    <m/>
    <s v="boodsch20/5"/>
    <x v="1"/>
    <x v="3"/>
    <x v="16"/>
  </r>
  <r>
    <n v="1216"/>
    <s v="NL22RABO0381604934"/>
    <m/>
    <x v="2"/>
    <x v="50"/>
    <d v="2018-05-15T00:00:00"/>
    <d v="2018-05-15T00:00:00"/>
    <n v="-18.13"/>
    <n v="18.13"/>
    <m/>
    <s v="boodsch 30/5"/>
    <x v="1"/>
    <x v="3"/>
    <x v="16"/>
  </r>
  <r>
    <n v="1227"/>
    <s v="NL22RABO0381604934"/>
    <m/>
    <x v="2"/>
    <x v="51"/>
    <d v="2018-06-04T00:00:00"/>
    <d v="2018-06-04T00:00:00"/>
    <n v="-15.42"/>
    <n v="15.42"/>
    <m/>
    <s v="MA. &amp; GI. SRL ROMA ITA"/>
    <x v="1"/>
    <x v="3"/>
    <x v="16"/>
  </r>
  <r>
    <n v="1229"/>
    <s v="NL22RABO0381604934"/>
    <m/>
    <x v="2"/>
    <x v="51"/>
    <d v="2018-06-11T00:00:00"/>
    <d v="2018-06-11T00:00:00"/>
    <n v="-9.39"/>
    <n v="9.39"/>
    <m/>
    <s v="SUPERMERCATO DUE P 201 ROMA ITA"/>
    <x v="1"/>
    <x v="3"/>
    <x v="16"/>
  </r>
  <r>
    <n v="1230"/>
    <s v="NL22RABO0381604934"/>
    <m/>
    <x v="2"/>
    <x v="51"/>
    <d v="2018-06-13T00:00:00"/>
    <d v="2018-06-13T00:00:00"/>
    <n v="-14.06"/>
    <n v="14.06"/>
    <m/>
    <s v="SUPERMERCATO DUE P 201 ROMA ITA"/>
    <x v="1"/>
    <x v="3"/>
    <x v="16"/>
  </r>
  <r>
    <n v="1234"/>
    <s v="NL22RABO0381604934"/>
    <m/>
    <x v="2"/>
    <x v="51"/>
    <d v="2018-06-18T00:00:00"/>
    <d v="2018-06-18T00:00:00"/>
    <n v="-6.51"/>
    <n v="6.51"/>
    <m/>
    <s v="IPER ROMA EUR ROMA ITA"/>
    <x v="1"/>
    <x v="3"/>
    <x v="16"/>
  </r>
  <r>
    <n v="1236"/>
    <s v="NL22RABO0381604934"/>
    <m/>
    <x v="2"/>
    <x v="51"/>
    <d v="2018-06-22T00:00:00"/>
    <d v="2018-06-22T00:00:00"/>
    <n v="-15.52"/>
    <n v="15.52"/>
    <m/>
    <s v="MA. &amp; GI. SRL ROMA ITA"/>
    <x v="1"/>
    <x v="3"/>
    <x v="16"/>
  </r>
  <r>
    <n v="1243"/>
    <s v="NL22RABO0381604934"/>
    <m/>
    <x v="2"/>
    <x v="52"/>
    <d v="2018-07-03T00:00:00"/>
    <d v="2018-07-03T00:00:00"/>
    <n v="-15.16"/>
    <n v="15.16"/>
    <m/>
    <s v="SUPERMERCATO DUE P 201 ROMA ITA"/>
    <x v="1"/>
    <x v="3"/>
    <x v="16"/>
  </r>
  <r>
    <n v="1248"/>
    <s v="NL22RABO0381604934"/>
    <m/>
    <x v="2"/>
    <x v="52"/>
    <d v="2018-07-13T00:00:00"/>
    <d v="2018-07-13T00:00:00"/>
    <n v="-28.13"/>
    <n v="28.13"/>
    <m/>
    <s v="MA &amp; GI SRL ROMA ITA"/>
    <x v="1"/>
    <x v="3"/>
    <x v="16"/>
  </r>
  <r>
    <n v="1250"/>
    <s v="NL22RABO0381604934"/>
    <m/>
    <x v="2"/>
    <x v="52"/>
    <d v="2018-07-21T00:00:00"/>
    <d v="2018-07-21T00:00:00"/>
    <n v="-11.4"/>
    <n v="11.4"/>
    <m/>
    <s v="SUPERMERCATO DUE P 201 ROMA ITA"/>
    <x v="1"/>
    <x v="3"/>
    <x v="16"/>
  </r>
  <r>
    <n v="1256"/>
    <s v="NL22RABO0381604934"/>
    <m/>
    <x v="2"/>
    <x v="52"/>
    <d v="2018-07-31T00:00:00"/>
    <d v="2018-07-31T00:00:00"/>
    <n v="-27.14"/>
    <n v="27.14"/>
    <m/>
    <s v="SUPERMERCATO MA &amp; GI ROMA ITA"/>
    <x v="1"/>
    <x v="3"/>
    <x v="16"/>
  </r>
  <r>
    <n v="1261"/>
    <s v="NL22RABO0381604934"/>
    <m/>
    <x v="2"/>
    <x v="37"/>
    <d v="2018-08-06T00:00:00"/>
    <d v="2018-08-06T00:00:00"/>
    <n v="-7.95"/>
    <n v="7.95"/>
    <m/>
    <s v="SUPERMERCATO DUE P 201 ROMA ITA"/>
    <x v="1"/>
    <x v="3"/>
    <x v="16"/>
  </r>
  <r>
    <n v="1262"/>
    <s v="NL22RABO0381604934"/>
    <m/>
    <x v="2"/>
    <x v="37"/>
    <d v="2018-08-17T00:00:00"/>
    <d v="2018-08-17T00:00:00"/>
    <n v="-23.77"/>
    <n v="23.77"/>
    <m/>
    <s v="MA &amp; GI SRL ROMA ITA"/>
    <x v="1"/>
    <x v="3"/>
    <x v="16"/>
  </r>
  <r>
    <n v="1266"/>
    <s v="NL22RABO0381604934"/>
    <m/>
    <x v="2"/>
    <x v="37"/>
    <d v="2018-08-27T00:00:00"/>
    <d v="2018-08-27T00:00:00"/>
    <n v="-16.75"/>
    <n v="16.75"/>
    <m/>
    <s v="SUPERMERCATO DUE P 201 ROMA ITA"/>
    <x v="1"/>
    <x v="3"/>
    <x v="16"/>
  </r>
  <r>
    <n v="1271"/>
    <s v="NL22RABO0381604934"/>
    <m/>
    <x v="2"/>
    <x v="12"/>
    <d v="2018-09-11T00:00:00"/>
    <d v="2018-09-11T00:00:00"/>
    <n v="-10.25"/>
    <n v="10.25"/>
    <m/>
    <s v="SUPERMERCATO DUE P 201 ROMA ITA"/>
    <x v="1"/>
    <x v="3"/>
    <x v="16"/>
  </r>
  <r>
    <n v="1274"/>
    <s v="NL22RABO0381604934"/>
    <m/>
    <x v="2"/>
    <x v="12"/>
    <d v="2018-09-17T00:00:00"/>
    <d v="2018-09-17T00:00:00"/>
    <n v="-18.100000000000001"/>
    <n v="18.100000000000001"/>
    <m/>
    <s v="SUPERMERCATO DUE P 201 ROMA ITA"/>
    <x v="1"/>
    <x v="3"/>
    <x v="16"/>
  </r>
  <r>
    <n v="1283"/>
    <s v="NL22RABO0381604934"/>
    <m/>
    <x v="2"/>
    <x v="12"/>
    <d v="2018-09-29T00:00:00"/>
    <d v="2018-09-29T00:00:00"/>
    <n v="-0.9"/>
    <n v="0.9"/>
    <m/>
    <s v="ECV SHOPS SRL ROMA ITA"/>
    <x v="1"/>
    <x v="3"/>
    <x v="16"/>
  </r>
  <r>
    <n v="1293"/>
    <s v="NL22RABO0381604934"/>
    <m/>
    <x v="2"/>
    <x v="11"/>
    <d v="2018-10-05T00:00:00"/>
    <d v="2018-10-05T00:00:00"/>
    <n v="-2.59"/>
    <n v="2.59"/>
    <m/>
    <s v="Coop 2113 MUSSELKANAAL"/>
    <x v="1"/>
    <x v="3"/>
    <x v="16"/>
  </r>
  <r>
    <n v="1294"/>
    <s v="NL22RABO0381604934"/>
    <m/>
    <x v="2"/>
    <x v="11"/>
    <d v="2018-10-10T00:00:00"/>
    <d v="2018-10-10T00:00:00"/>
    <n v="-7.82"/>
    <n v="7.82"/>
    <m/>
    <s v="ALBERT HEIJN 1878 ARNHEM"/>
    <x v="1"/>
    <x v="3"/>
    <x v="16"/>
  </r>
  <r>
    <n v="1296"/>
    <s v="NL22RABO0381604934"/>
    <m/>
    <x v="2"/>
    <x v="11"/>
    <d v="2018-10-11T00:00:00"/>
    <d v="2018-10-11T00:00:00"/>
    <n v="-1.62"/>
    <n v="1.62"/>
    <m/>
    <s v="L. VAN GELDER BEHEER B ARNHEM"/>
    <x v="1"/>
    <x v="3"/>
    <x v="16"/>
  </r>
  <r>
    <n v="1300"/>
    <s v="NL22RABO0381604934"/>
    <m/>
    <x v="2"/>
    <x v="11"/>
    <d v="2018-10-12T00:00:00"/>
    <d v="2018-10-12T00:00:00"/>
    <n v="-39.26"/>
    <n v="39.26"/>
    <m/>
    <s v="ALBERT HEIJN 1878 ARNHEM"/>
    <x v="1"/>
    <x v="3"/>
    <x v="16"/>
  </r>
  <r>
    <n v="1301"/>
    <s v="NL22RABO0381604934"/>
    <m/>
    <x v="2"/>
    <x v="11"/>
    <d v="2018-10-12T00:00:00"/>
    <d v="2018-10-12T00:00:00"/>
    <n v="-1.0900000000000001"/>
    <n v="1.0900000000000001"/>
    <m/>
    <s v="ALBERT HEIJN 1878 ARNHEM"/>
    <x v="1"/>
    <x v="3"/>
    <x v="16"/>
  </r>
  <r>
    <n v="1309"/>
    <s v="NL22RABO0381604934"/>
    <m/>
    <x v="2"/>
    <x v="11"/>
    <d v="2018-10-16T00:00:00"/>
    <d v="2018-10-16T00:00:00"/>
    <n v="-2.15"/>
    <n v="2.15"/>
    <m/>
    <s v="ALBERT HEIJN 1878 ARNHEM"/>
    <x v="1"/>
    <x v="3"/>
    <x v="16"/>
  </r>
  <r>
    <n v="1310"/>
    <s v="NL22RABO0381604934"/>
    <m/>
    <x v="2"/>
    <x v="11"/>
    <d v="2018-10-16T00:00:00"/>
    <d v="2018-10-16T00:00:00"/>
    <n v="-1.99"/>
    <n v="1.99"/>
    <m/>
    <s v="ALBERT HEIJN 1878 ARNHEM"/>
    <x v="1"/>
    <x v="3"/>
    <x v="16"/>
  </r>
  <r>
    <n v="1311"/>
    <s v="NL22RABO0381604934"/>
    <m/>
    <x v="2"/>
    <x v="11"/>
    <d v="2018-10-18T00:00:00"/>
    <d v="2018-10-18T00:00:00"/>
    <n v="-3.74"/>
    <n v="3.74"/>
    <m/>
    <s v="ALBERT HEIJN 1878 ARNHEM"/>
    <x v="1"/>
    <x v="3"/>
    <x v="16"/>
  </r>
  <r>
    <n v="1312"/>
    <s v="NL22RABO0381604934"/>
    <m/>
    <x v="2"/>
    <x v="11"/>
    <d v="2018-10-18T00:00:00"/>
    <d v="2018-10-18T00:00:00"/>
    <n v="-1.47"/>
    <n v="1.47"/>
    <m/>
    <s v="ALBERT HEIJN 1878 ARNHEM"/>
    <x v="1"/>
    <x v="3"/>
    <x v="16"/>
  </r>
  <r>
    <n v="1320"/>
    <s v="NL22RABO0381604934"/>
    <m/>
    <x v="2"/>
    <x v="11"/>
    <d v="2018-10-20T00:00:00"/>
    <d v="2018-10-20T00:00:00"/>
    <n v="-2.1800000000000002"/>
    <n v="2.1800000000000002"/>
    <m/>
    <s v="ALBERT HEIJN 1878 ARNHEM"/>
    <x v="1"/>
    <x v="3"/>
    <x v="16"/>
  </r>
  <r>
    <n v="1322"/>
    <s v="NL22RABO0381604934"/>
    <m/>
    <x v="2"/>
    <x v="11"/>
    <d v="2018-10-21T00:00:00"/>
    <d v="2018-10-21T00:00:00"/>
    <n v="-3.23"/>
    <n v="3.23"/>
    <m/>
    <s v="ALBERT HEIJN 1878 ARNHEM"/>
    <x v="1"/>
    <x v="3"/>
    <x v="16"/>
  </r>
  <r>
    <n v="1325"/>
    <s v="NL22RABO0381604934"/>
    <m/>
    <x v="2"/>
    <x v="11"/>
    <d v="2018-10-22T00:00:00"/>
    <d v="2018-10-22T00:00:00"/>
    <n v="-1.69"/>
    <n v="1.69"/>
    <m/>
    <s v="L. VAN GELDER BEHEER B ARNHEM"/>
    <x v="1"/>
    <x v="3"/>
    <x v="16"/>
  </r>
  <r>
    <n v="1326"/>
    <s v="NL22RABO0381604934"/>
    <m/>
    <x v="2"/>
    <x v="11"/>
    <d v="2018-10-22T00:00:00"/>
    <d v="2018-10-22T00:00:00"/>
    <n v="-3.69"/>
    <n v="3.69"/>
    <m/>
    <s v="ALBERT HEIJN 1878 ARNHEM"/>
    <x v="1"/>
    <x v="3"/>
    <x v="16"/>
  </r>
  <r>
    <n v="1337"/>
    <s v="NL22RABO0381604934"/>
    <m/>
    <x v="2"/>
    <x v="11"/>
    <d v="2018-10-31T00:00:00"/>
    <d v="2018-10-31T00:00:00"/>
    <n v="-6.48"/>
    <n v="6.48"/>
    <m/>
    <s v="Albert Heijn 1122 STADSKANAAL"/>
    <x v="1"/>
    <x v="3"/>
    <x v="16"/>
  </r>
  <r>
    <n v="1432"/>
    <s v="BNPPARIBAS"/>
    <m/>
    <x v="3"/>
    <x v="38"/>
    <d v="2019-07-09T00:00:00"/>
    <d v="2019-07-09T00:00:00"/>
    <n v="-21.89"/>
    <n v="21.89"/>
    <m/>
    <s v="PRLV SEPA PAYPAL EUROPE S.A.R.L. ET CIE S.C.A ECH/090719 ID EMETTEUR/LU96ZZZ0000000000000000058 MDT/5HBJ224MREGGA REF/1006047541013 PAYPAL VIREMENT LIB/1006047541013 PAYPAL"/>
    <x v="1"/>
    <x v="3"/>
    <x v="17"/>
  </r>
  <r>
    <n v="1484"/>
    <s v="KAS"/>
    <m/>
    <x v="3"/>
    <x v="14"/>
    <d v="2019-03-01T00:00:00"/>
    <d v="2019-03-01T00:00:00"/>
    <n v="-2.97"/>
    <n v="2.97"/>
    <m/>
    <s v="AH"/>
    <x v="1"/>
    <x v="3"/>
    <x v="16"/>
  </r>
  <r>
    <n v="1501"/>
    <s v="KAS"/>
    <m/>
    <x v="3"/>
    <x v="53"/>
    <d v="2019-04-01T00:00:00"/>
    <d v="2019-04-01T00:00:00"/>
    <n v="-6.25"/>
    <n v="6.25"/>
    <m/>
    <s v="boodsch campingwinkel"/>
    <x v="1"/>
    <x v="3"/>
    <x v="16"/>
  </r>
  <r>
    <n v="1503"/>
    <s v="KAS"/>
    <m/>
    <x v="3"/>
    <x v="53"/>
    <d v="2019-04-01T00:00:00"/>
    <d v="2019-04-01T00:00:00"/>
    <n v="-10"/>
    <n v="10"/>
    <m/>
    <s v="boodshcappen"/>
    <x v="1"/>
    <x v="3"/>
    <x v="16"/>
  </r>
  <r>
    <n v="1505"/>
    <s v="KAS"/>
    <m/>
    <x v="3"/>
    <x v="53"/>
    <d v="2019-04-01T00:00:00"/>
    <d v="2019-04-01T00:00:00"/>
    <n v="-1"/>
    <n v="1"/>
    <m/>
    <s v="bananen"/>
    <x v="1"/>
    <x v="3"/>
    <x v="16"/>
  </r>
  <r>
    <n v="1511"/>
    <s v="KAS"/>
    <m/>
    <x v="3"/>
    <x v="53"/>
    <d v="2019-04-01T00:00:00"/>
    <d v="2019-04-01T00:00:00"/>
    <n v="-6.5"/>
    <n v="6.5"/>
    <m/>
    <s v="almercato 17/4"/>
    <x v="1"/>
    <x v="3"/>
    <x v="16"/>
  </r>
  <r>
    <n v="1513"/>
    <s v="KAS"/>
    <m/>
    <x v="3"/>
    <x v="53"/>
    <d v="2019-04-01T00:00:00"/>
    <d v="2019-04-01T00:00:00"/>
    <n v="-2.9"/>
    <n v="2.9"/>
    <m/>
    <s v="fruit en groente"/>
    <x v="1"/>
    <x v="3"/>
    <x v="16"/>
  </r>
  <r>
    <n v="1521"/>
    <s v="KAS"/>
    <m/>
    <x v="3"/>
    <x v="53"/>
    <d v="2019-04-01T00:00:00"/>
    <d v="2019-04-01T00:00:00"/>
    <n v="-3.1"/>
    <n v="3.1"/>
    <m/>
    <s v="kurkuma lijnzaad en pindas"/>
    <x v="1"/>
    <x v="3"/>
    <x v="16"/>
  </r>
  <r>
    <n v="1532"/>
    <s v="KAS"/>
    <m/>
    <x v="3"/>
    <x v="54"/>
    <d v="2019-05-01T00:00:00"/>
    <d v="2019-05-01T00:00:00"/>
    <n v="-2.4"/>
    <n v="2.4"/>
    <m/>
    <s v="koekjes infopoint"/>
    <x v="1"/>
    <x v="3"/>
    <x v="16"/>
  </r>
  <r>
    <n v="1533"/>
    <s v="KAS"/>
    <m/>
    <x v="3"/>
    <x v="54"/>
    <d v="2019-05-01T00:00:00"/>
    <d v="2019-05-01T00:00:00"/>
    <n v="-3"/>
    <n v="3"/>
    <m/>
    <s v="fruit en groente"/>
    <x v="1"/>
    <x v="3"/>
    <x v="16"/>
  </r>
  <r>
    <n v="1534"/>
    <s v="KAS"/>
    <m/>
    <x v="3"/>
    <x v="54"/>
    <d v="2019-05-01T00:00:00"/>
    <d v="2019-05-01T00:00:00"/>
    <n v="-0.9"/>
    <n v="0.9"/>
    <m/>
    <s v="bananen"/>
    <x v="1"/>
    <x v="3"/>
    <x v="16"/>
  </r>
  <r>
    <n v="1535"/>
    <s v="KAS"/>
    <m/>
    <x v="3"/>
    <x v="54"/>
    <d v="2019-05-01T00:00:00"/>
    <d v="2019-05-01T00:00:00"/>
    <n v="-5"/>
    <n v="5"/>
    <m/>
    <s v="fruit + groenten"/>
    <x v="1"/>
    <x v="3"/>
    <x v="16"/>
  </r>
  <r>
    <n v="1547"/>
    <s v="KAS"/>
    <m/>
    <x v="3"/>
    <x v="54"/>
    <d v="2019-05-01T00:00:00"/>
    <d v="2019-05-01T00:00:00"/>
    <n v="-4.0999999999999996"/>
    <n v="4.0999999999999996"/>
    <m/>
    <s v="boodsch 16/5"/>
    <x v="1"/>
    <x v="3"/>
    <x v="16"/>
  </r>
  <r>
    <n v="1550"/>
    <s v="KAS"/>
    <m/>
    <x v="3"/>
    <x v="54"/>
    <d v="2019-05-01T00:00:00"/>
    <d v="2019-05-01T00:00:00"/>
    <n v="-2"/>
    <n v="2"/>
    <m/>
    <s v="fruit 24/5"/>
    <x v="1"/>
    <x v="3"/>
    <x v="16"/>
  </r>
  <r>
    <n v="1567"/>
    <s v="KAS"/>
    <m/>
    <x v="3"/>
    <x v="55"/>
    <d v="2019-06-01T00:00:00"/>
    <d v="2019-06-01T00:00:00"/>
    <n v="-1.5"/>
    <n v="1.5"/>
    <m/>
    <s v="fruit"/>
    <x v="1"/>
    <x v="3"/>
    <x v="16"/>
  </r>
  <r>
    <n v="1582"/>
    <s v="KAS"/>
    <m/>
    <x v="3"/>
    <x v="38"/>
    <d v="2019-07-01T00:00:00"/>
    <d v="2019-07-01T00:00:00"/>
    <n v="-4"/>
    <n v="4"/>
    <m/>
    <s v="bananen en appels"/>
    <x v="1"/>
    <x v="3"/>
    <x v="16"/>
  </r>
  <r>
    <n v="1591"/>
    <s v="KAS"/>
    <m/>
    <x v="3"/>
    <x v="38"/>
    <d v="2019-07-01T00:00:00"/>
    <d v="2019-07-01T00:00:00"/>
    <n v="-1.4"/>
    <n v="1.4"/>
    <m/>
    <s v="boodsch 30/7"/>
    <x v="1"/>
    <x v="3"/>
    <x v="16"/>
  </r>
  <r>
    <n v="1605"/>
    <s v="KAS"/>
    <m/>
    <x v="3"/>
    <x v="41"/>
    <d v="2019-08-12T00:00:00"/>
    <d v="2019-08-12T00:00:00"/>
    <n v="-2.1"/>
    <n v="2.1"/>
    <m/>
    <s v="boodsh 15/8"/>
    <x v="1"/>
    <x v="3"/>
    <x v="16"/>
  </r>
  <r>
    <n v="1606"/>
    <s v="KAS"/>
    <m/>
    <x v="3"/>
    <x v="41"/>
    <d v="2019-08-12T00:00:00"/>
    <d v="2019-08-12T00:00:00"/>
    <n v="-3.75"/>
    <n v="3.75"/>
    <m/>
    <s v="koekjes + croiss"/>
    <x v="1"/>
    <x v="3"/>
    <x v="16"/>
  </r>
  <r>
    <n v="1610"/>
    <s v="KAS"/>
    <m/>
    <x v="3"/>
    <x v="41"/>
    <d v="2019-08-12T00:00:00"/>
    <d v="2019-08-12T00:00:00"/>
    <n v="-1.7"/>
    <n v="1.7"/>
    <m/>
    <s v="koekjes 25/8"/>
    <x v="1"/>
    <x v="3"/>
    <x v="16"/>
  </r>
  <r>
    <n v="1612"/>
    <s v="KAS"/>
    <m/>
    <x v="3"/>
    <x v="18"/>
    <d v="2019-09-06T00:00:00"/>
    <d v="2019-09-06T00:00:00"/>
    <n v="-2.5"/>
    <n v="2.5"/>
    <m/>
    <s v="boodsch 1/9 koekjes"/>
    <x v="1"/>
    <x v="3"/>
    <x v="16"/>
  </r>
  <r>
    <n v="1613"/>
    <s v="KAS"/>
    <m/>
    <x v="3"/>
    <x v="18"/>
    <d v="2019-09-06T00:00:00"/>
    <d v="2019-09-06T00:00:00"/>
    <n v="-1.65"/>
    <n v="1.65"/>
    <m/>
    <s v="boodsch 6/9"/>
    <x v="1"/>
    <x v="3"/>
    <x v="16"/>
  </r>
  <r>
    <n v="1616"/>
    <s v="KAS"/>
    <m/>
    <x v="3"/>
    <x v="18"/>
    <d v="2019-09-06T00:00:00"/>
    <d v="2019-09-06T00:00:00"/>
    <n v="-2.5"/>
    <n v="2.5"/>
    <m/>
    <s v="koekjes 10/9"/>
    <x v="1"/>
    <x v="3"/>
    <x v="16"/>
  </r>
  <r>
    <n v="1618"/>
    <s v="KAS"/>
    <m/>
    <x v="3"/>
    <x v="18"/>
    <d v="2019-09-06T00:00:00"/>
    <d v="2019-09-06T00:00:00"/>
    <n v="-1.7"/>
    <n v="1.7"/>
    <m/>
    <s v="koekjes 21/9"/>
    <x v="1"/>
    <x v="3"/>
    <x v="16"/>
  </r>
  <r>
    <n v="1630"/>
    <s v="KAS"/>
    <m/>
    <x v="3"/>
    <x v="39"/>
    <d v="2019-10-31T00:00:00"/>
    <d v="2019-10-31T00:00:00"/>
    <n v="-5.88"/>
    <n v="5.88"/>
    <m/>
    <s v="boodsch 7/10"/>
    <x v="1"/>
    <x v="3"/>
    <x v="16"/>
  </r>
  <r>
    <n v="1637"/>
    <s v="KAS"/>
    <m/>
    <x v="3"/>
    <x v="39"/>
    <d v="2019-10-31T00:00:00"/>
    <d v="2019-10-31T00:00:00"/>
    <n v="-1.5"/>
    <n v="1.5"/>
    <m/>
    <s v="noten"/>
    <x v="1"/>
    <x v="3"/>
    <x v="16"/>
  </r>
  <r>
    <n v="1640"/>
    <s v="KAS"/>
    <m/>
    <x v="3"/>
    <x v="39"/>
    <d v="2019-10-31T00:00:00"/>
    <d v="2019-10-31T00:00:00"/>
    <n v="-5.03"/>
    <n v="5.03"/>
    <m/>
    <s v="Boodsch door Joost"/>
    <x v="1"/>
    <x v="3"/>
    <x v="16"/>
  </r>
  <r>
    <n v="1652"/>
    <s v="KRUIS"/>
    <m/>
    <x v="3"/>
    <x v="39"/>
    <d v="2019-10-31T00:00:00"/>
    <d v="2019-10-31T00:00:00"/>
    <n v="67.63"/>
    <n v="67.63"/>
    <m/>
    <s v="boodsch josot"/>
    <x v="1"/>
    <x v="3"/>
    <x v="16"/>
  </r>
  <r>
    <n v="1656"/>
    <s v="KRUIS"/>
    <m/>
    <x v="3"/>
    <x v="39"/>
    <d v="2019-10-31T00:00:00"/>
    <d v="2019-10-31T00:00:00"/>
    <n v="-7.02"/>
    <n v="7.02"/>
    <m/>
    <s v="Betaald door Joost boodsc"/>
    <x v="1"/>
    <x v="3"/>
    <x v="16"/>
  </r>
  <r>
    <n v="1697"/>
    <s v="NL22RABO0381604934"/>
    <m/>
    <x v="3"/>
    <x v="14"/>
    <d v="2019-03-05T00:00:00"/>
    <d v="2019-03-05T00:00:00"/>
    <n v="-1.1499999999999999"/>
    <n v="1.1499999999999999"/>
    <m/>
    <s v="ALBERT HEIJN 1653 SCHIPHOL"/>
    <x v="1"/>
    <x v="3"/>
    <x v="16"/>
  </r>
  <r>
    <n v="1699"/>
    <s v="NL22RABO0381604934"/>
    <m/>
    <x v="3"/>
    <x v="14"/>
    <d v="2019-03-05T00:00:00"/>
    <d v="2019-03-05T00:00:00"/>
    <n v="-2.75"/>
    <n v="2.75"/>
    <m/>
    <s v="Lidl 593 Musselkanaa MUSSELKANAAL"/>
    <x v="1"/>
    <x v="3"/>
    <x v="16"/>
  </r>
  <r>
    <n v="1701"/>
    <s v="NL22RABO0381604934"/>
    <m/>
    <x v="3"/>
    <x v="14"/>
    <d v="2019-03-06T00:00:00"/>
    <d v="2019-03-06T00:00:00"/>
    <n v="-10.64"/>
    <n v="10.64"/>
    <m/>
    <s v="Albert Heijn 1122 STADSKANAAL"/>
    <x v="1"/>
    <x v="3"/>
    <x v="16"/>
  </r>
  <r>
    <n v="1704"/>
    <s v="NL22RABO0381604934"/>
    <m/>
    <x v="3"/>
    <x v="14"/>
    <d v="2019-03-08T00:00:00"/>
    <d v="2019-03-08T00:00:00"/>
    <n v="0.28999999999999998"/>
    <n v="0.28999999999999998"/>
    <m/>
    <s v="Coop 2113 MUSSELKANAAL"/>
    <x v="1"/>
    <x v="3"/>
    <x v="16"/>
  </r>
  <r>
    <n v="1705"/>
    <s v="NL22RABO0381604934"/>
    <m/>
    <x v="3"/>
    <x v="14"/>
    <d v="2019-03-09T00:00:00"/>
    <d v="2019-03-09T00:00:00"/>
    <n v="-3.4"/>
    <n v="3.4"/>
    <m/>
    <s v="Albert Heijn 1122 STADSKANAAL"/>
    <x v="1"/>
    <x v="3"/>
    <x v="16"/>
  </r>
  <r>
    <n v="1706"/>
    <s v="NL22RABO0381604934"/>
    <m/>
    <x v="3"/>
    <x v="14"/>
    <d v="2019-03-12T00:00:00"/>
    <d v="2019-03-12T00:00:00"/>
    <n v="-12.95"/>
    <n v="12.95"/>
    <m/>
    <s v="ALBERT HEIJN 1878 ARNHEM"/>
    <x v="1"/>
    <x v="3"/>
    <x v="16"/>
  </r>
  <r>
    <n v="1707"/>
    <s v="NL22RABO0381604934"/>
    <m/>
    <x v="3"/>
    <x v="14"/>
    <d v="2019-03-13T00:00:00"/>
    <d v="2019-03-13T00:00:00"/>
    <n v="-2.39"/>
    <n v="2.39"/>
    <m/>
    <s v="Mimint ARNHEM"/>
    <x v="1"/>
    <x v="3"/>
    <x v="16"/>
  </r>
  <r>
    <n v="1715"/>
    <s v="NL22RABO0381604934"/>
    <m/>
    <x v="3"/>
    <x v="14"/>
    <d v="2019-03-14T00:00:00"/>
    <d v="2019-03-14T00:00:00"/>
    <n v="-4.22"/>
    <n v="4.22"/>
    <m/>
    <s v="ALBERT HEIJN 1101 ARNHEM"/>
    <x v="1"/>
    <x v="3"/>
    <x v="16"/>
  </r>
  <r>
    <n v="1717"/>
    <s v="NL22RABO0381604934"/>
    <m/>
    <x v="3"/>
    <x v="14"/>
    <d v="2019-03-15T00:00:00"/>
    <d v="2019-03-15T00:00:00"/>
    <n v="-2.7"/>
    <n v="2.7"/>
    <m/>
    <s v="Mimint ARNHEM"/>
    <x v="1"/>
    <x v="3"/>
    <x v="16"/>
  </r>
  <r>
    <n v="1718"/>
    <s v="NL22RABO0381604934"/>
    <m/>
    <x v="3"/>
    <x v="14"/>
    <d v="2019-03-16T00:00:00"/>
    <d v="2019-03-16T00:00:00"/>
    <n v="-4.53"/>
    <n v="4.53"/>
    <m/>
    <s v="ALBERT HEIJN 1878 ARNHEM"/>
    <x v="1"/>
    <x v="3"/>
    <x v="16"/>
  </r>
  <r>
    <n v="1721"/>
    <s v="NL22RABO0381604934"/>
    <m/>
    <x v="3"/>
    <x v="14"/>
    <d v="2019-03-17T00:00:00"/>
    <d v="2019-03-17T00:00:00"/>
    <n v="-10.76"/>
    <n v="10.76"/>
    <m/>
    <s v="Coop 2224 Arnhem"/>
    <x v="1"/>
    <x v="3"/>
    <x v="16"/>
  </r>
  <r>
    <n v="1725"/>
    <s v="NL22RABO0381604934"/>
    <m/>
    <x v="3"/>
    <x v="14"/>
    <d v="2019-03-18T00:00:00"/>
    <d v="2019-03-18T00:00:00"/>
    <n v="-6.83"/>
    <n v="6.83"/>
    <m/>
    <s v="ALBERT HEIJN 1878 ARNHEM"/>
    <x v="1"/>
    <x v="3"/>
    <x v="16"/>
  </r>
  <r>
    <n v="1730"/>
    <s v="NL22RABO0381604934"/>
    <m/>
    <x v="3"/>
    <x v="14"/>
    <d v="2019-03-19T00:00:00"/>
    <d v="2019-03-19T00:00:00"/>
    <n v="-2.65"/>
    <n v="2.65"/>
    <m/>
    <s v="Mimint ARNHEM"/>
    <x v="1"/>
    <x v="3"/>
    <x v="16"/>
  </r>
  <r>
    <n v="1731"/>
    <s v="NL22RABO0381604934"/>
    <m/>
    <x v="3"/>
    <x v="14"/>
    <d v="2019-03-19T00:00:00"/>
    <d v="2019-03-19T00:00:00"/>
    <n v="-1.21"/>
    <n v="1.21"/>
    <m/>
    <s v="ALBERT HEIJN 1878 ARNHEM"/>
    <x v="1"/>
    <x v="3"/>
    <x v="16"/>
  </r>
  <r>
    <n v="1734"/>
    <s v="NL22RABO0381604934"/>
    <m/>
    <x v="3"/>
    <x v="14"/>
    <d v="2019-03-20T00:00:00"/>
    <d v="2019-03-20T00:00:00"/>
    <n v="-3.87"/>
    <n v="3.87"/>
    <m/>
    <s v="ALBERT HEIJN 1878 ARNHEM"/>
    <x v="1"/>
    <x v="3"/>
    <x v="16"/>
  </r>
  <r>
    <n v="1735"/>
    <s v="NL22RABO0381604934"/>
    <m/>
    <x v="3"/>
    <x v="14"/>
    <d v="2019-03-20T00:00:00"/>
    <d v="2019-03-20T00:00:00"/>
    <n v="-4.6900000000000004"/>
    <n v="4.6900000000000004"/>
    <m/>
    <s v="Mimint ARNHEM"/>
    <x v="1"/>
    <x v="3"/>
    <x v="16"/>
  </r>
  <r>
    <n v="1738"/>
    <s v="NL22RABO0381604934"/>
    <m/>
    <x v="3"/>
    <x v="14"/>
    <d v="2019-03-21T00:00:00"/>
    <d v="2019-03-21T00:00:00"/>
    <n v="-2.6"/>
    <n v="2.6"/>
    <m/>
    <s v="ALBERT HEIJN 1878 ARNHEM"/>
    <x v="1"/>
    <x v="3"/>
    <x v="16"/>
  </r>
  <r>
    <n v="1740"/>
    <s v="NL22RABO0381604934"/>
    <m/>
    <x v="3"/>
    <x v="14"/>
    <d v="2019-03-22T00:00:00"/>
    <d v="2019-03-22T00:00:00"/>
    <n v="-1.8"/>
    <n v="1.8"/>
    <m/>
    <s v="Mimint ARNHEM"/>
    <x v="1"/>
    <x v="3"/>
    <x v="16"/>
  </r>
  <r>
    <n v="1743"/>
    <s v="NL22RABO0381604934"/>
    <m/>
    <x v="3"/>
    <x v="14"/>
    <d v="2019-03-23T00:00:00"/>
    <d v="2019-03-23T00:00:00"/>
    <n v="-3.79"/>
    <n v="3.79"/>
    <m/>
    <s v="Ekoplaza Velperplein ARNHEM"/>
    <x v="1"/>
    <x v="3"/>
    <x v="16"/>
  </r>
  <r>
    <n v="1744"/>
    <s v="NL22RABO0381604934"/>
    <m/>
    <x v="3"/>
    <x v="14"/>
    <d v="2019-03-23T00:00:00"/>
    <d v="2019-03-23T00:00:00"/>
    <n v="-5.29"/>
    <n v="5.29"/>
    <m/>
    <s v="ALBERT HEIJN 1878 ARNHEM"/>
    <x v="1"/>
    <x v="3"/>
    <x v="16"/>
  </r>
  <r>
    <n v="1747"/>
    <s v="NL22RABO0381604934"/>
    <m/>
    <x v="3"/>
    <x v="14"/>
    <d v="2019-03-24T00:00:00"/>
    <d v="2019-03-24T00:00:00"/>
    <n v="-2.86"/>
    <n v="2.86"/>
    <m/>
    <s v="ALBERT HEIJN 1878 ARNHEM"/>
    <x v="1"/>
    <x v="3"/>
    <x v="16"/>
  </r>
  <r>
    <n v="1748"/>
    <s v="NL22RABO0381604934"/>
    <m/>
    <x v="3"/>
    <x v="14"/>
    <d v="2019-03-25T00:00:00"/>
    <d v="2019-03-25T00:00:00"/>
    <n v="-1.1200000000000001"/>
    <n v="1.1200000000000001"/>
    <m/>
    <s v="ALBERT HEIJN 1878 ARNHEM"/>
    <x v="1"/>
    <x v="3"/>
    <x v="16"/>
  </r>
  <r>
    <n v="1751"/>
    <s v="NL22RABO0381604934"/>
    <m/>
    <x v="3"/>
    <x v="14"/>
    <d v="2019-03-26T00:00:00"/>
    <d v="2019-03-26T00:00:00"/>
    <n v="-1.43"/>
    <n v="1.43"/>
    <m/>
    <s v="ALBERT HEIJN 1878 ARNHEM"/>
    <x v="1"/>
    <x v="3"/>
    <x v="16"/>
  </r>
  <r>
    <n v="1754"/>
    <s v="NL22RABO0381604934"/>
    <m/>
    <x v="3"/>
    <x v="14"/>
    <d v="2019-03-26T00:00:00"/>
    <d v="2019-03-26T00:00:00"/>
    <n v="0.89"/>
    <n v="0.89"/>
    <m/>
    <s v="ALBERT HEIJN 1878 ARNHEM"/>
    <x v="1"/>
    <x v="3"/>
    <x v="16"/>
  </r>
  <r>
    <n v="1766"/>
    <s v="NL22RABO0381604934"/>
    <m/>
    <x v="3"/>
    <x v="14"/>
    <d v="2019-03-27T00:00:00"/>
    <d v="2019-03-27T00:00:00"/>
    <n v="-3.5"/>
    <n v="3.5"/>
    <m/>
    <s v="Mimint ARNHEM"/>
    <x v="1"/>
    <x v="3"/>
    <x v="16"/>
  </r>
  <r>
    <n v="1768"/>
    <s v="NL22RABO0381604934"/>
    <m/>
    <x v="3"/>
    <x v="14"/>
    <d v="2019-03-27T00:00:00"/>
    <d v="2019-03-27T00:00:00"/>
    <n v="-3.91"/>
    <n v="3.91"/>
    <m/>
    <s v="ALBERT HEIJN 1878 ARNHEM"/>
    <x v="1"/>
    <x v="3"/>
    <x v="16"/>
  </r>
  <r>
    <n v="1772"/>
    <s v="NL22RABO0381604934"/>
    <m/>
    <x v="3"/>
    <x v="14"/>
    <d v="2019-03-29T00:00:00"/>
    <d v="2019-03-29T00:00:00"/>
    <n v="-2.87"/>
    <n v="2.87"/>
    <m/>
    <s v="ALBERT HEIJN 1878 ARNHEM"/>
    <x v="1"/>
    <x v="3"/>
    <x v="16"/>
  </r>
  <r>
    <n v="1773"/>
    <s v="NL22RABO0381604934"/>
    <m/>
    <x v="3"/>
    <x v="14"/>
    <d v="2019-03-29T00:00:00"/>
    <d v="2019-03-29T00:00:00"/>
    <n v="-20"/>
    <n v="20"/>
    <m/>
    <s v="ALBERT HEIJN 1878 ARNHEM"/>
    <x v="1"/>
    <x v="3"/>
    <x v="16"/>
  </r>
  <r>
    <n v="1774"/>
    <s v="NL22RABO0381604934"/>
    <m/>
    <x v="3"/>
    <x v="14"/>
    <d v="2019-03-29T00:00:00"/>
    <d v="2019-03-29T00:00:00"/>
    <n v="0.89"/>
    <n v="0.89"/>
    <m/>
    <s v="ALBERT HEIJN 1878 ARNHEM"/>
    <x v="1"/>
    <x v="3"/>
    <x v="16"/>
  </r>
  <r>
    <n v="1776"/>
    <s v="NL22RABO0381604934"/>
    <m/>
    <x v="3"/>
    <x v="53"/>
    <d v="2019-04-01T00:00:00"/>
    <d v="2019-04-01T00:00:00"/>
    <n v="-4.32"/>
    <n v="4.32"/>
    <m/>
    <s v="Lidl 593 Musselkanaa MUSSELKANAAL"/>
    <x v="1"/>
    <x v="3"/>
    <x v="16"/>
  </r>
  <r>
    <n v="1784"/>
    <s v="NL22RABO0381604934"/>
    <m/>
    <x v="3"/>
    <x v="53"/>
    <d v="2019-04-04T00:00:00"/>
    <d v="2019-04-04T00:00:00"/>
    <n v="-3.48"/>
    <n v="3.48"/>
    <m/>
    <s v="Coop 2113 MUSSELKANAAL"/>
    <x v="1"/>
    <x v="3"/>
    <x v="16"/>
  </r>
  <r>
    <n v="1786"/>
    <s v="NL22RABO0381604934"/>
    <m/>
    <x v="3"/>
    <x v="53"/>
    <d v="2019-04-05T00:00:00"/>
    <d v="2019-04-05T00:00:00"/>
    <n v="0.37"/>
    <n v="0.37"/>
    <m/>
    <s v="Albert Heijn 1122 STADSKANAAL"/>
    <x v="1"/>
    <x v="3"/>
    <x v="16"/>
  </r>
  <r>
    <n v="1787"/>
    <s v="NL22RABO0381604934"/>
    <m/>
    <x v="3"/>
    <x v="53"/>
    <d v="2019-04-07T00:00:00"/>
    <d v="2019-04-07T00:00:00"/>
    <n v="-3.3"/>
    <n v="3.3"/>
    <m/>
    <s v="Lidl 593 Musselkanaa MUSSELKANAAL"/>
    <x v="1"/>
    <x v="3"/>
    <x v="16"/>
  </r>
  <r>
    <n v="1790"/>
    <s v="NL22RABO0381604934"/>
    <m/>
    <x v="3"/>
    <x v="53"/>
    <d v="2019-04-11T00:00:00"/>
    <d v="2019-04-11T00:00:00"/>
    <n v="-33.700000000000003"/>
    <n v="33.700000000000003"/>
    <m/>
    <s v="EUROSPIN ACILIA ROMA ITA"/>
    <x v="1"/>
    <x v="3"/>
    <x v="16"/>
  </r>
  <r>
    <n v="1791"/>
    <s v="NL22RABO0381604934"/>
    <m/>
    <x v="3"/>
    <x v="53"/>
    <d v="2019-04-11T00:00:00"/>
    <d v="2019-04-11T00:00:00"/>
    <n v="-17.45"/>
    <n v="17.45"/>
    <m/>
    <s v="SUPERMERCATO DUE P 201 ROMA ITA"/>
    <x v="1"/>
    <x v="3"/>
    <x v="16"/>
  </r>
  <r>
    <n v="1793"/>
    <s v="NL22RABO0381604934"/>
    <m/>
    <x v="3"/>
    <x v="53"/>
    <d v="2019-04-13T00:00:00"/>
    <d v="2019-04-13T00:00:00"/>
    <n v="-4.7"/>
    <n v="4.7"/>
    <m/>
    <s v="SUPERMERCATO DUE P 201 ROMA ITA"/>
    <x v="1"/>
    <x v="3"/>
    <x v="16"/>
  </r>
  <r>
    <n v="1794"/>
    <s v="NL22RABO0381604934"/>
    <m/>
    <x v="3"/>
    <x v="53"/>
    <d v="2019-04-15T00:00:00"/>
    <d v="2019-04-15T00:00:00"/>
    <n v="-24.25"/>
    <n v="24.25"/>
    <m/>
    <s v="SUPERMERCATO DUE P 201 ROMA ITA"/>
    <x v="1"/>
    <x v="3"/>
    <x v="16"/>
  </r>
  <r>
    <n v="1797"/>
    <s v="NL22RABO0381604934"/>
    <m/>
    <x v="3"/>
    <x v="53"/>
    <d v="2019-04-18T00:00:00"/>
    <d v="2019-04-18T00:00:00"/>
    <n v="-3.8"/>
    <n v="3.8"/>
    <m/>
    <s v="SUPERMERCATO CONAD ROMA ITA"/>
    <x v="1"/>
    <x v="3"/>
    <x v="16"/>
  </r>
  <r>
    <n v="1798"/>
    <s v="NL22RABO0381604934"/>
    <m/>
    <x v="3"/>
    <x v="53"/>
    <d v="2019-04-20T00:00:00"/>
    <d v="2019-04-20T00:00:00"/>
    <n v="-30.33"/>
    <n v="30.33"/>
    <m/>
    <s v="EUROSPIN ACILIA ROMA ITA"/>
    <x v="1"/>
    <x v="3"/>
    <x v="16"/>
  </r>
  <r>
    <n v="1801"/>
    <s v="NL22RABO0381604934"/>
    <m/>
    <x v="3"/>
    <x v="53"/>
    <d v="2019-04-23T00:00:00"/>
    <d v="2019-04-23T00:00:00"/>
    <n v="-15.51"/>
    <n v="15.51"/>
    <m/>
    <s v="PAM SUPERSTORE ACILIA ITA"/>
    <x v="1"/>
    <x v="3"/>
    <x v="16"/>
  </r>
  <r>
    <n v="1802"/>
    <s v="NL22RABO0381604934"/>
    <m/>
    <x v="3"/>
    <x v="53"/>
    <d v="2019-04-24T00:00:00"/>
    <d v="2019-04-24T00:00:00"/>
    <n v="-5.25"/>
    <n v="5.25"/>
    <m/>
    <s v="SUPERMERCATO DUE P 201 ROMA ITA"/>
    <x v="1"/>
    <x v="3"/>
    <x v="16"/>
  </r>
  <r>
    <n v="1807"/>
    <s v="NL22RABO0381604934"/>
    <m/>
    <x v="3"/>
    <x v="54"/>
    <d v="2019-05-01T00:00:00"/>
    <d v="2019-05-01T00:00:00"/>
    <n v="-5.95"/>
    <n v="5.95"/>
    <m/>
    <s v="SUPERMERCATO DUE P 201 ROMA ITA"/>
    <x v="1"/>
    <x v="3"/>
    <x v="16"/>
  </r>
  <r>
    <n v="1808"/>
    <s v="NL22RABO0381604934"/>
    <m/>
    <x v="3"/>
    <x v="54"/>
    <d v="2019-05-01T00:00:00"/>
    <d v="2019-05-01T00:00:00"/>
    <n v="-13.84"/>
    <n v="13.84"/>
    <m/>
    <s v="boodsch 22/5"/>
    <x v="1"/>
    <x v="3"/>
    <x v="16"/>
  </r>
  <r>
    <n v="1815"/>
    <s v="NL22RABO0381604934"/>
    <m/>
    <x v="3"/>
    <x v="54"/>
    <d v="2019-05-08T00:00:00"/>
    <d v="2019-05-08T00:00:00"/>
    <n v="-25.12"/>
    <n v="25.12"/>
    <m/>
    <s v="EUROSPIN ACILIA ROMA ITA"/>
    <x v="1"/>
    <x v="3"/>
    <x v="16"/>
  </r>
  <r>
    <n v="1816"/>
    <s v="NL22RABO0381604934"/>
    <m/>
    <x v="3"/>
    <x v="54"/>
    <d v="2019-05-10T00:00:00"/>
    <d v="2019-05-10T00:00:00"/>
    <n v="-10.8"/>
    <n v="10.8"/>
    <m/>
    <s v="SUPERMERCATO DUE P 201 ROMA ITA"/>
    <x v="1"/>
    <x v="3"/>
    <x v="16"/>
  </r>
  <r>
    <n v="1817"/>
    <s v="NL22RABO0381604934"/>
    <m/>
    <x v="3"/>
    <x v="54"/>
    <d v="2019-05-13T00:00:00"/>
    <d v="2019-05-13T00:00:00"/>
    <n v="-12.65"/>
    <n v="12.65"/>
    <m/>
    <s v="SUPERMERCATO DUE P 201 ROMA ITA"/>
    <x v="1"/>
    <x v="3"/>
    <x v="16"/>
  </r>
  <r>
    <n v="1821"/>
    <s v="NL22RABO0381604934"/>
    <m/>
    <x v="3"/>
    <x v="54"/>
    <d v="2019-05-18T00:00:00"/>
    <d v="2019-05-18T00:00:00"/>
    <n v="-12.2"/>
    <n v="12.2"/>
    <m/>
    <s v="SUPERMERCATO DUE P 201 ROMA ITA"/>
    <x v="1"/>
    <x v="3"/>
    <x v="16"/>
  </r>
  <r>
    <n v="1823"/>
    <s v="NL22RABO0381604934"/>
    <m/>
    <x v="3"/>
    <x v="54"/>
    <d v="2019-05-22T00:00:00"/>
    <d v="2019-05-22T00:00:00"/>
    <n v="-23.84"/>
    <n v="23.84"/>
    <m/>
    <s v="SUPERMERCATO MA &amp; GI ROMA ITA"/>
    <x v="1"/>
    <x v="3"/>
    <x v="16"/>
  </r>
  <r>
    <n v="1825"/>
    <s v="NL22RABO0381604934"/>
    <m/>
    <x v="3"/>
    <x v="54"/>
    <d v="2019-05-24T00:00:00"/>
    <d v="2019-05-24T00:00:00"/>
    <n v="-3.82"/>
    <n v="3.82"/>
    <m/>
    <s v="ECV SHOPS SRL ROMA ITA"/>
    <x v="1"/>
    <x v="3"/>
    <x v="16"/>
  </r>
  <r>
    <n v="1826"/>
    <s v="NL22RABO0381604934"/>
    <m/>
    <x v="3"/>
    <x v="54"/>
    <d v="2019-05-24T00:00:00"/>
    <d v="2019-05-24T00:00:00"/>
    <n v="-4.2"/>
    <n v="4.2"/>
    <m/>
    <s v="SUPERMERCATO DUE P 201 ROMA ITA"/>
    <x v="1"/>
    <x v="3"/>
    <x v="16"/>
  </r>
  <r>
    <n v="1827"/>
    <s v="NL22RABO0381604934"/>
    <m/>
    <x v="3"/>
    <x v="54"/>
    <d v="2019-05-28T00:00:00"/>
    <d v="2019-05-28T00:00:00"/>
    <n v="-6.8"/>
    <n v="6.8"/>
    <m/>
    <s v="SUPERMERCATO DUE P 201 ROMA ITA"/>
    <x v="1"/>
    <x v="3"/>
    <x v="16"/>
  </r>
  <r>
    <n v="1829"/>
    <s v="NL22RABO0381604934"/>
    <m/>
    <x v="3"/>
    <x v="54"/>
    <d v="2019-05-31T00:00:00"/>
    <d v="2019-05-31T00:00:00"/>
    <n v="-22.15"/>
    <n v="22.15"/>
    <m/>
    <s v="SUPERMERCATO DUE P 201 ROMA ITA"/>
    <x v="1"/>
    <x v="3"/>
    <x v="16"/>
  </r>
  <r>
    <n v="1830"/>
    <s v="NL22RABO0381604934"/>
    <m/>
    <x v="3"/>
    <x v="55"/>
    <d v="2019-06-01T00:00:00"/>
    <d v="2019-06-01T00:00:00"/>
    <n v="-13.65"/>
    <n v="13.65"/>
    <m/>
    <s v="boodsch 13/6"/>
    <x v="1"/>
    <x v="3"/>
    <x v="16"/>
  </r>
  <r>
    <n v="1836"/>
    <s v="NL22RABO0381604934"/>
    <m/>
    <x v="3"/>
    <x v="55"/>
    <d v="2019-06-05T00:00:00"/>
    <d v="2019-06-05T00:00:00"/>
    <n v="-19.72"/>
    <n v="19.72"/>
    <m/>
    <s v="EUROSPIN ACILIA ROMA ITA"/>
    <x v="1"/>
    <x v="3"/>
    <x v="16"/>
  </r>
  <r>
    <n v="1838"/>
    <s v="NL22RABO0381604934"/>
    <m/>
    <x v="3"/>
    <x v="55"/>
    <d v="2019-06-10T00:00:00"/>
    <d v="2019-06-10T00:00:00"/>
    <n v="-6.7"/>
    <n v="6.7"/>
    <m/>
    <s v="SUPERMERCATO DUE P 201 ROMA ITA"/>
    <x v="1"/>
    <x v="3"/>
    <x v="16"/>
  </r>
  <r>
    <n v="1840"/>
    <s v="NL22RABO0381604934"/>
    <m/>
    <x v="3"/>
    <x v="55"/>
    <d v="2019-06-13T00:00:00"/>
    <d v="2019-06-13T00:00:00"/>
    <n v="-13.65"/>
    <n v="13.65"/>
    <m/>
    <s v="SUPERMERCATO DUE P 201 ROMA ITA"/>
    <x v="1"/>
    <x v="3"/>
    <x v="16"/>
  </r>
  <r>
    <n v="1843"/>
    <s v="NL22RABO0381604934"/>
    <m/>
    <x v="3"/>
    <x v="55"/>
    <d v="2019-06-19T00:00:00"/>
    <d v="2019-06-19T00:00:00"/>
    <n v="-20.5"/>
    <n v="20.5"/>
    <m/>
    <s v="SUPERMERCATO DUE P 201 ROMA ITA"/>
    <x v="1"/>
    <x v="3"/>
    <x v="16"/>
  </r>
  <r>
    <n v="1845"/>
    <s v="NL22RABO0381604934"/>
    <m/>
    <x v="3"/>
    <x v="55"/>
    <d v="2019-06-24T00:00:00"/>
    <d v="2019-06-24T00:00:00"/>
    <n v="-17.7"/>
    <n v="17.7"/>
    <m/>
    <s v="SUPERMERCATO DUE P 201 ROMA ITA"/>
    <x v="1"/>
    <x v="3"/>
    <x v="16"/>
  </r>
  <r>
    <n v="1846"/>
    <s v="NL22RABO0381604934"/>
    <m/>
    <x v="3"/>
    <x v="38"/>
    <d v="2019-07-01T00:00:00"/>
    <d v="2019-07-01T00:00:00"/>
    <n v="-27.13"/>
    <n v="27.13"/>
    <m/>
    <s v="EUROSPIN ACILIA ROMA ITA"/>
    <x v="1"/>
    <x v="3"/>
    <x v="16"/>
  </r>
  <r>
    <n v="1847"/>
    <s v="NL22RABO0381604934"/>
    <m/>
    <x v="3"/>
    <x v="38"/>
    <d v="2019-07-01T00:00:00"/>
    <d v="2019-07-01T00:00:00"/>
    <n v="-10"/>
    <n v="10"/>
    <m/>
    <s v="SUPERMERCATO DUE P 201 ROMA ITA"/>
    <x v="1"/>
    <x v="3"/>
    <x v="16"/>
  </r>
  <r>
    <n v="1848"/>
    <s v="NL22RABO0381604934"/>
    <m/>
    <x v="3"/>
    <x v="38"/>
    <d v="2019-07-01T00:00:00"/>
    <d v="2019-07-01T00:00:00"/>
    <n v="-17.55"/>
    <n v="17.55"/>
    <m/>
    <s v="boodsch 31/7"/>
    <x v="1"/>
    <x v="3"/>
    <x v="16"/>
  </r>
  <r>
    <n v="1851"/>
    <s v="NL22RABO0381604934"/>
    <m/>
    <x v="3"/>
    <x v="38"/>
    <d v="2019-07-02T00:00:00"/>
    <d v="2019-07-02T00:00:00"/>
    <n v="-15.35"/>
    <n v="15.35"/>
    <m/>
    <s v="SUPERMERCATO DUE P 201 ROMA ITA"/>
    <x v="1"/>
    <x v="3"/>
    <x v="16"/>
  </r>
  <r>
    <n v="1854"/>
    <s v="NL22RABO0381604934"/>
    <m/>
    <x v="3"/>
    <x v="38"/>
    <d v="2019-07-05T00:00:00"/>
    <d v="2019-07-05T00:00:00"/>
    <n v="-1.72"/>
    <n v="1.72"/>
    <m/>
    <s v="PAM SUPERSTORE ACILIA ITA"/>
    <x v="1"/>
    <x v="3"/>
    <x v="16"/>
  </r>
  <r>
    <n v="1855"/>
    <s v="NL22RABO0381604934"/>
    <m/>
    <x v="3"/>
    <x v="38"/>
    <d v="2019-07-08T00:00:00"/>
    <d v="2019-07-08T00:00:00"/>
    <n v="-14.5"/>
    <n v="14.5"/>
    <m/>
    <s v="SUPERMERCATO DUE P 201 ROMA ITA"/>
    <x v="1"/>
    <x v="3"/>
    <x v="16"/>
  </r>
  <r>
    <n v="1859"/>
    <s v="NL22RABO0381604934"/>
    <m/>
    <x v="3"/>
    <x v="38"/>
    <d v="2019-07-17T00:00:00"/>
    <d v="2019-07-17T00:00:00"/>
    <n v="-27.1"/>
    <n v="27.1"/>
    <m/>
    <s v="EUROSPIN ACILIA ROMA ITA"/>
    <x v="1"/>
    <x v="3"/>
    <x v="16"/>
  </r>
  <r>
    <n v="1861"/>
    <s v="NL22RABO0381604934"/>
    <m/>
    <x v="3"/>
    <x v="38"/>
    <d v="2019-07-19T00:00:00"/>
    <d v="2019-07-19T00:00:00"/>
    <n v="-13.6"/>
    <n v="13.6"/>
    <m/>
    <s v="SUPERMERCATO DUE P 201 ROMA ITA"/>
    <x v="1"/>
    <x v="3"/>
    <x v="16"/>
  </r>
  <r>
    <n v="1866"/>
    <s v="NL22RABO0381604934"/>
    <m/>
    <x v="3"/>
    <x v="38"/>
    <d v="2019-07-25T00:00:00"/>
    <d v="2019-07-25T00:00:00"/>
    <n v="-13.8"/>
    <n v="13.8"/>
    <m/>
    <s v="SUPERMERCATO DUE P 201 ROMA ITA"/>
    <x v="1"/>
    <x v="3"/>
    <x v="16"/>
  </r>
  <r>
    <n v="1867"/>
    <s v="NL22RABO0381604934"/>
    <m/>
    <x v="3"/>
    <x v="38"/>
    <d v="2019-07-31T00:00:00"/>
    <d v="2019-07-31T00:00:00"/>
    <n v="-3.38"/>
    <n v="3.38"/>
    <m/>
    <s v="ABN AMRO Bank NV Riccardo boodsch"/>
    <x v="1"/>
    <x v="3"/>
    <x v="16"/>
  </r>
  <r>
    <n v="1873"/>
    <s v="NL22RABO0381604934"/>
    <m/>
    <x v="3"/>
    <x v="41"/>
    <d v="2019-08-05T00:00:00"/>
    <d v="2019-08-05T00:00:00"/>
    <n v="-16.350000000000001"/>
    <n v="16.350000000000001"/>
    <m/>
    <s v="SUPERMERCATO DUE P 201 ROMA ITA"/>
    <x v="1"/>
    <x v="3"/>
    <x v="16"/>
  </r>
  <r>
    <n v="1876"/>
    <s v="NL22RABO0381604934"/>
    <m/>
    <x v="3"/>
    <x v="41"/>
    <d v="2019-08-12T00:00:00"/>
    <d v="2019-08-12T00:00:00"/>
    <n v="-27.07"/>
    <n v="27.07"/>
    <m/>
    <s v="SUPERMERCATO MA &amp; GI ROMA ITA"/>
    <x v="1"/>
    <x v="3"/>
    <x v="16"/>
  </r>
  <r>
    <n v="1877"/>
    <s v="NL22RABO0381604934"/>
    <m/>
    <x v="3"/>
    <x v="41"/>
    <d v="2019-08-12T00:00:00"/>
    <d v="2019-08-12T00:00:00"/>
    <n v="-6.55"/>
    <n v="6.55"/>
    <m/>
    <s v="SUPERMERCATO DUE P 201 ROMA ITA"/>
    <x v="1"/>
    <x v="3"/>
    <x v="16"/>
  </r>
  <r>
    <n v="1880"/>
    <s v="NL22RABO0381604934"/>
    <m/>
    <x v="3"/>
    <x v="41"/>
    <d v="2019-08-17T00:00:00"/>
    <d v="2019-08-17T00:00:00"/>
    <n v="-20.8"/>
    <n v="20.8"/>
    <m/>
    <s v="SUPERMERCATO DUE P 201 ROMA ITA"/>
    <x v="1"/>
    <x v="3"/>
    <x v="16"/>
  </r>
  <r>
    <n v="1883"/>
    <s v="NL22RABO0381604934"/>
    <m/>
    <x v="3"/>
    <x v="41"/>
    <d v="2019-08-23T00:00:00"/>
    <d v="2019-08-23T00:00:00"/>
    <n v="-14.75"/>
    <n v="14.75"/>
    <m/>
    <s v="SUPERMERCATO DUE P 201 ROMA ITA"/>
    <x v="1"/>
    <x v="3"/>
    <x v="16"/>
  </r>
  <r>
    <n v="1884"/>
    <s v="NL22RABO0381604934"/>
    <m/>
    <x v="3"/>
    <x v="41"/>
    <d v="2019-08-29T00:00:00"/>
    <d v="2019-08-29T00:00:00"/>
    <n v="-18.3"/>
    <n v="18.3"/>
    <m/>
    <s v="SUPERMERCATO DUE P 201 ROMA ITA"/>
    <x v="1"/>
    <x v="3"/>
    <x v="16"/>
  </r>
  <r>
    <n v="1885"/>
    <s v="NL22RABO0381604934"/>
    <m/>
    <x v="3"/>
    <x v="41"/>
    <d v="2019-08-29T00:00:00"/>
    <d v="2019-08-29T00:00:00"/>
    <n v="-3.68"/>
    <n v="3.68"/>
    <m/>
    <s v="CARREFOUR MARKET ROMA ROMA ITA"/>
    <x v="1"/>
    <x v="3"/>
    <x v="16"/>
  </r>
  <r>
    <n v="1890"/>
    <s v="NL22RABO0381604934"/>
    <m/>
    <x v="3"/>
    <x v="18"/>
    <d v="2019-09-04T00:00:00"/>
    <d v="2019-09-04T00:00:00"/>
    <n v="-4.55"/>
    <n v="4.55"/>
    <m/>
    <s v="SUPERMERCATO DUE P 201 ROMA ITA"/>
    <x v="1"/>
    <x v="3"/>
    <x v="16"/>
  </r>
  <r>
    <n v="1891"/>
    <s v="NL22RABO0381604934"/>
    <m/>
    <x v="3"/>
    <x v="18"/>
    <d v="2019-09-07T00:00:00"/>
    <d v="2019-09-07T00:00:00"/>
    <n v="-37.15"/>
    <n v="37.15"/>
    <m/>
    <s v="MA &amp; GI SRL ROMA ITA"/>
    <x v="1"/>
    <x v="3"/>
    <x v="16"/>
  </r>
  <r>
    <n v="1893"/>
    <s v="NL22RABO0381604934"/>
    <m/>
    <x v="3"/>
    <x v="18"/>
    <d v="2019-09-12T00:00:00"/>
    <d v="2019-09-12T00:00:00"/>
    <n v="-11.9"/>
    <n v="11.9"/>
    <m/>
    <s v="SUPERMERCATO DUE P 201 ROMA ITA"/>
    <x v="1"/>
    <x v="3"/>
    <x v="16"/>
  </r>
  <r>
    <n v="1895"/>
    <s v="NL22RABO0381604934"/>
    <m/>
    <x v="3"/>
    <x v="18"/>
    <d v="2019-09-16T00:00:00"/>
    <d v="2019-09-16T00:00:00"/>
    <n v="-13.9"/>
    <n v="13.9"/>
    <m/>
    <s v="SUPERMERCATO DUE P 201 ROMA ITA"/>
    <x v="1"/>
    <x v="3"/>
    <x v="16"/>
  </r>
  <r>
    <n v="1900"/>
    <s v="NL22RABO0381604934"/>
    <m/>
    <x v="3"/>
    <x v="18"/>
    <d v="2019-09-22T00:00:00"/>
    <d v="2019-09-22T00:00:00"/>
    <n v="-3.35"/>
    <n v="3.35"/>
    <m/>
    <s v="SUPERMERCATO DUE P 201 ROMA ITA"/>
    <x v="1"/>
    <x v="3"/>
    <x v="16"/>
  </r>
  <r>
    <n v="1902"/>
    <s v="NL22RABO0381604934"/>
    <m/>
    <x v="3"/>
    <x v="18"/>
    <d v="2019-09-25T00:00:00"/>
    <d v="2019-09-25T00:00:00"/>
    <n v="-3.65"/>
    <n v="3.65"/>
    <m/>
    <s v="SUPERMERCATO DUE P 201 ROMA ITA"/>
    <x v="1"/>
    <x v="3"/>
    <x v="16"/>
  </r>
  <r>
    <n v="1904"/>
    <s v="NL22RABO0381604934"/>
    <m/>
    <x v="3"/>
    <x v="18"/>
    <d v="2019-09-28T00:00:00"/>
    <d v="2019-09-28T00:00:00"/>
    <n v="-3.95"/>
    <n v="3.95"/>
    <m/>
    <s v="SUPERMERCATO DUE P 201 ROMA ITA"/>
    <x v="1"/>
    <x v="3"/>
    <x v="16"/>
  </r>
  <r>
    <n v="1911"/>
    <s v="NL22RABO0381604934"/>
    <m/>
    <x v="3"/>
    <x v="39"/>
    <d v="2019-10-06T00:00:00"/>
    <d v="2019-10-06T00:00:00"/>
    <n v="-2.79"/>
    <n v="2.79"/>
    <m/>
    <s v="Coop 2113 MUSSELKANAAL"/>
    <x v="1"/>
    <x v="3"/>
    <x v="16"/>
  </r>
  <r>
    <n v="1914"/>
    <s v="NL22RABO0381604934"/>
    <m/>
    <x v="3"/>
    <x v="39"/>
    <d v="2019-10-09T00:00:00"/>
    <d v="2019-10-09T00:00:00"/>
    <n v="-6.42"/>
    <n v="6.42"/>
    <m/>
    <s v="Albert Heijn 1122 STADSKANAAL"/>
    <x v="1"/>
    <x v="3"/>
    <x v="16"/>
  </r>
  <r>
    <n v="1915"/>
    <s v="NL22RABO0381604934"/>
    <m/>
    <x v="3"/>
    <x v="39"/>
    <d v="2019-10-09T00:00:00"/>
    <d v="2019-10-09T00:00:00"/>
    <n v="-1.79"/>
    <n v="1.79"/>
    <m/>
    <s v="Jumbo Froukje Sloot STADSKANAAL"/>
    <x v="1"/>
    <x v="3"/>
    <x v="16"/>
  </r>
  <r>
    <n v="1916"/>
    <s v="NL22RABO0381604934"/>
    <m/>
    <x v="3"/>
    <x v="39"/>
    <d v="2019-10-11T00:00:00"/>
    <d v="2019-10-11T00:00:00"/>
    <n v="-4.5"/>
    <n v="4.5"/>
    <m/>
    <s v="Albert Heijn 1122 STADSKANAAL"/>
    <x v="1"/>
    <x v="3"/>
    <x v="16"/>
  </r>
  <r>
    <n v="1917"/>
    <s v="NL22RABO0381604934"/>
    <m/>
    <x v="3"/>
    <x v="39"/>
    <d v="2019-10-11T00:00:00"/>
    <d v="2019-10-11T00:00:00"/>
    <n v="-5.58"/>
    <n v="5.58"/>
    <m/>
    <s v="Lidl 593 Musselkanaa MUSSELKANAAL"/>
    <x v="1"/>
    <x v="3"/>
    <x v="16"/>
  </r>
  <r>
    <n v="1919"/>
    <s v="NL22RABO0381604934"/>
    <m/>
    <x v="3"/>
    <x v="39"/>
    <d v="2019-10-13T00:00:00"/>
    <d v="2019-10-13T00:00:00"/>
    <n v="-20.14"/>
    <n v="20.14"/>
    <m/>
    <s v="ALBERT HEIJN 1878 ARNHEM"/>
    <x v="1"/>
    <x v="3"/>
    <x v="16"/>
  </r>
  <r>
    <n v="1920"/>
    <s v="NL22RABO0381604934"/>
    <m/>
    <x v="3"/>
    <x v="39"/>
    <d v="2019-10-13T00:00:00"/>
    <d v="2019-10-13T00:00:00"/>
    <n v="-10.55"/>
    <n v="10.55"/>
    <m/>
    <s v="ALBERT HEIJN 1878 ARNHEM"/>
    <x v="1"/>
    <x v="3"/>
    <x v="16"/>
  </r>
  <r>
    <n v="1923"/>
    <s v="NL22RABO0381604934"/>
    <m/>
    <x v="3"/>
    <x v="39"/>
    <d v="2019-10-14T00:00:00"/>
    <d v="2019-10-14T00:00:00"/>
    <n v="-7.11"/>
    <n v="7.11"/>
    <m/>
    <s v="ALBERT HEIJN 1878 ARNHEM"/>
    <x v="1"/>
    <x v="3"/>
    <x v="16"/>
  </r>
  <r>
    <n v="1925"/>
    <s v="NL22RABO0381604934"/>
    <m/>
    <x v="3"/>
    <x v="39"/>
    <d v="2019-10-15T00:00:00"/>
    <d v="2019-10-15T00:00:00"/>
    <n v="-2.68"/>
    <n v="2.68"/>
    <m/>
    <s v="Plus Musiskwartier ARNHEM"/>
    <x v="1"/>
    <x v="3"/>
    <x v="16"/>
  </r>
  <r>
    <n v="1926"/>
    <s v="NL22RABO0381604934"/>
    <m/>
    <x v="3"/>
    <x v="39"/>
    <d v="2019-10-15T00:00:00"/>
    <d v="2019-10-15T00:00:00"/>
    <n v="-4.09"/>
    <n v="4.09"/>
    <m/>
    <s v="Holland &amp; Barrett ARNHEM"/>
    <x v="1"/>
    <x v="3"/>
    <x v="16"/>
  </r>
  <r>
    <n v="1932"/>
    <s v="NL22RABO0381604934"/>
    <m/>
    <x v="3"/>
    <x v="39"/>
    <d v="2019-10-17T00:00:00"/>
    <d v="2019-10-17T00:00:00"/>
    <n v="-3.87"/>
    <n v="3.87"/>
    <m/>
    <s v="ALBERT HEIJN 1878 ARNHEM"/>
    <x v="1"/>
    <x v="3"/>
    <x v="16"/>
  </r>
  <r>
    <n v="1934"/>
    <s v="NL22RABO0381604934"/>
    <m/>
    <x v="3"/>
    <x v="39"/>
    <d v="2019-10-18T00:00:00"/>
    <d v="2019-10-18T00:00:00"/>
    <n v="-13.23"/>
    <n v="13.23"/>
    <m/>
    <s v="ALBERT HEIJN 1878 ARNHEM"/>
    <x v="1"/>
    <x v="3"/>
    <x v="16"/>
  </r>
  <r>
    <n v="1938"/>
    <s v="NL22RABO0381604934"/>
    <m/>
    <x v="3"/>
    <x v="39"/>
    <d v="2019-10-20T00:00:00"/>
    <d v="2019-10-20T00:00:00"/>
    <n v="-2.36"/>
    <n v="2.36"/>
    <m/>
    <s v="ALBERT HEIJN 1878 ARNHEM"/>
    <x v="1"/>
    <x v="3"/>
    <x v="16"/>
  </r>
  <r>
    <n v="1942"/>
    <s v="NL22RABO0381604934"/>
    <m/>
    <x v="3"/>
    <x v="39"/>
    <d v="2019-10-21T00:00:00"/>
    <d v="2019-10-21T00:00:00"/>
    <n v="-2.7"/>
    <n v="2.7"/>
    <m/>
    <s v="Mimint ARNHEM"/>
    <x v="1"/>
    <x v="3"/>
    <x v="16"/>
  </r>
  <r>
    <n v="1944"/>
    <s v="NL22RABO0381604934"/>
    <m/>
    <x v="3"/>
    <x v="39"/>
    <d v="2019-10-21T00:00:00"/>
    <d v="2019-10-21T00:00:00"/>
    <n v="-9.43"/>
    <n v="9.43"/>
    <m/>
    <s v="ALBERT HEIJN 1878 ARNHEM"/>
    <x v="1"/>
    <x v="3"/>
    <x v="16"/>
  </r>
  <r>
    <n v="1945"/>
    <s v="NL22RABO0381604934"/>
    <m/>
    <x v="3"/>
    <x v="39"/>
    <d v="2019-10-21T00:00:00"/>
    <d v="2019-10-21T00:00:00"/>
    <n v="-1.77"/>
    <n v="1.77"/>
    <m/>
    <s v="ALBERT HEIJN 1878 ARNHEM"/>
    <x v="1"/>
    <x v="3"/>
    <x v="16"/>
  </r>
  <r>
    <n v="1954"/>
    <s v="NL22RABO0381604934"/>
    <m/>
    <x v="3"/>
    <x v="39"/>
    <d v="2019-10-23T00:00:00"/>
    <d v="2019-10-23T00:00:00"/>
    <n v="-3.29"/>
    <n v="3.29"/>
    <m/>
    <s v="ALBERT HEIJN 1101 ARNHEM"/>
    <x v="1"/>
    <x v="3"/>
    <x v="16"/>
  </r>
  <r>
    <n v="1958"/>
    <s v="NL22RABO0381604934"/>
    <m/>
    <x v="3"/>
    <x v="39"/>
    <d v="2019-10-24T00:00:00"/>
    <d v="2019-10-24T00:00:00"/>
    <n v="-3.25"/>
    <n v="3.25"/>
    <m/>
    <s v="Monti Bar ARNHEM"/>
    <x v="1"/>
    <x v="3"/>
    <x v="16"/>
  </r>
  <r>
    <n v="1959"/>
    <s v="NL22RABO0381604934"/>
    <m/>
    <x v="3"/>
    <x v="39"/>
    <d v="2019-10-24T00:00:00"/>
    <d v="2019-10-24T00:00:00"/>
    <n v="-8.52"/>
    <n v="8.52"/>
    <m/>
    <s v="ALBERT HEIJN 1878 ARNHEM"/>
    <x v="1"/>
    <x v="3"/>
    <x v="16"/>
  </r>
  <r>
    <n v="1967"/>
    <s v="NL22RABO0381604934"/>
    <m/>
    <x v="3"/>
    <x v="39"/>
    <d v="2019-10-26T00:00:00"/>
    <d v="2019-10-26T00:00:00"/>
    <n v="-4.9800000000000004"/>
    <n v="4.9800000000000004"/>
    <m/>
    <s v="ALBERT HEIJN 1878 ARNHEM"/>
    <x v="1"/>
    <x v="3"/>
    <x v="16"/>
  </r>
  <r>
    <n v="1974"/>
    <s v="NL22RABO0381604934"/>
    <m/>
    <x v="3"/>
    <x v="39"/>
    <d v="2019-10-29T00:00:00"/>
    <d v="2019-10-29T00:00:00"/>
    <n v="-3.09"/>
    <n v="3.09"/>
    <m/>
    <s v="Albert Heijn 1397 ARNHEM"/>
    <x v="1"/>
    <x v="3"/>
    <x v="16"/>
  </r>
  <r>
    <n v="1975"/>
    <s v="NL22RABO0381604934"/>
    <m/>
    <x v="3"/>
    <x v="39"/>
    <d v="2019-10-29T00:00:00"/>
    <d v="2019-10-29T00:00:00"/>
    <n v="-2.9"/>
    <n v="2.9"/>
    <m/>
    <s v="Mimint ARNHEM"/>
    <x v="1"/>
    <x v="3"/>
    <x v="16"/>
  </r>
  <r>
    <n v="1976"/>
    <s v="NL22RABO0381604934"/>
    <m/>
    <x v="3"/>
    <x v="39"/>
    <d v="2019-10-29T00:00:00"/>
    <d v="2019-10-29T00:00:00"/>
    <n v="-3.46"/>
    <n v="3.46"/>
    <m/>
    <s v="ALBERT HEIJN 1878 ARNHEM"/>
    <x v="1"/>
    <x v="3"/>
    <x v="16"/>
  </r>
  <r>
    <n v="1981"/>
    <s v="NL22RABO0381604934"/>
    <m/>
    <x v="3"/>
    <x v="39"/>
    <d v="2019-10-31T00:00:00"/>
    <d v="2019-10-31T00:00:00"/>
    <n v="-5.91"/>
    <n v="5.91"/>
    <m/>
    <s v="boodsch"/>
    <x v="1"/>
    <x v="3"/>
    <x v="16"/>
  </r>
  <r>
    <n v="1982"/>
    <s v="NL22RABO0381604934"/>
    <m/>
    <x v="3"/>
    <x v="39"/>
    <d v="2019-10-31T00:00:00"/>
    <d v="2019-10-31T00:00:00"/>
    <n v="-1.55"/>
    <n v="1.55"/>
    <m/>
    <s v="boodsch"/>
    <x v="1"/>
    <x v="3"/>
    <x v="16"/>
  </r>
  <r>
    <n v="1984"/>
    <s v="NL22RABO0381604934"/>
    <m/>
    <x v="3"/>
    <x v="16"/>
    <d v="2019-11-01T00:00:00"/>
    <d v="2019-11-01T00:00:00"/>
    <n v="-0.88"/>
    <n v="0.88"/>
    <m/>
    <s v="ALBERT HEIJN 1878 ARNHEM"/>
    <x v="1"/>
    <x v="3"/>
    <x v="16"/>
  </r>
  <r>
    <n v="1995"/>
    <s v="NL22RABO0381604934"/>
    <m/>
    <x v="3"/>
    <x v="16"/>
    <d v="2019-11-05T00:00:00"/>
    <d v="2019-11-05T00:00:00"/>
    <n v="-1.64"/>
    <n v="1.64"/>
    <m/>
    <s v="Albert Heijn 1122 STADSKANAAL"/>
    <x v="1"/>
    <x v="3"/>
    <x v="16"/>
  </r>
  <r>
    <n v="1999"/>
    <s v="NL22RABO0381604934"/>
    <m/>
    <x v="3"/>
    <x v="16"/>
    <d v="2019-11-08T00:00:00"/>
    <d v="2019-11-08T00:00:00"/>
    <n v="-0.88"/>
    <n v="0.88"/>
    <m/>
    <s v="Coop 2113 MUSSELKANAAL"/>
    <x v="1"/>
    <x v="3"/>
    <x v="16"/>
  </r>
  <r>
    <n v="2002"/>
    <s v="NL22RABO0381604934"/>
    <m/>
    <x v="3"/>
    <x v="16"/>
    <d v="2019-11-09T00:00:00"/>
    <d v="2019-11-09T00:00:00"/>
    <n v="-0.85"/>
    <n v="0.85"/>
    <m/>
    <s v="Albert Heijn 1122 STADSKANAAL"/>
    <x v="1"/>
    <x v="3"/>
    <x v="16"/>
  </r>
  <r>
    <n v="2030"/>
    <s v="POSTEPAY"/>
    <m/>
    <x v="3"/>
    <x v="54"/>
    <d v="2019-05-04T00:00:00"/>
    <d v="2019-05-04T00:00:00"/>
    <n v="-20.64"/>
    <n v="20.64"/>
    <m/>
    <s v="PAGAMENTO ON LINE 04/05/2019 06.43 AMZN Mktp IT*MN4GV23Q4 800-279-6620 LUX N. 639782"/>
    <x v="1"/>
    <x v="3"/>
    <x v="17"/>
  </r>
  <r>
    <n v="2137"/>
    <s v="KRUIS"/>
    <m/>
    <x v="4"/>
    <x v="56"/>
    <d v="2020-07-07T00:00:00"/>
    <d v="2020-07-07T00:00:00"/>
    <n v="17"/>
    <n v="17"/>
    <m/>
    <s v="electrische tandenborstel"/>
    <x v="1"/>
    <x v="3"/>
    <x v="16"/>
  </r>
  <r>
    <n v="2138"/>
    <s v="KRUIS"/>
    <m/>
    <x v="4"/>
    <x v="57"/>
    <d v="2020-10-22T00:00:00"/>
    <d v="2020-10-22T00:00:00"/>
    <n v="8.19"/>
    <n v="8.19"/>
    <m/>
    <s v="correctie boodschappen"/>
    <x v="1"/>
    <x v="3"/>
    <x v="16"/>
  </r>
  <r>
    <n v="2141"/>
    <s v="KRUIS"/>
    <m/>
    <x v="4"/>
    <x v="58"/>
    <d v="2020-10-22T00:00:00"/>
    <d v="2020-10-22T00:00:00"/>
    <n v="13"/>
    <n v="13"/>
    <m/>
    <s v="correctie boodschappen"/>
    <x v="1"/>
    <x v="3"/>
    <x v="16"/>
  </r>
  <r>
    <n v="2143"/>
    <s v="KRUIS"/>
    <m/>
    <x v="4"/>
    <x v="59"/>
    <d v="2020-11-21T00:00:00"/>
    <d v="2020-11-21T00:00:00"/>
    <n v="30.86"/>
    <n v="30.86"/>
    <m/>
    <s v="correctie boodschappen"/>
    <x v="1"/>
    <x v="3"/>
    <x v="16"/>
  </r>
  <r>
    <n v="2202"/>
    <s v="NL22RABO0381604934"/>
    <m/>
    <x v="4"/>
    <x v="56"/>
    <d v="2020-07-01T00:00:00"/>
    <d v="2020-07-01T00:00:00"/>
    <n v="-2.09"/>
    <n v="2.09"/>
    <m/>
    <s v="Coop 2113 MUSSELKANAAL"/>
    <x v="1"/>
    <x v="3"/>
    <x v="16"/>
  </r>
  <r>
    <n v="2209"/>
    <s v="NL22RABO0381604934"/>
    <m/>
    <x v="4"/>
    <x v="56"/>
    <d v="2020-07-03T00:00:00"/>
    <d v="2020-07-03T00:00:00"/>
    <n v="-2.09"/>
    <n v="2.09"/>
    <m/>
    <s v="Jumbo Froukje Sloot STADSKANAAL"/>
    <x v="1"/>
    <x v="3"/>
    <x v="16"/>
  </r>
  <r>
    <n v="2214"/>
    <s v="NL22RABO0381604934"/>
    <m/>
    <x v="4"/>
    <x v="56"/>
    <d v="2020-07-08T00:00:00"/>
    <d v="2020-07-08T00:00:00"/>
    <n v="-13.01"/>
    <n v="13.01"/>
    <m/>
    <s v="ALBERT HEIJN 1878 ARNHEM"/>
    <x v="1"/>
    <x v="3"/>
    <x v="16"/>
  </r>
  <r>
    <n v="2217"/>
    <s v="NL22RABO0381604934"/>
    <m/>
    <x v="4"/>
    <x v="56"/>
    <d v="2020-07-09T00:00:00"/>
    <d v="2020-07-09T00:00:00"/>
    <n v="-7.36"/>
    <n v="7.36"/>
    <m/>
    <s v="Holland &amp; Barrett ARNHEM"/>
    <x v="1"/>
    <x v="3"/>
    <x v="16"/>
  </r>
  <r>
    <n v="2218"/>
    <s v="NL22RABO0381604934"/>
    <m/>
    <x v="4"/>
    <x v="56"/>
    <d v="2020-07-09T00:00:00"/>
    <d v="2020-07-09T00:00:00"/>
    <n v="-9.49"/>
    <n v="9.49"/>
    <m/>
    <s v="Kruidvat 7082 ARNHEM"/>
    <x v="1"/>
    <x v="3"/>
    <x v="17"/>
  </r>
  <r>
    <n v="2219"/>
    <s v="NL22RABO0381604934"/>
    <m/>
    <x v="4"/>
    <x v="56"/>
    <d v="2020-07-09T00:00:00"/>
    <d v="2020-07-09T00:00:00"/>
    <n v="-3.93"/>
    <n v="3.93"/>
    <m/>
    <s v="ALBERT HEIJN 1878 ARNHEM"/>
    <x v="1"/>
    <x v="3"/>
    <x v="16"/>
  </r>
  <r>
    <n v="2222"/>
    <s v="NL22RABO0381604934"/>
    <m/>
    <x v="4"/>
    <x v="56"/>
    <d v="2020-07-11T00:00:00"/>
    <d v="2020-07-11T00:00:00"/>
    <n v="-0.88"/>
    <n v="0.88"/>
    <m/>
    <s v="ALBERT HEIJN 1878 ARNHEM"/>
    <x v="1"/>
    <x v="3"/>
    <x v="16"/>
  </r>
  <r>
    <n v="2225"/>
    <s v="NL22RABO0381604934"/>
    <m/>
    <x v="4"/>
    <x v="56"/>
    <d v="2020-07-12T00:00:00"/>
    <d v="2020-07-12T00:00:00"/>
    <n v="-14.62"/>
    <n v="14.62"/>
    <m/>
    <s v="Coop 2224 Arnhem"/>
    <x v="1"/>
    <x v="3"/>
    <x v="16"/>
  </r>
  <r>
    <n v="2229"/>
    <s v="NL22RABO0381604934"/>
    <m/>
    <x v="4"/>
    <x v="56"/>
    <d v="2020-07-13T00:00:00"/>
    <d v="2020-07-13T00:00:00"/>
    <n v="-5.66"/>
    <n v="5.66"/>
    <m/>
    <s v="ALBERT HEIJN 1878 ARNHEM"/>
    <x v="1"/>
    <x v="3"/>
    <x v="16"/>
  </r>
  <r>
    <n v="2231"/>
    <s v="NL22RABO0381604934"/>
    <m/>
    <x v="4"/>
    <x v="56"/>
    <d v="2020-07-14T00:00:00"/>
    <d v="2020-07-14T00:00:00"/>
    <n v="-2.0699999999999998"/>
    <n v="2.0699999999999998"/>
    <m/>
    <s v="ALBERT HEIJN 1878 ARNHEM"/>
    <x v="1"/>
    <x v="3"/>
    <x v="16"/>
  </r>
  <r>
    <n v="2242"/>
    <s v="NL22RABO0381604934"/>
    <m/>
    <x v="4"/>
    <x v="56"/>
    <d v="2020-07-18T00:00:00"/>
    <d v="2020-07-18T00:00:00"/>
    <n v="-12.07"/>
    <n v="12.07"/>
    <m/>
    <s v="ALBERT HEIJN 1878 ARNHEM"/>
    <x v="1"/>
    <x v="3"/>
    <x v="16"/>
  </r>
  <r>
    <n v="2245"/>
    <s v="NL22RABO0381604934"/>
    <m/>
    <x v="4"/>
    <x v="56"/>
    <d v="2020-07-19T00:00:00"/>
    <d v="2020-07-19T00:00:00"/>
    <n v="-7.05"/>
    <n v="7.05"/>
    <m/>
    <s v="ALBERT HEIJN 1878 ARNHEM"/>
    <x v="1"/>
    <x v="3"/>
    <x v="16"/>
  </r>
  <r>
    <n v="2248"/>
    <s v="NL22RABO0381604934"/>
    <m/>
    <x v="4"/>
    <x v="56"/>
    <d v="2020-07-20T00:00:00"/>
    <d v="2020-07-20T00:00:00"/>
    <n v="-20.91"/>
    <n v="20.91"/>
    <m/>
    <s v="ALDI 022 WINTERSWIJK"/>
    <x v="1"/>
    <x v="3"/>
    <x v="16"/>
  </r>
  <r>
    <n v="2249"/>
    <s v="NL22RABO0381604934"/>
    <m/>
    <x v="4"/>
    <x v="56"/>
    <d v="2020-07-21T00:00:00"/>
    <d v="2020-07-21T00:00:00"/>
    <n v="-0.73"/>
    <n v="0.73"/>
    <m/>
    <s v="Supermarkt DTB WINTERSWIJK M"/>
    <x v="1"/>
    <x v="3"/>
    <x v="16"/>
  </r>
  <r>
    <n v="2250"/>
    <s v="NL22RABO0381604934"/>
    <m/>
    <x v="4"/>
    <x v="56"/>
    <d v="2020-07-21T00:00:00"/>
    <d v="2020-07-21T00:00:00"/>
    <n v="-3.94"/>
    <n v="3.94"/>
    <m/>
    <s v="Lidl 550 Winterswijk WINTERSWIJK"/>
    <x v="1"/>
    <x v="3"/>
    <x v="16"/>
  </r>
  <r>
    <n v="2258"/>
    <s v="NL22RABO0381604934"/>
    <m/>
    <x v="4"/>
    <x v="56"/>
    <d v="2020-07-22T00:00:00"/>
    <d v="2020-07-22T00:00:00"/>
    <n v="-1.65"/>
    <n v="1.65"/>
    <m/>
    <s v="Supermarkt DTB WINTERSWIJK M"/>
    <x v="1"/>
    <x v="3"/>
    <x v="16"/>
  </r>
  <r>
    <n v="2259"/>
    <s v="NL22RABO0381604934"/>
    <m/>
    <x v="4"/>
    <x v="56"/>
    <d v="2020-07-23T00:00:00"/>
    <d v="2020-07-23T00:00:00"/>
    <n v="-11.5"/>
    <n v="11.5"/>
    <m/>
    <s v="Jumbo Aalten AALTEN"/>
    <x v="1"/>
    <x v="3"/>
    <x v="16"/>
  </r>
  <r>
    <n v="2261"/>
    <s v="NL22RABO0381604934"/>
    <m/>
    <x v="4"/>
    <x v="56"/>
    <d v="2020-07-24T00:00:00"/>
    <d v="2020-07-24T00:00:00"/>
    <n v="-3.04"/>
    <n v="3.04"/>
    <m/>
    <s v="Spar Bredevoort AALTEN"/>
    <x v="1"/>
    <x v="3"/>
    <x v="16"/>
  </r>
  <r>
    <n v="2262"/>
    <s v="NL22RABO0381604934"/>
    <m/>
    <x v="4"/>
    <x v="56"/>
    <d v="2020-07-24T00:00:00"/>
    <d v="2020-07-24T00:00:00"/>
    <n v="-1.96"/>
    <n v="1.96"/>
    <m/>
    <s v="Spar Bredevoort AALTEN"/>
    <x v="1"/>
    <x v="3"/>
    <x v="16"/>
  </r>
  <r>
    <n v="2263"/>
    <s v="NL22RABO0381604934"/>
    <m/>
    <x v="4"/>
    <x v="56"/>
    <d v="2020-07-25T00:00:00"/>
    <d v="2020-07-25T00:00:00"/>
    <n v="-1.65"/>
    <n v="1.65"/>
    <m/>
    <s v="Supermarkt DTB WINTERSWIJK M"/>
    <x v="1"/>
    <x v="3"/>
    <x v="16"/>
  </r>
  <r>
    <n v="2265"/>
    <s v="NL22RABO0381604934"/>
    <m/>
    <x v="4"/>
    <x v="56"/>
    <d v="2020-07-26T00:00:00"/>
    <d v="2020-07-26T00:00:00"/>
    <n v="-1.29"/>
    <n v="1.29"/>
    <m/>
    <s v="Supermarkt DTB WINTERSWIJK M"/>
    <x v="1"/>
    <x v="3"/>
    <x v="16"/>
  </r>
  <r>
    <n v="2266"/>
    <s v="NL22RABO0381604934"/>
    <m/>
    <x v="4"/>
    <x v="56"/>
    <d v="2020-07-27T00:00:00"/>
    <d v="2020-07-27T00:00:00"/>
    <n v="-1.65"/>
    <n v="1.65"/>
    <m/>
    <s v="Supermarkt DTB WINTERSWIJK M"/>
    <x v="1"/>
    <x v="3"/>
    <x v="16"/>
  </r>
  <r>
    <n v="2270"/>
    <s v="NL22RABO0381604934"/>
    <m/>
    <x v="4"/>
    <x v="56"/>
    <d v="2020-07-28T00:00:00"/>
    <d v="2020-07-28T00:00:00"/>
    <n v="-39.96"/>
    <n v="39.96"/>
    <m/>
    <s v="Aldi 037 Aalten AALTEN"/>
    <x v="1"/>
    <x v="3"/>
    <x v="16"/>
  </r>
  <r>
    <n v="2272"/>
    <s v="NL22RABO0381604934"/>
    <m/>
    <x v="4"/>
    <x v="56"/>
    <d v="2020-07-29T00:00:00"/>
    <d v="2020-07-29T00:00:00"/>
    <n v="-2.19"/>
    <n v="2.19"/>
    <m/>
    <s v="Spar Bredevoort AALTEN"/>
    <x v="1"/>
    <x v="3"/>
    <x v="16"/>
  </r>
  <r>
    <n v="2274"/>
    <s v="NL22RABO0381604934"/>
    <m/>
    <x v="4"/>
    <x v="56"/>
    <d v="2020-07-31T00:00:00"/>
    <d v="2020-07-31T00:00:00"/>
    <n v="-1.65"/>
    <n v="1.65"/>
    <m/>
    <s v="Supermarkt DTB WINTERSWIJK M"/>
    <x v="1"/>
    <x v="3"/>
    <x v="16"/>
  </r>
  <r>
    <n v="2276"/>
    <s v="NL22RABO0381604934"/>
    <m/>
    <x v="4"/>
    <x v="56"/>
    <d v="2020-07-31T00:00:00"/>
    <d v="2020-07-31T00:00:00"/>
    <n v="-16.850000000000001"/>
    <n v="16.850000000000001"/>
    <m/>
    <s v="Lidl 550 Winterswijk WINTERSWIJK"/>
    <x v="1"/>
    <x v="3"/>
    <x v="16"/>
  </r>
  <r>
    <n v="2282"/>
    <s v="NL22RABO0381604934"/>
    <m/>
    <x v="4"/>
    <x v="60"/>
    <d v="2020-08-02T00:00:00"/>
    <d v="2020-08-02T00:00:00"/>
    <n v="-1.65"/>
    <n v="1.65"/>
    <m/>
    <s v="Supermarkt DTB WINTERSWIJK M"/>
    <x v="1"/>
    <x v="3"/>
    <x v="16"/>
  </r>
  <r>
    <n v="2283"/>
    <s v="NL22RABO0381604934"/>
    <m/>
    <x v="4"/>
    <x v="60"/>
    <d v="2020-08-02T00:00:00"/>
    <d v="2020-08-02T00:00:00"/>
    <n v="-6.8"/>
    <n v="6.8"/>
    <m/>
    <s v="Spar Bredevoort AALTEN"/>
    <x v="1"/>
    <x v="3"/>
    <x v="16"/>
  </r>
  <r>
    <n v="2288"/>
    <s v="NL22RABO0381604934"/>
    <m/>
    <x v="4"/>
    <x v="60"/>
    <d v="2020-08-03T00:00:00"/>
    <d v="2020-08-03T00:00:00"/>
    <n v="-1.89"/>
    <n v="1.89"/>
    <m/>
    <s v="ALBERT HEIJN 1878 ARNHEM"/>
    <x v="1"/>
    <x v="3"/>
    <x v="16"/>
  </r>
  <r>
    <n v="2294"/>
    <s v="NL22RABO0381604934"/>
    <m/>
    <x v="4"/>
    <x v="60"/>
    <d v="2020-08-05T00:00:00"/>
    <d v="2020-08-05T00:00:00"/>
    <n v="-4.8499999999999996"/>
    <n v="4.8499999999999996"/>
    <m/>
    <s v="Spar Bredevoort AALTEN"/>
    <x v="1"/>
    <x v="3"/>
    <x v="16"/>
  </r>
  <r>
    <n v="2298"/>
    <s v="NL22RABO0381604934"/>
    <m/>
    <x v="4"/>
    <x v="60"/>
    <d v="2020-08-07T00:00:00"/>
    <d v="2020-08-07T00:00:00"/>
    <n v="-2.89"/>
    <n v="2.89"/>
    <m/>
    <s v="Supermarkt DTB WINTERSWIJK M"/>
    <x v="1"/>
    <x v="3"/>
    <x v="16"/>
  </r>
  <r>
    <n v="2299"/>
    <s v="NL22RABO0381604934"/>
    <m/>
    <x v="4"/>
    <x v="60"/>
    <d v="2020-08-08T00:00:00"/>
    <d v="2020-08-08T00:00:00"/>
    <n v="-1.59"/>
    <n v="1.59"/>
    <m/>
    <s v="Spar Bredevoort AALTEN"/>
    <x v="1"/>
    <x v="3"/>
    <x v="16"/>
  </r>
  <r>
    <n v="2300"/>
    <s v="NL22RABO0381604934"/>
    <m/>
    <x v="4"/>
    <x v="60"/>
    <d v="2020-08-08T00:00:00"/>
    <d v="2020-08-08T00:00:00"/>
    <n v="-11.1"/>
    <n v="11.1"/>
    <m/>
    <s v="Spar Bredevoort AALTEN"/>
    <x v="1"/>
    <x v="3"/>
    <x v="16"/>
  </r>
  <r>
    <n v="2302"/>
    <s v="NL22RABO0381604934"/>
    <m/>
    <x v="4"/>
    <x v="60"/>
    <d v="2020-08-09T00:00:00"/>
    <d v="2020-08-09T00:00:00"/>
    <n v="-1.45"/>
    <n v="1.45"/>
    <m/>
    <s v="Supermarkt DTB WINTERSWIJK M"/>
    <x v="1"/>
    <x v="3"/>
    <x v="16"/>
  </r>
  <r>
    <n v="2304"/>
    <s v="NL22RABO0381604934"/>
    <m/>
    <x v="4"/>
    <x v="60"/>
    <d v="2020-08-10T00:00:00"/>
    <d v="2020-08-10T00:00:00"/>
    <n v="-2.4"/>
    <n v="2.4"/>
    <m/>
    <s v="Supermarkt DTB WINTERSWIJK M"/>
    <x v="1"/>
    <x v="3"/>
    <x v="16"/>
  </r>
  <r>
    <n v="2305"/>
    <s v="NL22RABO0381604934"/>
    <m/>
    <x v="4"/>
    <x v="60"/>
    <d v="2020-08-10T00:00:00"/>
    <d v="2020-08-10T00:00:00"/>
    <n v="-9.94"/>
    <n v="9.94"/>
    <m/>
    <s v="Nettorama WINTERSWIJK"/>
    <x v="1"/>
    <x v="3"/>
    <x v="16"/>
  </r>
  <r>
    <n v="2308"/>
    <s v="NL22RABO0381604934"/>
    <m/>
    <x v="4"/>
    <x v="60"/>
    <d v="2020-08-11T00:00:00"/>
    <d v="2020-08-11T00:00:00"/>
    <n v="-11.48"/>
    <n v="11.48"/>
    <m/>
    <s v="Kruidvat 7301 LICHTENVOORDE"/>
    <x v="1"/>
    <x v="3"/>
    <x v="17"/>
  </r>
  <r>
    <n v="2317"/>
    <s v="NL22RABO0381604934"/>
    <m/>
    <x v="4"/>
    <x v="60"/>
    <d v="2020-08-13T00:00:00"/>
    <d v="2020-08-13T00:00:00"/>
    <n v="-8.19"/>
    <n v="8.19"/>
    <m/>
    <s v="Spar Bredevoort AALTEN"/>
    <x v="1"/>
    <x v="3"/>
    <x v="16"/>
  </r>
  <r>
    <n v="2321"/>
    <s v="NL22RABO0381604934"/>
    <m/>
    <x v="4"/>
    <x v="60"/>
    <d v="2020-08-14T00:00:00"/>
    <d v="2020-08-14T00:00:00"/>
    <n v="-10.69"/>
    <n v="10.69"/>
    <m/>
    <s v="Lidl 550 Winterswijk WINTERSWIJK"/>
    <x v="1"/>
    <x v="3"/>
    <x v="16"/>
  </r>
  <r>
    <n v="2322"/>
    <s v="NL22RABO0381604934"/>
    <m/>
    <x v="4"/>
    <x v="60"/>
    <d v="2020-08-15T00:00:00"/>
    <d v="2020-08-15T00:00:00"/>
    <n v="-5.05"/>
    <n v="5.05"/>
    <m/>
    <s v="Spar Bredevoort AALTEN"/>
    <x v="1"/>
    <x v="3"/>
    <x v="16"/>
  </r>
  <r>
    <n v="2324"/>
    <s v="NL22RABO0381604934"/>
    <m/>
    <x v="4"/>
    <x v="60"/>
    <d v="2020-08-18T00:00:00"/>
    <d v="2020-08-18T00:00:00"/>
    <n v="-3.25"/>
    <n v="3.25"/>
    <m/>
    <s v="Supermarkt DTB WINTERSWIJK M"/>
    <x v="1"/>
    <x v="3"/>
    <x v="16"/>
  </r>
  <r>
    <n v="2328"/>
    <s v="NL22RABO0381604934"/>
    <m/>
    <x v="4"/>
    <x v="60"/>
    <d v="2020-08-18T00:00:00"/>
    <d v="2020-08-18T00:00:00"/>
    <n v="-5.16"/>
    <n v="5.16"/>
    <m/>
    <s v="ALBERT HEIJN 1878 ARNHEM"/>
    <x v="1"/>
    <x v="3"/>
    <x v="16"/>
  </r>
  <r>
    <n v="2336"/>
    <s v="NL22RABO0381604934"/>
    <m/>
    <x v="4"/>
    <x v="60"/>
    <d v="2020-08-20T00:00:00"/>
    <d v="2020-08-20T00:00:00"/>
    <n v="-6.46"/>
    <n v="6.46"/>
    <m/>
    <s v="Spar Bredevoort AALTEN"/>
    <x v="1"/>
    <x v="3"/>
    <x v="16"/>
  </r>
  <r>
    <n v="2339"/>
    <s v="NL22RABO0381604934"/>
    <m/>
    <x v="4"/>
    <x v="60"/>
    <d v="2020-08-22T00:00:00"/>
    <d v="2020-08-22T00:00:00"/>
    <n v="-1.65"/>
    <n v="1.65"/>
    <m/>
    <s v="Supermarkt DTB WINTERSWIJK M"/>
    <x v="1"/>
    <x v="3"/>
    <x v="16"/>
  </r>
  <r>
    <n v="2340"/>
    <s v="NL22RABO0381604934"/>
    <m/>
    <x v="4"/>
    <x v="60"/>
    <d v="2020-08-22T00:00:00"/>
    <d v="2020-08-22T00:00:00"/>
    <n v="-2.58"/>
    <n v="2.58"/>
    <m/>
    <s v="Lidl 550 Winterswijk WINTERSWIJK"/>
    <x v="1"/>
    <x v="3"/>
    <x v="16"/>
  </r>
  <r>
    <n v="2344"/>
    <s v="NL22RABO0381604934"/>
    <m/>
    <x v="4"/>
    <x v="60"/>
    <d v="2020-08-22T00:00:00"/>
    <d v="2020-08-22T00:00:00"/>
    <n v="-1.2"/>
    <n v="1.2"/>
    <m/>
    <s v="Jumbo 236587 WINTERSWIJK (was 4,80)"/>
    <x v="1"/>
    <x v="3"/>
    <x v="16"/>
  </r>
  <r>
    <n v="2346"/>
    <s v="NL22RABO0381604934"/>
    <m/>
    <x v="4"/>
    <x v="60"/>
    <d v="2020-08-23T00:00:00"/>
    <d v="2020-08-23T00:00:00"/>
    <n v="-1.3"/>
    <n v="1.3"/>
    <m/>
    <s v="Supermarkt DTB WINTERSWIJK M"/>
    <x v="1"/>
    <x v="3"/>
    <x v="16"/>
  </r>
  <r>
    <n v="2349"/>
    <s v="NL22RABO0381604934"/>
    <m/>
    <x v="4"/>
    <x v="60"/>
    <d v="2020-08-24T00:00:00"/>
    <d v="2020-08-24T00:00:00"/>
    <n v="-1.68"/>
    <n v="1.68"/>
    <m/>
    <s v="Supermarkt DTB WINTERSWIJK M"/>
    <x v="1"/>
    <x v="3"/>
    <x v="16"/>
  </r>
  <r>
    <n v="2350"/>
    <s v="NL22RABO0381604934"/>
    <m/>
    <x v="4"/>
    <x v="60"/>
    <d v="2020-08-25T00:00:00"/>
    <d v="2020-08-25T00:00:00"/>
    <n v="-1.8"/>
    <n v="1.8"/>
    <m/>
    <s v="Supermarkt DTB WINTERSWIJK M"/>
    <x v="1"/>
    <x v="3"/>
    <x v="16"/>
  </r>
  <r>
    <n v="2351"/>
    <s v="NL22RABO0381604934"/>
    <m/>
    <x v="4"/>
    <x v="60"/>
    <d v="2020-08-25T00:00:00"/>
    <d v="2020-08-25T00:00:00"/>
    <n v="-1.45"/>
    <n v="1.45"/>
    <m/>
    <s v="Supermarkt DTB WINTERSWIJK M"/>
    <x v="1"/>
    <x v="3"/>
    <x v="16"/>
  </r>
  <r>
    <n v="2353"/>
    <s v="NL22RABO0381604934"/>
    <m/>
    <x v="4"/>
    <x v="60"/>
    <d v="2020-08-25T00:00:00"/>
    <d v="2020-08-25T00:00:00"/>
    <n v="-1.89"/>
    <n v="1.89"/>
    <m/>
    <s v="ALBERT HEIJN 1878 ARNHEM"/>
    <x v="1"/>
    <x v="3"/>
    <x v="16"/>
  </r>
  <r>
    <n v="2356"/>
    <s v="NL22RABO0381604934"/>
    <m/>
    <x v="4"/>
    <x v="60"/>
    <d v="2020-08-26T00:00:00"/>
    <d v="2020-08-26T00:00:00"/>
    <n v="-2.94"/>
    <n v="2.94"/>
    <m/>
    <s v="ALBERT HEIJN 1878 ARNHEM"/>
    <x v="1"/>
    <x v="3"/>
    <x v="16"/>
  </r>
  <r>
    <n v="2359"/>
    <s v="NL22RABO0381604934"/>
    <m/>
    <x v="4"/>
    <x v="60"/>
    <d v="2020-08-27T00:00:00"/>
    <d v="2020-08-27T00:00:00"/>
    <n v="-3.52"/>
    <n v="3.52"/>
    <m/>
    <s v="Spar Bredevoort AALTEN"/>
    <x v="1"/>
    <x v="3"/>
    <x v="16"/>
  </r>
  <r>
    <n v="2361"/>
    <s v="NL22RABO0381604934"/>
    <m/>
    <x v="4"/>
    <x v="60"/>
    <d v="2020-08-28T00:00:00"/>
    <d v="2020-08-28T00:00:00"/>
    <n v="-12.29"/>
    <n v="12.29"/>
    <m/>
    <s v="ALDI 022 WINTERSWIJK"/>
    <x v="1"/>
    <x v="3"/>
    <x v="16"/>
  </r>
  <r>
    <n v="2362"/>
    <s v="NL22RABO0381604934"/>
    <m/>
    <x v="4"/>
    <x v="60"/>
    <d v="2020-08-28T00:00:00"/>
    <d v="2020-08-28T00:00:00"/>
    <n v="-4.9800000000000004"/>
    <n v="4.9800000000000004"/>
    <m/>
    <s v="Jumbo 236587 WINTERSWIJK"/>
    <x v="1"/>
    <x v="3"/>
    <x v="16"/>
  </r>
  <r>
    <n v="2363"/>
    <s v="NL22RABO0381604934"/>
    <m/>
    <x v="4"/>
    <x v="60"/>
    <d v="2020-08-28T00:00:00"/>
    <d v="2020-08-28T00:00:00"/>
    <n v="-2.94"/>
    <n v="2.94"/>
    <m/>
    <s v="Supermarkt DTB WINTERSWIJK M"/>
    <x v="1"/>
    <x v="3"/>
    <x v="16"/>
  </r>
  <r>
    <n v="2365"/>
    <s v="NL22RABO0381604934"/>
    <m/>
    <x v="4"/>
    <x v="60"/>
    <d v="2020-08-29T00:00:00"/>
    <d v="2020-08-29T00:00:00"/>
    <n v="-1.89"/>
    <n v="1.89"/>
    <m/>
    <s v="AH Supermarkt Kruip LICHTENVOORDE"/>
    <x v="1"/>
    <x v="3"/>
    <x v="16"/>
  </r>
  <r>
    <n v="2368"/>
    <s v="NL22RABO0381604934"/>
    <m/>
    <x v="4"/>
    <x v="60"/>
    <d v="2020-08-31T00:00:00"/>
    <d v="2020-08-31T00:00:00"/>
    <n v="-4.3899999999999997"/>
    <n v="4.3899999999999997"/>
    <m/>
    <s v="Spar Bredevoort AALTEN"/>
    <x v="1"/>
    <x v="3"/>
    <x v="16"/>
  </r>
  <r>
    <n v="2370"/>
    <s v="NL22RABO0381604934"/>
    <m/>
    <x v="4"/>
    <x v="61"/>
    <d v="2020-09-01T00:00:00"/>
    <d v="2020-09-01T00:00:00"/>
    <n v="-33.97"/>
    <n v="33.97"/>
    <m/>
    <s v="Lidl 475 Panningen PANNINGEN"/>
    <x v="1"/>
    <x v="3"/>
    <x v="16"/>
  </r>
  <r>
    <n v="2371"/>
    <s v="NL22RABO0381604934"/>
    <m/>
    <x v="4"/>
    <x v="61"/>
    <d v="2020-09-01T00:00:00"/>
    <d v="2020-09-01T00:00:00"/>
    <n v="-7.17"/>
    <n v="7.17"/>
    <m/>
    <s v="JanLinders Panningen PANNINGEN"/>
    <x v="1"/>
    <x v="3"/>
    <x v="16"/>
  </r>
  <r>
    <n v="2373"/>
    <s v="NL22RABO0381604934"/>
    <m/>
    <x v="4"/>
    <x v="61"/>
    <d v="2020-09-01T00:00:00"/>
    <d v="2020-09-01T00:00:00"/>
    <n v="-1.55"/>
    <n v="1.55"/>
    <m/>
    <s v="Spar Enjoy Schatberg SEVENUM"/>
    <x v="1"/>
    <x v="3"/>
    <x v="16"/>
  </r>
  <r>
    <n v="2378"/>
    <s v="NL22RABO0381604934"/>
    <m/>
    <x v="4"/>
    <x v="61"/>
    <d v="2020-09-04T00:00:00"/>
    <d v="2020-09-04T00:00:00"/>
    <n v="-1.45"/>
    <n v="1.45"/>
    <m/>
    <s v="Spar Enjoy Schatberg SEVENUM"/>
    <x v="1"/>
    <x v="3"/>
    <x v="16"/>
  </r>
  <r>
    <n v="2379"/>
    <s v="NL22RABO0381604934"/>
    <m/>
    <x v="4"/>
    <x v="61"/>
    <d v="2020-09-05T00:00:00"/>
    <d v="2020-09-05T00:00:00"/>
    <n v="-1.7"/>
    <n v="1.7"/>
    <m/>
    <s v="Holland &amp; Barrett VENLO"/>
    <x v="1"/>
    <x v="3"/>
    <x v="16"/>
  </r>
  <r>
    <n v="2381"/>
    <s v="NL22RABO0381604934"/>
    <m/>
    <x v="4"/>
    <x v="61"/>
    <d v="2020-09-05T00:00:00"/>
    <d v="2020-09-05T00:00:00"/>
    <n v="-4.4400000000000004"/>
    <n v="4.4400000000000004"/>
    <m/>
    <s v="Jumbo Venlo VENLO"/>
    <x v="1"/>
    <x v="3"/>
    <x v="16"/>
  </r>
  <r>
    <n v="2384"/>
    <s v="NL22RABO0381604934"/>
    <m/>
    <x v="4"/>
    <x v="61"/>
    <d v="2020-09-07T00:00:00"/>
    <d v="2020-09-07T00:00:00"/>
    <n v="-3.45"/>
    <n v="3.45"/>
    <m/>
    <s v="Spar Enjoy Schatberg SEVENUM"/>
    <x v="1"/>
    <x v="3"/>
    <x v="16"/>
  </r>
  <r>
    <n v="2386"/>
    <s v="NL22RABO0381604934"/>
    <m/>
    <x v="4"/>
    <x v="61"/>
    <d v="2020-09-08T00:00:00"/>
    <d v="2020-09-08T00:00:00"/>
    <n v="-25.73"/>
    <n v="25.73"/>
    <m/>
    <s v="JanLinders Panningen PANNINGEN"/>
    <x v="1"/>
    <x v="3"/>
    <x v="16"/>
  </r>
  <r>
    <n v="2387"/>
    <s v="NL22RABO0381604934"/>
    <m/>
    <x v="4"/>
    <x v="61"/>
    <d v="2020-09-08T00:00:00"/>
    <d v="2020-09-08T00:00:00"/>
    <n v="-1.39"/>
    <n v="1.39"/>
    <m/>
    <s v="JL Panningen PANNINGEN"/>
    <x v="1"/>
    <x v="3"/>
    <x v="16"/>
  </r>
  <r>
    <n v="2388"/>
    <s v="NL22RABO0381604934"/>
    <m/>
    <x v="4"/>
    <x v="61"/>
    <d v="2020-09-09T00:00:00"/>
    <d v="2020-09-09T00:00:00"/>
    <n v="-0.99"/>
    <n v="0.99"/>
    <m/>
    <s v="Spar Enjoy Schatberg SEVENUM"/>
    <x v="1"/>
    <x v="3"/>
    <x v="16"/>
  </r>
  <r>
    <n v="2389"/>
    <s v="NL22RABO0381604934"/>
    <m/>
    <x v="4"/>
    <x v="61"/>
    <d v="2020-09-10T00:00:00"/>
    <d v="2020-09-10T00:00:00"/>
    <n v="-1.05"/>
    <n v="1.05"/>
    <m/>
    <s v="Spar Enjoy Schatberg SEVENUM"/>
    <x v="1"/>
    <x v="3"/>
    <x v="16"/>
  </r>
  <r>
    <n v="2390"/>
    <s v="NL22RABO0381604934"/>
    <m/>
    <x v="4"/>
    <x v="61"/>
    <d v="2020-09-12T00:00:00"/>
    <d v="2020-09-12T00:00:00"/>
    <n v="-9.49"/>
    <n v="9.49"/>
    <m/>
    <s v="Kruidvat 1899 HELMOND"/>
    <x v="1"/>
    <x v="3"/>
    <x v="17"/>
  </r>
  <r>
    <n v="2391"/>
    <s v="NL22RABO0381604934"/>
    <m/>
    <x v="4"/>
    <x v="61"/>
    <d v="2020-09-12T00:00:00"/>
    <d v="2020-09-12T00:00:00"/>
    <n v="-1.99"/>
    <n v="1.99"/>
    <m/>
    <s v="CCV*Zapolski Helmond B HELMOND"/>
    <x v="1"/>
    <x v="3"/>
    <x v="16"/>
  </r>
  <r>
    <n v="2392"/>
    <s v="NL22RABO0381604934"/>
    <m/>
    <x v="4"/>
    <x v="61"/>
    <d v="2020-09-12T00:00:00"/>
    <d v="2020-09-12T00:00:00"/>
    <n v="-8.4"/>
    <n v="8.4"/>
    <m/>
    <s v="Jumbo PhicoopSevenum SEVENUM"/>
    <x v="1"/>
    <x v="3"/>
    <x v="16"/>
  </r>
  <r>
    <n v="2395"/>
    <s v="NL22RABO0381604934"/>
    <m/>
    <x v="4"/>
    <x v="61"/>
    <d v="2020-09-14T00:00:00"/>
    <d v="2020-09-14T00:00:00"/>
    <n v="-3.39"/>
    <n v="3.39"/>
    <m/>
    <s v="Spar Enjoy Schatberg SEVENUM"/>
    <x v="1"/>
    <x v="3"/>
    <x v="16"/>
  </r>
  <r>
    <n v="2396"/>
    <s v="NL22RABO0381604934"/>
    <m/>
    <x v="4"/>
    <x v="61"/>
    <d v="2020-09-14T00:00:00"/>
    <d v="2020-09-14T00:00:00"/>
    <n v="-1.85"/>
    <n v="1.85"/>
    <m/>
    <s v="Spar Enjoy Schatberg SEVENUM"/>
    <x v="1"/>
    <x v="3"/>
    <x v="16"/>
  </r>
  <r>
    <n v="2397"/>
    <s v="NL22RABO0381604934"/>
    <m/>
    <x v="4"/>
    <x v="61"/>
    <d v="2020-09-15T00:00:00"/>
    <d v="2020-09-15T00:00:00"/>
    <n v="-2.14"/>
    <n v="2.14"/>
    <m/>
    <s v="Spar Enjoy Schatberg SEVENUM"/>
    <x v="1"/>
    <x v="3"/>
    <x v="16"/>
  </r>
  <r>
    <n v="2402"/>
    <s v="NL22RABO0381604934"/>
    <m/>
    <x v="4"/>
    <x v="61"/>
    <d v="2020-09-16T00:00:00"/>
    <d v="2020-09-16T00:00:00"/>
    <n v="-2.84"/>
    <n v="2.84"/>
    <m/>
    <s v="Spar Enjoy Schatberg SEVENUM"/>
    <x v="1"/>
    <x v="3"/>
    <x v="16"/>
  </r>
  <r>
    <n v="2404"/>
    <s v="NL22RABO0381604934"/>
    <m/>
    <x v="4"/>
    <x v="61"/>
    <d v="2020-09-17T00:00:00"/>
    <d v="2020-09-17T00:00:00"/>
    <n v="-21.25"/>
    <n v="21.25"/>
    <m/>
    <s v="ALDI 022 SEVENUM"/>
    <x v="1"/>
    <x v="3"/>
    <x v="16"/>
  </r>
  <r>
    <n v="2405"/>
    <s v="NL22RABO0381604934"/>
    <m/>
    <x v="4"/>
    <x v="61"/>
    <d v="2020-09-17T00:00:00"/>
    <d v="2020-09-17T00:00:00"/>
    <n v="-6.09"/>
    <n v="6.09"/>
    <m/>
    <s v="Jan Linders Sevenum SEVENUM"/>
    <x v="1"/>
    <x v="3"/>
    <x v="16"/>
  </r>
  <r>
    <n v="2407"/>
    <s v="NL22RABO0381604934"/>
    <m/>
    <x v="4"/>
    <x v="61"/>
    <d v="2020-09-20T00:00:00"/>
    <d v="2020-09-20T00:00:00"/>
    <n v="-2.64"/>
    <n v="2.64"/>
    <m/>
    <s v="Spar Enjoy Schatberg SEVENUM"/>
    <x v="1"/>
    <x v="3"/>
    <x v="16"/>
  </r>
  <r>
    <n v="2410"/>
    <s v="NL22RABO0381604934"/>
    <m/>
    <x v="4"/>
    <x v="61"/>
    <d v="2020-09-22T00:00:00"/>
    <d v="2020-09-22T00:00:00"/>
    <n v="-4.99"/>
    <n v="4.99"/>
    <m/>
    <s v="Spar Enjoy Schatberg SEVENUM"/>
    <x v="1"/>
    <x v="3"/>
    <x v="16"/>
  </r>
  <r>
    <n v="2414"/>
    <s v="NL22RABO0381604934"/>
    <m/>
    <x v="4"/>
    <x v="61"/>
    <d v="2020-09-24T00:00:00"/>
    <d v="2020-09-24T00:00:00"/>
    <n v="-2.21"/>
    <n v="2.21"/>
    <m/>
    <s v="ALBERT HEIJN 1878 ARNHEM"/>
    <x v="1"/>
    <x v="3"/>
    <x v="16"/>
  </r>
  <r>
    <n v="2417"/>
    <s v="NL22RABO0381604934"/>
    <m/>
    <x v="4"/>
    <x v="61"/>
    <d v="2020-09-25T00:00:00"/>
    <d v="2020-09-25T00:00:00"/>
    <n v="-0.99"/>
    <n v="0.99"/>
    <m/>
    <s v="Spar Enjoy Schatberg SEVENUM"/>
    <x v="1"/>
    <x v="3"/>
    <x v="16"/>
  </r>
  <r>
    <n v="2418"/>
    <s v="NL22RABO0381604934"/>
    <m/>
    <x v="4"/>
    <x v="61"/>
    <d v="2020-09-27T00:00:00"/>
    <d v="2020-09-27T00:00:00"/>
    <n v="-3.64"/>
    <n v="3.64"/>
    <m/>
    <s v="Spar Enjoy Schatberg SEVENUM"/>
    <x v="1"/>
    <x v="3"/>
    <x v="16"/>
  </r>
  <r>
    <n v="2422"/>
    <s v="NL22RABO0381604934"/>
    <m/>
    <x v="4"/>
    <x v="61"/>
    <d v="2020-09-29T00:00:00"/>
    <d v="2020-09-29T00:00:00"/>
    <n v="-1.0900000000000001"/>
    <n v="1.0900000000000001"/>
    <m/>
    <s v="ALDI 022 SEVENUM"/>
    <x v="1"/>
    <x v="3"/>
    <x v="16"/>
  </r>
  <r>
    <n v="2423"/>
    <s v="NL22RABO0381604934"/>
    <m/>
    <x v="4"/>
    <x v="61"/>
    <d v="2020-09-30T00:00:00"/>
    <d v="2020-09-30T00:00:00"/>
    <n v="-1.29"/>
    <n v="1.29"/>
    <m/>
    <s v="Spar Enjoy Schatberg SEVENUM"/>
    <x v="1"/>
    <x v="3"/>
    <x v="16"/>
  </r>
  <r>
    <n v="2428"/>
    <s v="NL22RABO0381604934"/>
    <m/>
    <x v="4"/>
    <x v="57"/>
    <d v="2020-10-01T00:00:00"/>
    <d v="2020-10-01T00:00:00"/>
    <n v="-0.99"/>
    <n v="0.99"/>
    <m/>
    <s v="Coop 2113 MUSSELKANAAL"/>
    <x v="1"/>
    <x v="3"/>
    <x v="16"/>
  </r>
  <r>
    <n v="2437"/>
    <s v="NL22RABO0381604934"/>
    <m/>
    <x v="4"/>
    <x v="57"/>
    <d v="2020-10-10T00:00:00"/>
    <d v="2020-10-10T00:00:00"/>
    <n v="-2.0699999999999998"/>
    <n v="2.0699999999999998"/>
    <m/>
    <s v="ALBERT HEIJN 1878 ARNHEM"/>
    <x v="1"/>
    <x v="3"/>
    <x v="16"/>
  </r>
  <r>
    <n v="2444"/>
    <s v="NL22RABO0381604934"/>
    <m/>
    <x v="4"/>
    <x v="57"/>
    <d v="2020-10-12T00:00:00"/>
    <d v="2020-10-12T00:00:00"/>
    <n v="-6.87"/>
    <n v="6.87"/>
    <m/>
    <s v="ALBERT HEIJN 1878 ARNHEM"/>
    <x v="1"/>
    <x v="3"/>
    <x v="16"/>
  </r>
  <r>
    <n v="2447"/>
    <s v="NL22RABO0381604934"/>
    <m/>
    <x v="4"/>
    <x v="57"/>
    <d v="2020-10-13T00:00:00"/>
    <d v="2020-10-13T00:00:00"/>
    <n v="-9.75"/>
    <n v="9.75"/>
    <m/>
    <s v="ALBERT HEIJN 1878 ARNHEM"/>
    <x v="1"/>
    <x v="3"/>
    <x v="16"/>
  </r>
  <r>
    <n v="2450"/>
    <s v="NL22RABO0381604934"/>
    <m/>
    <x v="4"/>
    <x v="57"/>
    <d v="2020-10-14T00:00:00"/>
    <d v="2020-10-14T00:00:00"/>
    <n v="-5.68"/>
    <n v="5.68"/>
    <m/>
    <s v="Xenos Arnhem 0018 ARNHEM"/>
    <x v="1"/>
    <x v="3"/>
    <x v="16"/>
  </r>
  <r>
    <n v="2451"/>
    <s v="NL22RABO0381604934"/>
    <m/>
    <x v="4"/>
    <x v="57"/>
    <d v="2020-10-14T00:00:00"/>
    <d v="2020-10-14T00:00:00"/>
    <n v="-2.88"/>
    <n v="2.88"/>
    <m/>
    <s v="ALBERT HEIJN 1878 ARNHEM"/>
    <x v="1"/>
    <x v="3"/>
    <x v="16"/>
  </r>
  <r>
    <n v="2454"/>
    <s v="NL22RABO0381604934"/>
    <m/>
    <x v="4"/>
    <x v="57"/>
    <d v="2020-10-15T00:00:00"/>
    <d v="2020-10-15T00:00:00"/>
    <n v="-3.07"/>
    <n v="3.07"/>
    <m/>
    <s v="ALBERT HEIJN 1878 ARNHEM"/>
    <x v="1"/>
    <x v="3"/>
    <x v="16"/>
  </r>
  <r>
    <n v="2458"/>
    <s v="NL22RABO0381604934"/>
    <m/>
    <x v="4"/>
    <x v="57"/>
    <d v="2020-10-17T00:00:00"/>
    <d v="2020-10-17T00:00:00"/>
    <n v="-5.58"/>
    <n v="5.58"/>
    <m/>
    <s v="Plus Musiskwartier ARNHEM"/>
    <x v="1"/>
    <x v="3"/>
    <x v="16"/>
  </r>
  <r>
    <n v="2459"/>
    <s v="NL22RABO0381604934"/>
    <m/>
    <x v="4"/>
    <x v="57"/>
    <d v="2020-10-17T00:00:00"/>
    <d v="2020-10-17T00:00:00"/>
    <n v="-2.57"/>
    <n v="2.57"/>
    <m/>
    <s v="Ekoplaza Velperplein ARNHEM"/>
    <x v="1"/>
    <x v="3"/>
    <x v="16"/>
  </r>
  <r>
    <n v="2460"/>
    <s v="NL22RABO0381604934"/>
    <m/>
    <x v="4"/>
    <x v="57"/>
    <d v="2020-10-18T00:00:00"/>
    <d v="2020-10-18T00:00:00"/>
    <n v="-5.01"/>
    <n v="5.01"/>
    <m/>
    <s v="ALBERT HEIJN 1878 ARNHEM"/>
    <x v="1"/>
    <x v="3"/>
    <x v="16"/>
  </r>
  <r>
    <n v="2461"/>
    <s v="NL22RABO0381604934"/>
    <m/>
    <x v="4"/>
    <x v="57"/>
    <d v="2020-10-18T00:00:00"/>
    <d v="2020-10-18T00:00:00"/>
    <n v="-5.38"/>
    <n v="5.38"/>
    <m/>
    <s v="ALBERT HEIJN 1878 ARNHEM"/>
    <x v="1"/>
    <x v="3"/>
    <x v="16"/>
  </r>
  <r>
    <n v="2463"/>
    <s v="NL22RABO0381604934"/>
    <m/>
    <x v="4"/>
    <x v="57"/>
    <d v="2020-10-19T00:00:00"/>
    <d v="2020-10-19T00:00:00"/>
    <n v="-6.72"/>
    <n v="6.72"/>
    <m/>
    <s v="ALBERT HEIJN 1878 ARNHEM"/>
    <x v="1"/>
    <x v="3"/>
    <x v="16"/>
  </r>
  <r>
    <n v="2467"/>
    <s v="NL22RABO0381604934"/>
    <m/>
    <x v="4"/>
    <x v="57"/>
    <d v="2020-10-20T00:00:00"/>
    <d v="2020-10-20T00:00:00"/>
    <n v="-10.99"/>
    <n v="10.99"/>
    <m/>
    <s v="Holland &amp; Barrett ARNHEM"/>
    <x v="1"/>
    <x v="3"/>
    <x v="17"/>
  </r>
  <r>
    <n v="2468"/>
    <s v="NL22RABO0381604934"/>
    <m/>
    <x v="4"/>
    <x v="57"/>
    <d v="2020-10-20T00:00:00"/>
    <d v="2020-10-20T00:00:00"/>
    <n v="-2.69"/>
    <n v="2.69"/>
    <m/>
    <s v="ALBERT HEIJN 1878 ARNHEM"/>
    <x v="1"/>
    <x v="3"/>
    <x v="16"/>
  </r>
  <r>
    <n v="2475"/>
    <s v="NL22RABO0381604934"/>
    <m/>
    <x v="4"/>
    <x v="57"/>
    <d v="2020-10-22T00:00:00"/>
    <d v="2020-10-22T00:00:00"/>
    <n v="-2.77"/>
    <n v="2.77"/>
    <m/>
    <s v="ALBERT HEIJN 1878 ARNHEM"/>
    <x v="1"/>
    <x v="3"/>
    <x v="16"/>
  </r>
  <r>
    <n v="2479"/>
    <s v="NL22RABO0381604934"/>
    <m/>
    <x v="4"/>
    <x v="57"/>
    <d v="2020-10-24T00:00:00"/>
    <d v="2020-10-24T00:00:00"/>
    <n v="-4.92"/>
    <n v="4.92"/>
    <m/>
    <s v="ALBERT HEIJN 1878 ARNHEM"/>
    <x v="1"/>
    <x v="3"/>
    <x v="16"/>
  </r>
  <r>
    <n v="2480"/>
    <s v="NL22RABO0381604934"/>
    <m/>
    <x v="4"/>
    <x v="57"/>
    <d v="2020-10-25T00:00:00"/>
    <d v="2020-10-25T00:00:00"/>
    <n v="-9.49"/>
    <n v="9.49"/>
    <m/>
    <s v="Kruidvat 0256 ARNHEM"/>
    <x v="1"/>
    <x v="3"/>
    <x v="17"/>
  </r>
  <r>
    <n v="2484"/>
    <s v="NL22RABO0381604934"/>
    <m/>
    <x v="4"/>
    <x v="57"/>
    <d v="2020-10-31T00:00:00"/>
    <d v="2020-10-31T00:00:00"/>
    <n v="-8.67"/>
    <n v="8.67"/>
    <m/>
    <s v="Coop 2113 MUSSELKANAAL"/>
    <x v="1"/>
    <x v="3"/>
    <x v="16"/>
  </r>
  <r>
    <n v="2485"/>
    <s v="NL22RABO0381604934"/>
    <m/>
    <x v="4"/>
    <x v="59"/>
    <d v="2020-11-01T00:00:00"/>
    <d v="2020-11-01T00:00:00"/>
    <n v="5"/>
    <n v="5"/>
    <s v="NL10RBRB0948370114"/>
    <s v="SMIT W en/of SMIT-BRANDS W R F"/>
    <x v="1"/>
    <x v="3"/>
    <x v="16"/>
  </r>
  <r>
    <n v="2490"/>
    <s v="NL22RABO0381604934"/>
    <m/>
    <x v="4"/>
    <x v="59"/>
    <d v="2020-11-03T00:00:00"/>
    <d v="2020-11-03T00:00:00"/>
    <n v="-1.98"/>
    <n v="1.98"/>
    <m/>
    <s v="Action 1072 Stadskanaal"/>
    <x v="1"/>
    <x v="3"/>
    <x v="16"/>
  </r>
  <r>
    <n v="2493"/>
    <s v="NL22RABO0381604934"/>
    <m/>
    <x v="4"/>
    <x v="59"/>
    <d v="2020-11-03T00:00:00"/>
    <d v="2020-11-03T00:00:00"/>
    <n v="-4.28"/>
    <n v="4.28"/>
    <m/>
    <s v="Albert Heijn 1122 STADSKANAAL"/>
    <x v="1"/>
    <x v="3"/>
    <x v="16"/>
  </r>
  <r>
    <n v="2495"/>
    <s v="NL22RABO0381604934"/>
    <m/>
    <x v="4"/>
    <x v="59"/>
    <d v="2020-11-06T00:00:00"/>
    <d v="2020-11-06T00:00:00"/>
    <n v="-3.76"/>
    <n v="3.76"/>
    <m/>
    <s v="ALBERT HEIJN 1878 ARNHEM"/>
    <x v="1"/>
    <x v="3"/>
    <x v="16"/>
  </r>
  <r>
    <n v="2497"/>
    <s v="NL22RABO0381604934"/>
    <m/>
    <x v="4"/>
    <x v="59"/>
    <d v="2020-11-07T00:00:00"/>
    <d v="2020-11-07T00:00:00"/>
    <n v="-12.48"/>
    <n v="12.48"/>
    <m/>
    <s v="Kruidvat 0256 ARNHEM"/>
    <x v="1"/>
    <x v="3"/>
    <x v="17"/>
  </r>
  <r>
    <n v="2498"/>
    <s v="NL22RABO0381604934"/>
    <m/>
    <x v="4"/>
    <x v="59"/>
    <d v="2020-11-08T00:00:00"/>
    <d v="2020-11-08T00:00:00"/>
    <n v="-6.77"/>
    <n v="6.77"/>
    <m/>
    <s v="Plus Musiskwartier ARNHEM"/>
    <x v="1"/>
    <x v="3"/>
    <x v="16"/>
  </r>
  <r>
    <n v="2499"/>
    <s v="NL22RABO0381604934"/>
    <m/>
    <x v="4"/>
    <x v="59"/>
    <d v="2020-11-09T00:00:00"/>
    <d v="2020-11-09T00:00:00"/>
    <n v="-8.66"/>
    <n v="8.66"/>
    <m/>
    <s v="ALBERT HEIJN 1878 ARNHEM"/>
    <x v="1"/>
    <x v="3"/>
    <x v="16"/>
  </r>
  <r>
    <n v="2500"/>
    <s v="NL22RABO0381604934"/>
    <m/>
    <x v="4"/>
    <x v="59"/>
    <d v="2020-11-09T00:00:00"/>
    <d v="2020-11-09T00:00:00"/>
    <n v="-2.5"/>
    <n v="2.5"/>
    <m/>
    <s v="CCV*VOF HERMSEN PA PLU ARNHEM"/>
    <x v="1"/>
    <x v="3"/>
    <x v="16"/>
  </r>
  <r>
    <n v="2502"/>
    <s v="NL22RABO0381604934"/>
    <m/>
    <x v="4"/>
    <x v="59"/>
    <d v="2020-11-09T00:00:00"/>
    <d v="2020-11-09T00:00:00"/>
    <n v="-1.87"/>
    <n v="1.87"/>
    <m/>
    <s v="ALBERT HEIJN 1878 ARNHEM"/>
    <x v="1"/>
    <x v="3"/>
    <x v="16"/>
  </r>
  <r>
    <n v="2503"/>
    <s v="NL22RABO0381604934"/>
    <m/>
    <x v="4"/>
    <x v="59"/>
    <d v="2020-11-10T00:00:00"/>
    <d v="2020-11-10T00:00:00"/>
    <n v="-5.83"/>
    <n v="5.83"/>
    <m/>
    <s v="ALBERT HEIJN 1878 ARNHEM"/>
    <x v="1"/>
    <x v="3"/>
    <x v="16"/>
  </r>
  <r>
    <n v="2505"/>
    <s v="NL22RABO0381604934"/>
    <m/>
    <x v="4"/>
    <x v="59"/>
    <d v="2020-11-11T00:00:00"/>
    <d v="2020-11-11T00:00:00"/>
    <n v="-1.25"/>
    <n v="1.25"/>
    <m/>
    <s v="CCV*San Wah Foods Arnh ARNHEM"/>
    <x v="1"/>
    <x v="3"/>
    <x v="16"/>
  </r>
  <r>
    <n v="2506"/>
    <s v="NL22RABO0381604934"/>
    <m/>
    <x v="4"/>
    <x v="59"/>
    <d v="2020-11-11T00:00:00"/>
    <d v="2020-11-11T00:00:00"/>
    <n v="-2.04"/>
    <n v="2.04"/>
    <m/>
    <s v="ALBERT HEIJN 1878 ARNHEM"/>
    <x v="1"/>
    <x v="3"/>
    <x v="16"/>
  </r>
  <r>
    <n v="2507"/>
    <s v="NL22RABO0381604934"/>
    <m/>
    <x v="4"/>
    <x v="59"/>
    <d v="2020-11-12T00:00:00"/>
    <d v="2020-11-12T00:00:00"/>
    <n v="-4.09"/>
    <n v="4.09"/>
    <m/>
    <s v="ALBERT HEIJN 1878 ARNHEM"/>
    <x v="1"/>
    <x v="3"/>
    <x v="16"/>
  </r>
  <r>
    <n v="2508"/>
    <s v="NL22RABO0381604934"/>
    <m/>
    <x v="4"/>
    <x v="59"/>
    <d v="2020-11-13T00:00:00"/>
    <d v="2020-11-13T00:00:00"/>
    <n v="-2.77"/>
    <n v="2.77"/>
    <m/>
    <s v="ALBERT HEIJN 1878 ARNHEM"/>
    <x v="1"/>
    <x v="3"/>
    <x v="16"/>
  </r>
  <r>
    <n v="2510"/>
    <s v="NL22RABO0381604934"/>
    <m/>
    <x v="4"/>
    <x v="59"/>
    <d v="2020-11-14T00:00:00"/>
    <d v="2020-11-14T00:00:00"/>
    <n v="-2.44"/>
    <n v="2.44"/>
    <m/>
    <s v="ALBERT HEIJN 1878 ARNHEM"/>
    <x v="1"/>
    <x v="3"/>
    <x v="16"/>
  </r>
  <r>
    <n v="2513"/>
    <s v="NL22RABO0381604934"/>
    <m/>
    <x v="4"/>
    <x v="59"/>
    <d v="2020-11-15T00:00:00"/>
    <d v="2020-11-15T00:00:00"/>
    <n v="-2.1800000000000002"/>
    <n v="2.1800000000000002"/>
    <m/>
    <s v="ALBERT HEIJN 1878 ARNHEM"/>
    <x v="1"/>
    <x v="3"/>
    <x v="16"/>
  </r>
  <r>
    <n v="2514"/>
    <s v="NL22RABO0381604934"/>
    <m/>
    <x v="4"/>
    <x v="59"/>
    <d v="2020-11-16T00:00:00"/>
    <d v="2020-11-16T00:00:00"/>
    <n v="-37.99"/>
    <n v="37.99"/>
    <m/>
    <s v="Lidl 193 Arnhem Amst ARNHEM"/>
    <x v="1"/>
    <x v="3"/>
    <x v="16"/>
  </r>
  <r>
    <n v="2515"/>
    <s v="NL22RABO0381604934"/>
    <m/>
    <x v="4"/>
    <x v="59"/>
    <d v="2020-11-16T00:00:00"/>
    <d v="2020-11-16T00:00:00"/>
    <n v="-3.81"/>
    <n v="3.81"/>
    <m/>
    <s v="ALBERT HEIJN 1878 ARNHEM"/>
    <x v="1"/>
    <x v="3"/>
    <x v="16"/>
  </r>
  <r>
    <n v="2516"/>
    <s v="NL22RABO0381604934"/>
    <m/>
    <x v="4"/>
    <x v="59"/>
    <d v="2020-11-17T00:00:00"/>
    <d v="2020-11-17T00:00:00"/>
    <n v="-0.99"/>
    <n v="0.99"/>
    <m/>
    <s v="ALBERT HEIJN 1878 ARNHEM"/>
    <x v="1"/>
    <x v="3"/>
    <x v="16"/>
  </r>
  <r>
    <n v="2518"/>
    <s v="NL22RABO0381604934"/>
    <m/>
    <x v="4"/>
    <x v="59"/>
    <d v="2020-11-18T00:00:00"/>
    <d v="2020-11-18T00:00:00"/>
    <n v="-4.45"/>
    <n v="4.45"/>
    <m/>
    <s v="ALBERT HEIJN 1878 ARNHEM"/>
    <x v="1"/>
    <x v="3"/>
    <x v="16"/>
  </r>
  <r>
    <n v="2519"/>
    <s v="NL22RABO0381604934"/>
    <m/>
    <x v="4"/>
    <x v="59"/>
    <d v="2020-11-18T00:00:00"/>
    <d v="2020-11-18T00:00:00"/>
    <n v="-0.88"/>
    <n v="0.88"/>
    <m/>
    <s v="ALBERT HEIJN 1878 ARNHEM"/>
    <x v="1"/>
    <x v="3"/>
    <x v="16"/>
  </r>
  <r>
    <n v="2520"/>
    <s v="NL22RABO0381604934"/>
    <m/>
    <x v="4"/>
    <x v="59"/>
    <d v="2020-11-19T00:00:00"/>
    <d v="2020-11-19T00:00:00"/>
    <n v="-5.28"/>
    <n v="5.28"/>
    <m/>
    <s v="ALBERT HEIJN 1878 ARNHEM"/>
    <x v="1"/>
    <x v="3"/>
    <x v="16"/>
  </r>
  <r>
    <n v="2527"/>
    <s v="NL22RABO0381604934"/>
    <m/>
    <x v="4"/>
    <x v="59"/>
    <d v="2020-11-22T00:00:00"/>
    <d v="2020-11-22T00:00:00"/>
    <n v="-3.68"/>
    <n v="3.68"/>
    <m/>
    <s v="ALBERT HEIJN 1878 ARNHEM"/>
    <x v="1"/>
    <x v="3"/>
    <x v="16"/>
  </r>
  <r>
    <n v="2530"/>
    <s v="NL22RABO0381604934"/>
    <m/>
    <x v="4"/>
    <x v="59"/>
    <d v="2020-11-24T00:00:00"/>
    <d v="2020-11-24T00:00:00"/>
    <n v="-1.0900000000000001"/>
    <n v="1.0900000000000001"/>
    <m/>
    <s v="Lidl 593 Musselkanaa MUSSELKANAAL"/>
    <x v="1"/>
    <x v="3"/>
    <x v="16"/>
  </r>
  <r>
    <n v="2531"/>
    <s v="NL22RABO0381604934"/>
    <m/>
    <x v="4"/>
    <x v="59"/>
    <d v="2020-11-27T00:00:00"/>
    <d v="2020-11-27T00:00:00"/>
    <n v="-3.38"/>
    <n v="3.38"/>
    <m/>
    <s v="Action 1072 Stadskanaal"/>
    <x v="1"/>
    <x v="3"/>
    <x v="16"/>
  </r>
  <r>
    <n v="2532"/>
    <s v="NL22RABO0381604934"/>
    <m/>
    <x v="4"/>
    <x v="59"/>
    <d v="2020-11-27T00:00:00"/>
    <d v="2020-11-27T00:00:00"/>
    <n v="-5.37"/>
    <n v="5.37"/>
    <m/>
    <s v="Albert Heijn 1122 STADSKANAAL"/>
    <x v="1"/>
    <x v="3"/>
    <x v="16"/>
  </r>
  <r>
    <n v="2534"/>
    <s v="NL22RABO0381604934"/>
    <m/>
    <x v="4"/>
    <x v="59"/>
    <d v="2020-11-28T00:00:00"/>
    <d v="2020-11-28T00:00:00"/>
    <n v="-0.99"/>
    <n v="0.99"/>
    <m/>
    <s v="Coop 2113 MUSSELKANAAL"/>
    <x v="1"/>
    <x v="3"/>
    <x v="16"/>
  </r>
  <r>
    <n v="2535"/>
    <s v="NL22RABO0381604934"/>
    <m/>
    <x v="4"/>
    <x v="58"/>
    <d v="2020-12-01T00:00:00"/>
    <d v="2020-12-01T00:00:00"/>
    <n v="-2.34"/>
    <n v="2.34"/>
    <m/>
    <s v="Albert Heijn 1122 STADSKANAAL"/>
    <x v="1"/>
    <x v="3"/>
    <x v="16"/>
  </r>
  <r>
    <n v="2542"/>
    <s v="NL22RABO0381604934"/>
    <m/>
    <x v="4"/>
    <x v="58"/>
    <d v="2020-12-07T00:00:00"/>
    <d v="2020-12-07T00:00:00"/>
    <n v="-16.38"/>
    <n v="16.38"/>
    <m/>
    <s v="ALBERT HEIJN 1878 ARNHEM"/>
    <x v="1"/>
    <x v="3"/>
    <x v="16"/>
  </r>
  <r>
    <n v="2543"/>
    <s v="NL22RABO0381604934"/>
    <m/>
    <x v="4"/>
    <x v="58"/>
    <d v="2020-12-07T00:00:00"/>
    <d v="2020-12-07T00:00:00"/>
    <n v="-3.68"/>
    <n v="3.68"/>
    <m/>
    <s v="ALBERT HEIJN 1878 ARNHEM"/>
    <x v="1"/>
    <x v="3"/>
    <x v="16"/>
  </r>
  <r>
    <n v="2545"/>
    <s v="NL22RABO0381604934"/>
    <m/>
    <x v="4"/>
    <x v="58"/>
    <d v="2020-12-09T00:00:00"/>
    <d v="2020-12-09T00:00:00"/>
    <n v="-1.55"/>
    <n v="1.55"/>
    <m/>
    <s v="Wereldwinkel Arnhem ARNHEM"/>
    <x v="1"/>
    <x v="3"/>
    <x v="16"/>
  </r>
  <r>
    <n v="2546"/>
    <s v="NL22RABO0381604934"/>
    <m/>
    <x v="4"/>
    <x v="58"/>
    <d v="2020-12-09T00:00:00"/>
    <d v="2020-12-09T00:00:00"/>
    <n v="-4.0599999999999996"/>
    <n v="4.0599999999999996"/>
    <m/>
    <s v="ALBERT HEIJN 1878 ARNHEM"/>
    <x v="1"/>
    <x v="3"/>
    <x v="16"/>
  </r>
  <r>
    <n v="2549"/>
    <s v="NL22RABO0381604934"/>
    <m/>
    <x v="4"/>
    <x v="58"/>
    <d v="2020-12-10T00:00:00"/>
    <d v="2020-12-10T00:00:00"/>
    <n v="-2.21"/>
    <n v="2.21"/>
    <m/>
    <s v="ALBERT HEIJN 1878 ARNHEM"/>
    <x v="1"/>
    <x v="3"/>
    <x v="16"/>
  </r>
  <r>
    <n v="2551"/>
    <s v="NL22RABO0381604934"/>
    <m/>
    <x v="4"/>
    <x v="58"/>
    <d v="2020-12-12T00:00:00"/>
    <d v="2020-12-12T00:00:00"/>
    <n v="-23.13"/>
    <n v="23.13"/>
    <m/>
    <s v="SumUp  *Vmarkt Arnhem"/>
    <x v="1"/>
    <x v="3"/>
    <x v="16"/>
  </r>
  <r>
    <n v="2552"/>
    <s v="NL22RABO0381604934"/>
    <m/>
    <x v="4"/>
    <x v="58"/>
    <d v="2020-12-12T00:00:00"/>
    <d v="2020-12-12T00:00:00"/>
    <n v="20"/>
    <n v="20"/>
    <m/>
    <s v="SumUp  *Vmarkt Arnhem"/>
    <x v="1"/>
    <x v="3"/>
    <x v="16"/>
  </r>
  <r>
    <n v="2553"/>
    <s v="NL22RABO0381604934"/>
    <m/>
    <x v="4"/>
    <x v="58"/>
    <d v="2020-12-12T00:00:00"/>
    <d v="2020-12-12T00:00:00"/>
    <n v="-20"/>
    <n v="20"/>
    <m/>
    <s v="SumUp  *Vmarkt Arnhem"/>
    <x v="1"/>
    <x v="3"/>
    <x v="17"/>
  </r>
  <r>
    <n v="2557"/>
    <s v="NL22RABO0381604934"/>
    <m/>
    <x v="4"/>
    <x v="58"/>
    <d v="2020-12-14T00:00:00"/>
    <d v="2020-12-14T00:00:00"/>
    <n v="-2.21"/>
    <n v="2.21"/>
    <m/>
    <s v="ALBERT HEIJN 1878 ARNHEM"/>
    <x v="1"/>
    <x v="3"/>
    <x v="16"/>
  </r>
  <r>
    <n v="2558"/>
    <s v="NL22RABO0381604934"/>
    <m/>
    <x v="4"/>
    <x v="58"/>
    <d v="2020-12-14T00:00:00"/>
    <d v="2020-12-14T00:00:00"/>
    <n v="-2.4700000000000002"/>
    <n v="2.4700000000000002"/>
    <m/>
    <s v="ALBERT HEIJN 1878 ARNHEM"/>
    <x v="1"/>
    <x v="3"/>
    <x v="16"/>
  </r>
  <r>
    <n v="2559"/>
    <s v="NL22RABO0381604934"/>
    <m/>
    <x v="4"/>
    <x v="58"/>
    <d v="2020-12-15T00:00:00"/>
    <d v="2020-12-15T00:00:00"/>
    <n v="-5.71"/>
    <n v="5.71"/>
    <m/>
    <s v="ALBERT HEIJN 1878 ARNHEM"/>
    <x v="1"/>
    <x v="3"/>
    <x v="16"/>
  </r>
  <r>
    <n v="2561"/>
    <s v="NL22RABO0381604934"/>
    <m/>
    <x v="4"/>
    <x v="58"/>
    <d v="2020-12-16T00:00:00"/>
    <d v="2020-12-16T00:00:00"/>
    <n v="-5.38"/>
    <n v="5.38"/>
    <m/>
    <s v="Jumbo Arnhem AW ARNHEM"/>
    <x v="1"/>
    <x v="3"/>
    <x v="16"/>
  </r>
  <r>
    <n v="2562"/>
    <s v="NL22RABO0381604934"/>
    <m/>
    <x v="4"/>
    <x v="58"/>
    <d v="2020-12-16T00:00:00"/>
    <d v="2020-12-16T00:00:00"/>
    <n v="-9.3000000000000007"/>
    <n v="9.3000000000000007"/>
    <m/>
    <s v="Lidl 193 Arnhem Amst ARNHEM"/>
    <x v="1"/>
    <x v="3"/>
    <x v="16"/>
  </r>
  <r>
    <n v="2567"/>
    <s v="NL22RABO0381604934"/>
    <m/>
    <x v="4"/>
    <x v="58"/>
    <d v="2020-12-19T00:00:00"/>
    <d v="2020-12-19T00:00:00"/>
    <n v="-5.49"/>
    <n v="5.49"/>
    <m/>
    <s v="ALBERT HEIJN 1878 ARNHEM"/>
    <x v="1"/>
    <x v="3"/>
    <x v="16"/>
  </r>
  <r>
    <n v="2571"/>
    <s v="NL22RABO0381604934"/>
    <m/>
    <x v="4"/>
    <x v="58"/>
    <d v="2020-12-23T00:00:00"/>
    <d v="2020-12-23T00:00:00"/>
    <n v="-8.25"/>
    <n v="8.25"/>
    <m/>
    <s v="Mimint ARNHEM"/>
    <x v="1"/>
    <x v="3"/>
    <x v="16"/>
  </r>
  <r>
    <n v="2572"/>
    <s v="NL22RABO0381604934"/>
    <m/>
    <x v="4"/>
    <x v="58"/>
    <d v="2020-12-23T00:00:00"/>
    <d v="2020-12-23T00:00:00"/>
    <n v="-6.96"/>
    <n v="6.96"/>
    <m/>
    <s v="ALBERT HEIJN 1878 ARNHEM"/>
    <x v="1"/>
    <x v="3"/>
    <x v="16"/>
  </r>
  <r>
    <n v="2573"/>
    <s v="NL22RABO0381604934"/>
    <m/>
    <x v="4"/>
    <x v="58"/>
    <d v="2020-12-23T00:00:00"/>
    <d v="2020-12-23T00:00:00"/>
    <n v="-24"/>
    <n v="24"/>
    <m/>
    <s v="ALBERT HEIJN 1878 ARNHEM"/>
    <x v="1"/>
    <x v="3"/>
    <x v="16"/>
  </r>
  <r>
    <n v="2575"/>
    <s v="NL22RABO0381604934"/>
    <m/>
    <x v="4"/>
    <x v="58"/>
    <d v="2020-12-24T00:00:00"/>
    <d v="2020-12-24T00:00:00"/>
    <n v="-1.25"/>
    <n v="1.25"/>
    <m/>
    <s v="CCV*Willems Versmarkt MUSSELKANAAL"/>
    <x v="1"/>
    <x v="3"/>
    <x v="16"/>
  </r>
  <r>
    <n v="2576"/>
    <s v="NL22RABO0381604934"/>
    <m/>
    <x v="4"/>
    <x v="58"/>
    <d v="2020-12-24T00:00:00"/>
    <d v="2020-12-24T00:00:00"/>
    <n v="30"/>
    <n v="30"/>
    <s v="NL10RBRB0948370114"/>
    <s v="SMIT W en/of SMIT-BRANDS W R F"/>
    <x v="1"/>
    <x v="3"/>
    <x v="16"/>
  </r>
  <r>
    <n v="2578"/>
    <s v="NL22RABO0381604934"/>
    <m/>
    <x v="4"/>
    <x v="58"/>
    <d v="2020-12-28T00:00:00"/>
    <d v="2020-12-28T00:00:00"/>
    <n v="-2.13"/>
    <n v="2.13"/>
    <m/>
    <s v="Coop 2113 MUSSELKANAAL"/>
    <x v="1"/>
    <x v="3"/>
    <x v="16"/>
  </r>
  <r>
    <n v="2602"/>
    <s v="RABO GOLD CARD"/>
    <m/>
    <x v="4"/>
    <x v="22"/>
    <d v="2020-04-26T00:00:00"/>
    <d v="2020-04-26T00:00:00"/>
    <n v="-15.83"/>
    <n v="15.83"/>
    <m/>
    <s v="Lazada BANGKOK THA // PROTEINE POEDER"/>
    <x v="1"/>
    <x v="3"/>
    <x v="17"/>
  </r>
  <r>
    <n v="2603"/>
    <s v="RABO GOLD CARD"/>
    <m/>
    <x v="4"/>
    <x v="22"/>
    <d v="2020-04-26T00:00:00"/>
    <d v="2020-04-26T00:00:00"/>
    <n v="-15.83"/>
    <n v="15.83"/>
    <m/>
    <s v="Lazada BANGKOK THA"/>
    <x v="1"/>
    <x v="3"/>
    <x v="17"/>
  </r>
  <r>
    <n v="2604"/>
    <s v="RABO GOLD CARD"/>
    <m/>
    <x v="4"/>
    <x v="23"/>
    <d v="2020-05-14T00:00:00"/>
    <d v="2020-05-14T00:00:00"/>
    <n v="-15.99"/>
    <n v="15.99"/>
    <m/>
    <s v="LAZADA BANGKOK THA"/>
    <x v="1"/>
    <x v="3"/>
    <x v="17"/>
  </r>
  <r>
    <n v="2639"/>
    <s v="KAS"/>
    <m/>
    <x v="5"/>
    <x v="62"/>
    <d v="2021-02-23T00:00:00"/>
    <d v="2021-02-23T00:00:00"/>
    <n v="7.5"/>
    <n v="7.5"/>
    <m/>
    <s v="retour boodschappen"/>
    <x v="1"/>
    <x v="3"/>
    <x v="16"/>
  </r>
  <r>
    <n v="2642"/>
    <s v="KAS"/>
    <m/>
    <x v="5"/>
    <x v="62"/>
    <d v="2021-02-23T00:00:00"/>
    <d v="2021-03-23T00:00:00"/>
    <n v="2.8"/>
    <n v="2.8"/>
    <m/>
    <s v="retour boodschappen"/>
    <x v="1"/>
    <x v="3"/>
    <x v="16"/>
  </r>
  <r>
    <n v="2642"/>
    <s v="KAS"/>
    <m/>
    <x v="5"/>
    <x v="63"/>
    <d v="2021-03-23T00:00:00"/>
    <d v="2021-03-23T00:00:00"/>
    <n v="6.2"/>
    <n v="6.2"/>
    <m/>
    <s v="retour boodschappen"/>
    <x v="1"/>
    <x v="3"/>
    <x v="16"/>
  </r>
  <r>
    <n v="2647"/>
    <s v="KRUIS"/>
    <m/>
    <x v="5"/>
    <x v="64"/>
    <d v="2021-09-18T00:00:00"/>
    <d v="2021-09-18T00:00:00"/>
    <n v="15"/>
    <n v="15"/>
    <m/>
    <s v="boodsch naar joost"/>
    <x v="1"/>
    <x v="3"/>
    <x v="16"/>
  </r>
  <r>
    <n v="2651"/>
    <s v="KRUIS"/>
    <m/>
    <x v="5"/>
    <x v="25"/>
    <d v="2021-10-24T00:00:00"/>
    <m/>
    <n v="26.85"/>
    <n v="26.85"/>
    <m/>
    <s v="boodsch joost"/>
    <x v="1"/>
    <x v="3"/>
    <x v="16"/>
  </r>
  <r>
    <n v="2660"/>
    <s v="KRUIS"/>
    <m/>
    <x v="5"/>
    <x v="25"/>
    <d v="2021-10-30T00:00:00"/>
    <m/>
    <n v="77.52"/>
    <n v="77.52"/>
    <m/>
    <s v="correctie ouders tov oktober"/>
    <x v="1"/>
    <x v="3"/>
    <x v="16"/>
  </r>
  <r>
    <n v="2661"/>
    <s v="KRUIS"/>
    <m/>
    <x v="5"/>
    <x v="26"/>
    <d v="2021-11-30T00:00:00"/>
    <m/>
    <n v="-77.52"/>
    <n v="77.52"/>
    <m/>
    <s v="correctie ouders tov oktober"/>
    <x v="1"/>
    <x v="3"/>
    <x v="16"/>
  </r>
  <r>
    <n v="2666"/>
    <s v="NL22RABO0381604934"/>
    <m/>
    <x v="5"/>
    <x v="65"/>
    <d v="2021-01-02T00:00:00"/>
    <d v="2021-01-02T00:00:00"/>
    <n v="-4.1399999999999997"/>
    <n v="4.1399999999999997"/>
    <m/>
    <s v="Coop 2113 MUSSELKANAAL"/>
    <x v="1"/>
    <x v="3"/>
    <x v="16"/>
  </r>
  <r>
    <n v="2671"/>
    <s v="NL22RABO0381604934"/>
    <m/>
    <x v="5"/>
    <x v="65"/>
    <d v="2021-01-08T00:00:00"/>
    <d v="2021-01-08T00:00:00"/>
    <n v="-5.08"/>
    <n v="5.08"/>
    <m/>
    <s v="Coop 2113 MUSSELKANAAL"/>
    <x v="1"/>
    <x v="3"/>
    <x v="16"/>
  </r>
  <r>
    <n v="2672"/>
    <s v="NL22RABO0381604934"/>
    <m/>
    <x v="5"/>
    <x v="65"/>
    <d v="2021-01-10T00:00:00"/>
    <d v="2021-01-10T00:00:00"/>
    <n v="-0.85"/>
    <n v="0.85"/>
    <m/>
    <s v="Coop 2113 MUSSELKANAAL"/>
    <x v="1"/>
    <x v="3"/>
    <x v="16"/>
  </r>
  <r>
    <n v="2673"/>
    <s v="NL22RABO0381604934"/>
    <m/>
    <x v="5"/>
    <x v="65"/>
    <d v="2021-01-13T00:00:00"/>
    <d v="2021-01-13T00:00:00"/>
    <n v="-1.24"/>
    <n v="1.24"/>
    <m/>
    <s v="Lidl 593 Musselkanaa MUSSELKANAAL"/>
    <x v="1"/>
    <x v="3"/>
    <x v="16"/>
  </r>
  <r>
    <n v="2675"/>
    <s v="NL22RABO0381604934"/>
    <m/>
    <x v="5"/>
    <x v="65"/>
    <d v="2021-01-15T00:00:00"/>
    <d v="2021-01-15T00:00:00"/>
    <n v="-0.93"/>
    <n v="0.93"/>
    <m/>
    <s v="Lidl 593 Musselkanaa MUSSELKANAAL"/>
    <x v="1"/>
    <x v="3"/>
    <x v="16"/>
  </r>
  <r>
    <n v="2677"/>
    <s v="NL22RABO0381604934"/>
    <m/>
    <x v="5"/>
    <x v="65"/>
    <d v="2021-01-19T00:00:00"/>
    <d v="2021-01-19T00:00:00"/>
    <n v="-3.88"/>
    <n v="3.88"/>
    <m/>
    <s v="Lidl 593 Musselkanaa MUSSELKANAAL"/>
    <x v="1"/>
    <x v="3"/>
    <x v="16"/>
  </r>
  <r>
    <n v="2680"/>
    <s v="NL22RABO0381604934"/>
    <m/>
    <x v="5"/>
    <x v="65"/>
    <d v="2021-01-22T00:00:00"/>
    <d v="2021-01-22T00:00:00"/>
    <n v="-5.15"/>
    <n v="5.15"/>
    <m/>
    <s v="Aldi 016 MUSSELKANAAL"/>
    <x v="1"/>
    <x v="3"/>
    <x v="16"/>
  </r>
  <r>
    <n v="2690"/>
    <s v="NL22RABO0381604934"/>
    <m/>
    <x v="5"/>
    <x v="62"/>
    <d v="2021-02-05T00:00:00"/>
    <d v="2021-02-05T00:00:00"/>
    <n v="-9.94"/>
    <n v="9.94"/>
    <m/>
    <s v="Aldi 016 MUSSELKANAAL"/>
    <x v="1"/>
    <x v="3"/>
    <x v="16"/>
  </r>
  <r>
    <n v="2691"/>
    <s v="NL22RABO0381604934"/>
    <m/>
    <x v="5"/>
    <x v="62"/>
    <d v="2021-02-06T00:00:00"/>
    <d v="2021-02-06T00:00:00"/>
    <n v="2.99"/>
    <n v="2.99"/>
    <m/>
    <s v="Kruidvat 6224 MUSSELKANAAL"/>
    <x v="1"/>
    <x v="3"/>
    <x v="16"/>
  </r>
  <r>
    <n v="2692"/>
    <s v="NL22RABO0381604934"/>
    <m/>
    <x v="5"/>
    <x v="62"/>
    <d v="2021-02-06T00:00:00"/>
    <d v="2021-02-06T00:00:00"/>
    <n v="-14.23"/>
    <n v="14.23"/>
    <m/>
    <s v="Kruidvat 6224 MUSSELKANAAL"/>
    <x v="1"/>
    <x v="3"/>
    <x v="17"/>
  </r>
  <r>
    <n v="2693"/>
    <s v="NL22RABO0381604934"/>
    <m/>
    <x v="5"/>
    <x v="62"/>
    <d v="2021-02-06T00:00:00"/>
    <d v="2021-02-06T00:00:00"/>
    <n v="-3.54"/>
    <n v="3.54"/>
    <m/>
    <s v="Coop 2113 MUSSELKANAAL"/>
    <x v="1"/>
    <x v="3"/>
    <x v="16"/>
  </r>
  <r>
    <n v="2694"/>
    <s v="NL22RABO0381604934"/>
    <m/>
    <x v="5"/>
    <x v="62"/>
    <d v="2021-02-11T00:00:00"/>
    <d v="2021-02-11T00:00:00"/>
    <n v="-1.49"/>
    <n v="1.49"/>
    <m/>
    <s v="Aldi 016 MUSSELKANAAL"/>
    <x v="1"/>
    <x v="3"/>
    <x v="16"/>
  </r>
  <r>
    <n v="2697"/>
    <s v="NL22RABO0381604934"/>
    <m/>
    <x v="5"/>
    <x v="62"/>
    <d v="2021-02-18T00:00:00"/>
    <d v="2021-02-18T00:00:00"/>
    <n v="-7.38"/>
    <n v="7.38"/>
    <m/>
    <s v="Coop 2113 MUSSELKANAAL"/>
    <x v="1"/>
    <x v="3"/>
    <x v="16"/>
  </r>
  <r>
    <n v="2698"/>
    <s v="NL22RABO0381604934"/>
    <m/>
    <x v="5"/>
    <x v="62"/>
    <d v="2021-02-19T00:00:00"/>
    <d v="2021-02-19T00:00:00"/>
    <n v="-4.67"/>
    <n v="4.67"/>
    <m/>
    <s v="Lidl 593 Musselkanaa MUSSELKANAAL"/>
    <x v="1"/>
    <x v="3"/>
    <x v="16"/>
  </r>
  <r>
    <n v="2699"/>
    <s v="NL22RABO0381604934"/>
    <m/>
    <x v="5"/>
    <x v="62"/>
    <d v="2021-02-21T00:00:00"/>
    <d v="2021-02-21T00:00:00"/>
    <n v="-3.17"/>
    <n v="3.17"/>
    <m/>
    <s v="Lidl 593 Musselkanaa MUSSELKANAAL"/>
    <x v="1"/>
    <x v="3"/>
    <x v="16"/>
  </r>
  <r>
    <n v="2703"/>
    <s v="NL22RABO0381604934"/>
    <m/>
    <x v="5"/>
    <x v="62"/>
    <d v="2021-02-23T00:00:00"/>
    <d v="2021-02-23T00:00:00"/>
    <n v="-0.28999999999999998"/>
    <n v="0.28999999999999998"/>
    <m/>
    <s v="Budget Food MK MUSSELKANAAL"/>
    <x v="1"/>
    <x v="3"/>
    <x v="16"/>
  </r>
  <r>
    <n v="2704"/>
    <s v="NL22RABO0381604934"/>
    <m/>
    <x v="5"/>
    <x v="62"/>
    <d v="2021-02-26T00:00:00"/>
    <d v="2021-02-26T00:00:00"/>
    <n v="-2.98"/>
    <n v="2.98"/>
    <m/>
    <s v="Coop 2113 MUSSELKANAAL"/>
    <x v="1"/>
    <x v="3"/>
    <x v="16"/>
  </r>
  <r>
    <n v="2705"/>
    <s v="NL22RABO0381604934"/>
    <m/>
    <x v="5"/>
    <x v="62"/>
    <d v="2021-02-27T00:00:00"/>
    <d v="2021-02-27T00:00:00"/>
    <n v="-0.81"/>
    <n v="0.81"/>
    <m/>
    <s v="Coop 2113 MUSSELKANAAL"/>
    <x v="1"/>
    <x v="3"/>
    <x v="16"/>
  </r>
  <r>
    <n v="2707"/>
    <s v="NL22RABO0381604934"/>
    <m/>
    <x v="5"/>
    <x v="62"/>
    <d v="2021-02-28T00:00:00"/>
    <d v="2021-02-28T00:00:00"/>
    <n v="-0.69"/>
    <n v="0.69"/>
    <m/>
    <s v="Coop 2113 MUSSELKANAAL"/>
    <x v="1"/>
    <x v="3"/>
    <x v="16"/>
  </r>
  <r>
    <n v="2713"/>
    <s v="NL22RABO0381604934"/>
    <m/>
    <x v="5"/>
    <x v="63"/>
    <d v="2021-03-07T00:00:00"/>
    <d v="2021-03-07T00:00:00"/>
    <n v="-2.5299999999999998"/>
    <n v="2.5299999999999998"/>
    <m/>
    <s v="Coop 2113 MUSSELKANAAL"/>
    <x v="1"/>
    <x v="3"/>
    <x v="16"/>
  </r>
  <r>
    <n v="2714"/>
    <s v="NL22RABO0381604934"/>
    <m/>
    <x v="5"/>
    <x v="63"/>
    <d v="2021-03-07T00:00:00"/>
    <d v="2021-03-07T00:00:00"/>
    <n v="-1.74"/>
    <n v="1.74"/>
    <m/>
    <s v="Budget Food MK MUSSELKANAAL"/>
    <x v="1"/>
    <x v="3"/>
    <x v="16"/>
  </r>
  <r>
    <n v="2715"/>
    <s v="NL22RABO0381604934"/>
    <m/>
    <x v="5"/>
    <x v="63"/>
    <d v="2021-03-12T00:00:00"/>
    <d v="2021-03-12T00:00:00"/>
    <n v="-9.56"/>
    <n v="9.56"/>
    <m/>
    <s v="Coop 2113 MUSSELKANAAL"/>
    <x v="1"/>
    <x v="3"/>
    <x v="16"/>
  </r>
  <r>
    <n v="2716"/>
    <s v="NL22RABO0381604934"/>
    <m/>
    <x v="5"/>
    <x v="63"/>
    <d v="2021-03-12T00:00:00"/>
    <d v="2021-03-12T00:00:00"/>
    <n v="10"/>
    <n v="10"/>
    <s v="NL10RBRB0948370114"/>
    <s v="W. Smit e/o W.R.F. Smit-Brands"/>
    <x v="1"/>
    <x v="3"/>
    <x v="16"/>
  </r>
  <r>
    <n v="2718"/>
    <s v="NL22RABO0381604934"/>
    <m/>
    <x v="5"/>
    <x v="63"/>
    <d v="2021-03-18T00:00:00"/>
    <d v="2021-03-18T00:00:00"/>
    <n v="-1.58"/>
    <n v="1.58"/>
    <m/>
    <s v="Coop 2113 MUSSELKANAAL"/>
    <x v="1"/>
    <x v="3"/>
    <x v="16"/>
  </r>
  <r>
    <n v="2721"/>
    <s v="NL22RABO0381604934"/>
    <m/>
    <x v="5"/>
    <x v="63"/>
    <d v="2021-03-20T00:00:00"/>
    <d v="2021-03-20T00:00:00"/>
    <n v="-0.79"/>
    <n v="0.79"/>
    <m/>
    <s v="Coop 2113 MUSSELKANAAL"/>
    <x v="1"/>
    <x v="3"/>
    <x v="16"/>
  </r>
  <r>
    <n v="2726"/>
    <s v="NL22RABO0381604934"/>
    <m/>
    <x v="5"/>
    <x v="66"/>
    <d v="2021-04-01T00:00:00"/>
    <d v="2021-03-30T00:00:00"/>
    <n v="-54.3"/>
    <n v="54.3"/>
    <m/>
    <s v="ALDI 022 SEVENUM"/>
    <x v="1"/>
    <x v="3"/>
    <x v="16"/>
  </r>
  <r>
    <n v="2727"/>
    <s v="NL22RABO0381604934"/>
    <m/>
    <x v="5"/>
    <x v="66"/>
    <d v="2021-04-01T00:00:00"/>
    <d v="2021-03-31T00:00:00"/>
    <n v="-18.14"/>
    <n v="18.14"/>
    <m/>
    <s v="PhicoopJumbo Sevenum SEVENUM"/>
    <x v="1"/>
    <x v="3"/>
    <x v="16"/>
  </r>
  <r>
    <n v="2733"/>
    <s v="NL22RABO0381604934"/>
    <m/>
    <x v="5"/>
    <x v="66"/>
    <d v="2021-04-04T00:00:00"/>
    <d v="2021-04-04T00:00:00"/>
    <n v="-4.49"/>
    <n v="4.49"/>
    <m/>
    <s v="Spar Enjoy Schatberg SEVENUM"/>
    <x v="1"/>
    <x v="3"/>
    <x v="16"/>
  </r>
  <r>
    <n v="2734"/>
    <s v="NL22RABO0381604934"/>
    <m/>
    <x v="5"/>
    <x v="66"/>
    <d v="2021-04-05T00:00:00"/>
    <d v="2021-04-05T00:00:00"/>
    <n v="-1.0900000000000001"/>
    <n v="1.0900000000000001"/>
    <m/>
    <s v="Spar Enjoy Schatberg SEVENUM"/>
    <x v="1"/>
    <x v="3"/>
    <x v="16"/>
  </r>
  <r>
    <n v="2735"/>
    <s v="NL22RABO0381604934"/>
    <m/>
    <x v="5"/>
    <x v="66"/>
    <d v="2021-04-07T00:00:00"/>
    <d v="2021-04-07T00:00:00"/>
    <n v="-1.89"/>
    <n v="1.89"/>
    <m/>
    <s v="Spar Enjoy Schatberg SEVENUM"/>
    <x v="1"/>
    <x v="3"/>
    <x v="16"/>
  </r>
  <r>
    <n v="2736"/>
    <s v="NL22RABO0381604934"/>
    <m/>
    <x v="5"/>
    <x v="66"/>
    <d v="2021-04-08T00:00:00"/>
    <d v="2021-04-08T00:00:00"/>
    <n v="-30.69"/>
    <n v="30.69"/>
    <m/>
    <s v="Lidl 475 Panningen PANNINGEN"/>
    <x v="1"/>
    <x v="3"/>
    <x v="16"/>
  </r>
  <r>
    <n v="2737"/>
    <s v="NL22RABO0381604934"/>
    <m/>
    <x v="5"/>
    <x v="66"/>
    <d v="2021-04-09T00:00:00"/>
    <d v="2021-04-09T00:00:00"/>
    <n v="-21.46"/>
    <n v="21.46"/>
    <m/>
    <s v="Jumbo Panningen PANNINGEN"/>
    <x v="1"/>
    <x v="3"/>
    <x v="16"/>
  </r>
  <r>
    <n v="2738"/>
    <s v="NL22RABO0381604934"/>
    <m/>
    <x v="5"/>
    <x v="66"/>
    <d v="2021-04-09T00:00:00"/>
    <d v="2021-04-09T00:00:00"/>
    <n v="-0.35"/>
    <n v="0.35"/>
    <m/>
    <s v="Jumbo Panningen PANNINGEN"/>
    <x v="1"/>
    <x v="3"/>
    <x v="16"/>
  </r>
  <r>
    <n v="2742"/>
    <s v="NL22RABO0381604934"/>
    <m/>
    <x v="5"/>
    <x v="66"/>
    <d v="2021-04-15T00:00:00"/>
    <d v="2021-04-15T00:00:00"/>
    <n v="-26.38"/>
    <n v="26.38"/>
    <m/>
    <s v="ALDI 022 SEVENUM"/>
    <x v="1"/>
    <x v="3"/>
    <x v="16"/>
  </r>
  <r>
    <n v="2746"/>
    <s v="NL22RABO0381604934"/>
    <m/>
    <x v="5"/>
    <x v="66"/>
    <d v="2021-04-20T00:00:00"/>
    <d v="2021-04-20T00:00:00"/>
    <n v="-0.85"/>
    <n v="0.85"/>
    <m/>
    <s v="Spar Enjoy Schatberg SEVENUM"/>
    <x v="1"/>
    <x v="3"/>
    <x v="16"/>
  </r>
  <r>
    <n v="2748"/>
    <s v="NL22RABO0381604934"/>
    <m/>
    <x v="5"/>
    <x v="66"/>
    <d v="2021-04-21T00:00:00"/>
    <d v="2021-04-21T00:00:00"/>
    <n v="-2.34"/>
    <n v="2.34"/>
    <m/>
    <s v="Spar Enjoy Schatberg SEVENUM"/>
    <x v="1"/>
    <x v="3"/>
    <x v="16"/>
  </r>
  <r>
    <n v="2751"/>
    <s v="NL22RABO0381604934"/>
    <m/>
    <x v="5"/>
    <x v="66"/>
    <d v="2021-04-24T00:00:00"/>
    <d v="2021-04-24T00:00:00"/>
    <n v="-1.94"/>
    <n v="1.94"/>
    <m/>
    <s v="Spar Enjoy Schatberg SEVENUM"/>
    <x v="1"/>
    <x v="3"/>
    <x v="16"/>
  </r>
  <r>
    <n v="2752"/>
    <s v="NL22RABO0381604934"/>
    <m/>
    <x v="5"/>
    <x v="66"/>
    <d v="2021-04-24T00:00:00"/>
    <d v="2021-04-24T00:00:00"/>
    <n v="-5.55"/>
    <n v="5.55"/>
    <m/>
    <s v="Spar Enjoy Schatberg SEVENUM"/>
    <x v="1"/>
    <x v="3"/>
    <x v="16"/>
  </r>
  <r>
    <n v="2753"/>
    <s v="NL22RABO0381604934"/>
    <m/>
    <x v="5"/>
    <x v="66"/>
    <d v="2021-04-24T00:00:00"/>
    <d v="2021-04-24T00:00:00"/>
    <n v="-2.29"/>
    <n v="2.29"/>
    <m/>
    <s v="Spar Enjoy Schatberg SEVENUM"/>
    <x v="1"/>
    <x v="3"/>
    <x v="16"/>
  </r>
  <r>
    <n v="2755"/>
    <s v="NL22RABO0381604934"/>
    <m/>
    <x v="5"/>
    <x v="66"/>
    <d v="2021-04-25T00:00:00"/>
    <d v="2021-04-25T00:00:00"/>
    <n v="-26.14"/>
    <n v="26.14"/>
    <m/>
    <s v="Lidl 475 Panningen PANNINGEN"/>
    <x v="1"/>
    <x v="3"/>
    <x v="16"/>
  </r>
  <r>
    <n v="2756"/>
    <s v="NL22RABO0381604934"/>
    <m/>
    <x v="5"/>
    <x v="66"/>
    <d v="2021-04-25T00:00:00"/>
    <d v="2021-04-25T00:00:00"/>
    <n v="-1.29"/>
    <n v="1.29"/>
    <m/>
    <s v="Spar Enjoy Schatberg SEVENUM"/>
    <x v="1"/>
    <x v="3"/>
    <x v="16"/>
  </r>
  <r>
    <n v="2758"/>
    <s v="NL22RABO0381604934"/>
    <m/>
    <x v="5"/>
    <x v="66"/>
    <d v="2021-04-26T00:00:00"/>
    <d v="2021-04-26T00:00:00"/>
    <n v="-1.39"/>
    <n v="1.39"/>
    <m/>
    <s v="Spar Enjoy Schatberg SEVENUM"/>
    <x v="1"/>
    <x v="3"/>
    <x v="16"/>
  </r>
  <r>
    <n v="2760"/>
    <s v="NL22RABO0381604934"/>
    <m/>
    <x v="5"/>
    <x v="66"/>
    <d v="2021-04-28T00:00:00"/>
    <d v="2021-04-28T00:00:00"/>
    <n v="-1.68"/>
    <n v="1.68"/>
    <m/>
    <s v="JL Panningen PANNINGEN"/>
    <x v="1"/>
    <x v="3"/>
    <x v="16"/>
  </r>
  <r>
    <n v="2763"/>
    <s v="NL22RABO0381604934"/>
    <m/>
    <x v="5"/>
    <x v="66"/>
    <d v="2021-04-28T00:00:00"/>
    <d v="2021-04-28T00:00:00"/>
    <n v="-21.81"/>
    <n v="21.81"/>
    <m/>
    <s v="Jumbo Panningen PANNINGEN"/>
    <x v="1"/>
    <x v="3"/>
    <x v="16"/>
  </r>
  <r>
    <n v="2764"/>
    <s v="NL22RABO0381604934"/>
    <m/>
    <x v="5"/>
    <x v="66"/>
    <d v="2021-04-28T00:00:00"/>
    <d v="2021-04-28T00:00:00"/>
    <n v="-3.36"/>
    <n v="3.36"/>
    <m/>
    <s v="Spar Enjoy Schatberg SEVENUM"/>
    <x v="1"/>
    <x v="3"/>
    <x v="16"/>
  </r>
  <r>
    <n v="2765"/>
    <s v="NL22RABO0381604934"/>
    <m/>
    <x v="5"/>
    <x v="66"/>
    <d v="2021-04-29T00:00:00"/>
    <d v="2021-04-29T00:00:00"/>
    <n v="-0.99"/>
    <n v="0.99"/>
    <m/>
    <s v="Spar Enjoy Schatberg SEVENUM"/>
    <x v="1"/>
    <x v="3"/>
    <x v="16"/>
  </r>
  <r>
    <n v="2766"/>
    <s v="NL22RABO0381604934"/>
    <m/>
    <x v="5"/>
    <x v="67"/>
    <d v="2021-05-01T00:00:00"/>
    <d v="2021-05-01T00:00:00"/>
    <n v="-0.65"/>
    <n v="0.65"/>
    <m/>
    <s v="Spar Enjoy Schatberg SEVENUM"/>
    <x v="1"/>
    <x v="3"/>
    <x v="16"/>
  </r>
  <r>
    <n v="2769"/>
    <s v="NL22RABO0381604934"/>
    <m/>
    <x v="5"/>
    <x v="67"/>
    <d v="2021-05-03T00:00:00"/>
    <d v="2021-05-03T00:00:00"/>
    <n v="-0.99"/>
    <n v="0.99"/>
    <m/>
    <s v="Spar Enjoy Schatberg SEVENUM"/>
    <x v="1"/>
    <x v="3"/>
    <x v="16"/>
  </r>
  <r>
    <n v="2774"/>
    <s v="NL22RABO0381604934"/>
    <m/>
    <x v="5"/>
    <x v="67"/>
    <d v="2021-05-04T00:00:00"/>
    <d v="2021-05-04T00:00:00"/>
    <n v="-1.65"/>
    <n v="1.65"/>
    <m/>
    <s v="Spar Enjoy Schatberg SEVENUM"/>
    <x v="1"/>
    <x v="3"/>
    <x v="16"/>
  </r>
  <r>
    <n v="2775"/>
    <s v="NL22RABO0381604934"/>
    <m/>
    <x v="5"/>
    <x v="67"/>
    <d v="2021-05-05T00:00:00"/>
    <d v="2021-05-05T00:00:00"/>
    <n v="-2.5299999999999998"/>
    <n v="2.5299999999999998"/>
    <m/>
    <s v="Spar Enjoy Schatberg SEVENUM"/>
    <x v="1"/>
    <x v="3"/>
    <x v="16"/>
  </r>
  <r>
    <n v="2776"/>
    <s v="NL22RABO0381604934"/>
    <m/>
    <x v="5"/>
    <x v="67"/>
    <d v="2021-05-06T00:00:00"/>
    <d v="2021-05-06T00:00:00"/>
    <n v="-17.8"/>
    <n v="17.8"/>
    <m/>
    <s v="Jumbo PhicoopSevenum SEVENUM"/>
    <x v="1"/>
    <x v="3"/>
    <x v="16"/>
  </r>
  <r>
    <n v="2777"/>
    <s v="NL22RABO0381604934"/>
    <m/>
    <x v="5"/>
    <x v="67"/>
    <d v="2021-05-08T00:00:00"/>
    <d v="2021-05-08T00:00:00"/>
    <n v="-0.95"/>
    <n v="0.95"/>
    <m/>
    <s v="Spar Enjoy Schatberg SEVENUM"/>
    <x v="1"/>
    <x v="3"/>
    <x v="16"/>
  </r>
  <r>
    <n v="2778"/>
    <s v="NL22RABO0381604934"/>
    <m/>
    <x v="5"/>
    <x v="67"/>
    <d v="2021-05-11T00:00:00"/>
    <d v="2021-05-11T00:00:00"/>
    <n v="-7.93"/>
    <n v="7.93"/>
    <m/>
    <s v="Spar Enjoy Schatberg SEVENUM"/>
    <x v="1"/>
    <x v="3"/>
    <x v="16"/>
  </r>
  <r>
    <n v="2780"/>
    <s v="NL22RABO0381604934"/>
    <m/>
    <x v="5"/>
    <x v="67"/>
    <d v="2021-05-14T00:00:00"/>
    <d v="2021-05-14T00:00:00"/>
    <n v="-1.9"/>
    <n v="1.9"/>
    <m/>
    <s v="Spar Enjoy Schatberg SEVENUM"/>
    <x v="1"/>
    <x v="3"/>
    <x v="16"/>
  </r>
  <r>
    <n v="2782"/>
    <s v="NL22RABO0381604934"/>
    <m/>
    <x v="5"/>
    <x v="67"/>
    <d v="2021-05-15T00:00:00"/>
    <d v="2021-05-15T00:00:00"/>
    <n v="-58.06"/>
    <n v="58.06"/>
    <m/>
    <s v="Jumbo PhicoopSevenum SEVENUM"/>
    <x v="1"/>
    <x v="3"/>
    <x v="16"/>
  </r>
  <r>
    <n v="2783"/>
    <s v="NL22RABO0381604934"/>
    <m/>
    <x v="5"/>
    <x v="67"/>
    <d v="2021-05-15T00:00:00"/>
    <d v="2021-05-15T00:00:00"/>
    <n v="-2.95"/>
    <n v="2.95"/>
    <m/>
    <s v="Jumbo PhicoopSevenum SEVENUM"/>
    <x v="1"/>
    <x v="3"/>
    <x v="16"/>
  </r>
  <r>
    <n v="2785"/>
    <s v="NL22RABO0381604934"/>
    <m/>
    <x v="5"/>
    <x v="67"/>
    <d v="2021-05-18T00:00:00"/>
    <d v="2021-05-18T00:00:00"/>
    <n v="-10.28"/>
    <n v="10.28"/>
    <m/>
    <s v="ALDI 022 SEVENUM"/>
    <x v="1"/>
    <x v="3"/>
    <x v="16"/>
  </r>
  <r>
    <n v="2787"/>
    <s v="NL22RABO0381604934"/>
    <m/>
    <x v="5"/>
    <x v="67"/>
    <d v="2021-05-18T00:00:00"/>
    <d v="2021-05-18T00:00:00"/>
    <n v="-4.01"/>
    <n v="4.01"/>
    <m/>
    <s v="Jumbo PhicoopSevenum SEVENUM"/>
    <x v="1"/>
    <x v="3"/>
    <x v="16"/>
  </r>
  <r>
    <n v="2793"/>
    <s v="NL22RABO0381604934"/>
    <m/>
    <x v="5"/>
    <x v="67"/>
    <d v="2021-05-20T00:00:00"/>
    <d v="2021-05-20T00:00:00"/>
    <n v="-3.99"/>
    <n v="3.99"/>
    <m/>
    <s v="CCV*COCAGNE PANNINGEN"/>
    <x v="1"/>
    <x v="3"/>
    <x v="16"/>
  </r>
  <r>
    <n v="2795"/>
    <s v="NL22RABO0381604934"/>
    <m/>
    <x v="5"/>
    <x v="67"/>
    <d v="2021-05-21T00:00:00"/>
    <d v="2021-05-21T00:00:00"/>
    <n v="-5.14"/>
    <n v="5.14"/>
    <m/>
    <s v="Spar Enjoy Schatberg SEVENUM"/>
    <x v="1"/>
    <x v="3"/>
    <x v="16"/>
  </r>
  <r>
    <n v="2797"/>
    <s v="NL22RABO0381604934"/>
    <m/>
    <x v="5"/>
    <x v="67"/>
    <d v="2021-05-22T00:00:00"/>
    <d v="2021-05-22T00:00:00"/>
    <n v="-4.9000000000000004"/>
    <n v="4.9000000000000004"/>
    <m/>
    <s v="Spar Enjoy Schatberg SEVENUM"/>
    <x v="1"/>
    <x v="3"/>
    <x v="16"/>
  </r>
  <r>
    <n v="2798"/>
    <s v="NL22RABO0381604934"/>
    <m/>
    <x v="5"/>
    <x v="67"/>
    <d v="2021-05-24T00:00:00"/>
    <d v="2021-05-24T00:00:00"/>
    <n v="-1.84"/>
    <n v="1.84"/>
    <m/>
    <s v="Spar Enjoy Schatberg SEVENUM"/>
    <x v="1"/>
    <x v="3"/>
    <x v="16"/>
  </r>
  <r>
    <n v="2799"/>
    <s v="NL22RABO0381604934"/>
    <m/>
    <x v="5"/>
    <x v="67"/>
    <d v="2021-05-25T00:00:00"/>
    <d v="2021-05-25T00:00:00"/>
    <n v="-2.7"/>
    <n v="2.7"/>
    <m/>
    <s v="Spar Enjoy Schatberg SEVENUM"/>
    <x v="1"/>
    <x v="3"/>
    <x v="16"/>
  </r>
  <r>
    <n v="2801"/>
    <s v="NL22RABO0381604934"/>
    <m/>
    <x v="5"/>
    <x v="67"/>
    <d v="2021-05-26T00:00:00"/>
    <d v="2021-05-26T00:00:00"/>
    <n v="-1.94"/>
    <n v="1.94"/>
    <m/>
    <s v="Spar Enjoy Schatberg SEVENUM"/>
    <x v="1"/>
    <x v="3"/>
    <x v="16"/>
  </r>
  <r>
    <n v="2804"/>
    <s v="NL22RABO0381604934"/>
    <m/>
    <x v="5"/>
    <x v="67"/>
    <d v="2021-05-29T00:00:00"/>
    <d v="2021-05-29T00:00:00"/>
    <n v="-1.65"/>
    <n v="1.65"/>
    <m/>
    <s v="Spar Enjoy Schatberg SEVENUM"/>
    <x v="1"/>
    <x v="3"/>
    <x v="16"/>
  </r>
  <r>
    <n v="2810"/>
    <s v="NL22RABO0381604934"/>
    <m/>
    <x v="5"/>
    <x v="67"/>
    <d v="2021-05-31T00:00:00"/>
    <d v="2021-05-31T00:00:00"/>
    <n v="-8.9600000000000009"/>
    <n v="8.9600000000000009"/>
    <m/>
    <s v="SEP*Vmarkt Arnhem Utrecht"/>
    <x v="1"/>
    <x v="3"/>
    <x v="16"/>
  </r>
  <r>
    <n v="2811"/>
    <s v="NL22RABO0381604934"/>
    <m/>
    <x v="5"/>
    <x v="67"/>
    <d v="2021-05-31T00:00:00"/>
    <d v="2021-05-31T00:00:00"/>
    <n v="-2.19"/>
    <n v="2.19"/>
    <m/>
    <s v="ALBERT HEIJN 1878 ARNHEM"/>
    <x v="1"/>
    <x v="3"/>
    <x v="16"/>
  </r>
  <r>
    <n v="2813"/>
    <s v="NL22RABO0381604934"/>
    <m/>
    <x v="5"/>
    <x v="67"/>
    <d v="2021-05-31T00:00:00"/>
    <d v="2021-05-31T00:00:00"/>
    <n v="-3.79"/>
    <n v="3.79"/>
    <m/>
    <s v="ALBERT HEIJN 1101 ARNHEM"/>
    <x v="1"/>
    <x v="3"/>
    <x v="16"/>
  </r>
  <r>
    <n v="2815"/>
    <s v="NL22RABO0381604934"/>
    <m/>
    <x v="5"/>
    <x v="67"/>
    <d v="2021-05-31T00:00:00"/>
    <d v="2021-05-31T00:00:00"/>
    <n v="-1.1399999999999999"/>
    <n v="1.1399999999999999"/>
    <m/>
    <s v="ALBERT HEIJN 1878 ARNHEM"/>
    <x v="1"/>
    <x v="3"/>
    <x v="16"/>
  </r>
  <r>
    <n v="2821"/>
    <s v="NL22RABO0381604934"/>
    <m/>
    <x v="5"/>
    <x v="68"/>
    <d v="2021-06-03T00:00:00"/>
    <d v="2021-06-03T00:00:00"/>
    <n v="-5.22"/>
    <n v="5.22"/>
    <m/>
    <s v="Spar Enjoy Schatberg SEVENUM"/>
    <x v="1"/>
    <x v="3"/>
    <x v="16"/>
  </r>
  <r>
    <n v="2822"/>
    <s v="NL22RABO0381604934"/>
    <m/>
    <x v="5"/>
    <x v="68"/>
    <d v="2021-06-05T00:00:00"/>
    <d v="2021-06-05T00:00:00"/>
    <n v="-2.25"/>
    <n v="2.25"/>
    <m/>
    <s v="Spar Enjoy Schatberg SEVENUM"/>
    <x v="1"/>
    <x v="3"/>
    <x v="16"/>
  </r>
  <r>
    <n v="2823"/>
    <s v="NL22RABO0381604934"/>
    <m/>
    <x v="5"/>
    <x v="68"/>
    <d v="2021-06-05T00:00:00"/>
    <d v="2021-06-05T00:00:00"/>
    <n v="-2.4900000000000002"/>
    <n v="2.4900000000000002"/>
    <m/>
    <s v="Spar Enjoy Schatberg SEVENUM"/>
    <x v="1"/>
    <x v="3"/>
    <x v="16"/>
  </r>
  <r>
    <n v="2826"/>
    <s v="NL22RABO0381604934"/>
    <m/>
    <x v="5"/>
    <x v="68"/>
    <d v="2021-06-06T00:00:00"/>
    <d v="2021-06-06T00:00:00"/>
    <n v="-18.38"/>
    <n v="18.38"/>
    <m/>
    <s v="Jumbo Panningen PANNINGEN"/>
    <x v="1"/>
    <x v="3"/>
    <x v="16"/>
  </r>
  <r>
    <n v="2827"/>
    <s v="NL22RABO0381604934"/>
    <m/>
    <x v="5"/>
    <x v="68"/>
    <d v="2021-06-07T00:00:00"/>
    <d v="2021-06-07T00:00:00"/>
    <n v="-50.12"/>
    <n v="50.12"/>
    <m/>
    <s v="Lidl 475 Panningen PANNINGEN"/>
    <x v="1"/>
    <x v="3"/>
    <x v="16"/>
  </r>
  <r>
    <n v="2828"/>
    <s v="NL22RABO0381604934"/>
    <m/>
    <x v="5"/>
    <x v="68"/>
    <d v="2021-06-07T00:00:00"/>
    <d v="2021-06-07T00:00:00"/>
    <n v="-3.38"/>
    <n v="3.38"/>
    <m/>
    <s v="Polish Supermarkt Pann OSS"/>
    <x v="1"/>
    <x v="3"/>
    <x v="16"/>
  </r>
  <r>
    <n v="2834"/>
    <s v="NL22RABO0381604934"/>
    <m/>
    <x v="5"/>
    <x v="68"/>
    <d v="2021-06-09T00:00:00"/>
    <d v="2021-06-09T00:00:00"/>
    <n v="-7.56"/>
    <n v="7.56"/>
    <m/>
    <s v="ALBERT HEIJN 1878 ARNHEM"/>
    <x v="1"/>
    <x v="3"/>
    <x v="16"/>
  </r>
  <r>
    <n v="2835"/>
    <s v="NL22RABO0381604934"/>
    <m/>
    <x v="5"/>
    <x v="68"/>
    <d v="2021-06-09T00:00:00"/>
    <d v="2021-06-09T00:00:00"/>
    <n v="-0.75"/>
    <n v="0.75"/>
    <m/>
    <s v="ALBERT HEIJN 1878 ARNHEM"/>
    <x v="1"/>
    <x v="3"/>
    <x v="16"/>
  </r>
  <r>
    <n v="2845"/>
    <s v="NL22RABO0381604934"/>
    <m/>
    <x v="5"/>
    <x v="68"/>
    <d v="2021-06-14T00:00:00"/>
    <d v="2021-06-14T00:00:00"/>
    <n v="-1.85"/>
    <n v="1.85"/>
    <m/>
    <s v="SPAR Arnhem Koningstra ARNHEM"/>
    <x v="1"/>
    <x v="3"/>
    <x v="16"/>
  </r>
  <r>
    <n v="2846"/>
    <s v="NL22RABO0381604934"/>
    <m/>
    <x v="5"/>
    <x v="68"/>
    <d v="2021-06-14T00:00:00"/>
    <d v="2021-06-14T00:00:00"/>
    <n v="-6.03"/>
    <n v="6.03"/>
    <m/>
    <s v="SEP*Vmarkt Arnhem Utrecht"/>
    <x v="1"/>
    <x v="3"/>
    <x v="16"/>
  </r>
  <r>
    <n v="2850"/>
    <s v="NL22RABO0381604934"/>
    <m/>
    <x v="5"/>
    <x v="68"/>
    <d v="2021-06-16T00:00:00"/>
    <d v="2021-06-16T00:00:00"/>
    <n v="-3.9"/>
    <n v="3.9"/>
    <m/>
    <s v="Spar Enjoy Schatberg SEVENUM"/>
    <x v="1"/>
    <x v="3"/>
    <x v="16"/>
  </r>
  <r>
    <n v="2851"/>
    <s v="NL22RABO0381604934"/>
    <m/>
    <x v="5"/>
    <x v="68"/>
    <d v="2021-06-17T00:00:00"/>
    <d v="2021-06-17T00:00:00"/>
    <n v="-1.64"/>
    <n v="1.64"/>
    <m/>
    <s v="Spar Enjoy Schatberg SEVENUM"/>
    <x v="1"/>
    <x v="3"/>
    <x v="16"/>
  </r>
  <r>
    <n v="2853"/>
    <s v="NL22RABO0381604934"/>
    <m/>
    <x v="5"/>
    <x v="68"/>
    <d v="2021-06-18T00:00:00"/>
    <d v="2021-06-18T00:00:00"/>
    <n v="-2.9"/>
    <n v="2.9"/>
    <m/>
    <s v="Spar Enjoy Schatberg SEVENUM"/>
    <x v="1"/>
    <x v="3"/>
    <x v="16"/>
  </r>
  <r>
    <n v="2854"/>
    <s v="NL22RABO0381604934"/>
    <m/>
    <x v="5"/>
    <x v="68"/>
    <d v="2021-06-19T00:00:00"/>
    <d v="2021-06-19T00:00:00"/>
    <n v="-1.75"/>
    <n v="1.75"/>
    <m/>
    <s v="Spar Enjoy Schatberg SEVENUM"/>
    <x v="1"/>
    <x v="3"/>
    <x v="16"/>
  </r>
  <r>
    <n v="2855"/>
    <s v="NL22RABO0381604934"/>
    <m/>
    <x v="5"/>
    <x v="68"/>
    <d v="2021-06-20T00:00:00"/>
    <d v="2021-06-20T00:00:00"/>
    <n v="-0.99"/>
    <n v="0.99"/>
    <m/>
    <s v="Spar Enjoy Schatberg SEVENUM"/>
    <x v="1"/>
    <x v="3"/>
    <x v="16"/>
  </r>
  <r>
    <n v="2859"/>
    <s v="NL22RABO0381604934"/>
    <m/>
    <x v="5"/>
    <x v="68"/>
    <d v="2021-06-22T00:00:00"/>
    <d v="2021-06-22T00:00:00"/>
    <n v="-2.9"/>
    <n v="2.9"/>
    <m/>
    <s v="Spar Enjoy Schatberg SEVENUM"/>
    <x v="1"/>
    <x v="3"/>
    <x v="16"/>
  </r>
  <r>
    <n v="2860"/>
    <s v="NL22RABO0381604934"/>
    <m/>
    <x v="5"/>
    <x v="68"/>
    <d v="2021-06-23T00:00:00"/>
    <d v="2021-06-23T00:00:00"/>
    <n v="-1.05"/>
    <n v="1.05"/>
    <m/>
    <s v="Spar Enjoy Schatberg SEVENUM"/>
    <x v="1"/>
    <x v="3"/>
    <x v="16"/>
  </r>
  <r>
    <n v="2863"/>
    <s v="NL22RABO0381604934"/>
    <m/>
    <x v="5"/>
    <x v="68"/>
    <d v="2021-06-24T00:00:00"/>
    <d v="2021-06-24T00:00:00"/>
    <n v="-28.36"/>
    <n v="28.36"/>
    <m/>
    <s v="Jumbo Panningen PANNINGEN"/>
    <x v="1"/>
    <x v="3"/>
    <x v="16"/>
  </r>
  <r>
    <n v="2866"/>
    <s v="NL22RABO0381604934"/>
    <m/>
    <x v="5"/>
    <x v="68"/>
    <d v="2021-06-27T00:00:00"/>
    <d v="2021-06-27T00:00:00"/>
    <n v="-2"/>
    <n v="2"/>
    <m/>
    <s v="Spar Enjoy Schatberg SEVENUM"/>
    <x v="1"/>
    <x v="3"/>
    <x v="16"/>
  </r>
  <r>
    <n v="2867"/>
    <s v="NL22RABO0381604934"/>
    <m/>
    <x v="5"/>
    <x v="68"/>
    <d v="2021-06-28T00:00:00"/>
    <d v="2021-06-28T00:00:00"/>
    <n v="-36.93"/>
    <n v="36.93"/>
    <m/>
    <s v="Lidl 475 Panningen PANNINGEN"/>
    <x v="1"/>
    <x v="3"/>
    <x v="16"/>
  </r>
  <r>
    <n v="2870"/>
    <s v="NL22RABO0381604934"/>
    <m/>
    <x v="5"/>
    <x v="68"/>
    <d v="2021-06-29T00:00:00"/>
    <d v="2021-06-29T00:00:00"/>
    <n v="-4.5"/>
    <n v="4.5"/>
    <m/>
    <s v="Spar Enjoy Schatberg SEVENUM"/>
    <x v="1"/>
    <x v="3"/>
    <x v="16"/>
  </r>
  <r>
    <n v="2875"/>
    <s v="NL22RABO0381604934"/>
    <m/>
    <x v="5"/>
    <x v="69"/>
    <d v="2021-07-01T00:00:00"/>
    <d v="2021-07-01T00:00:00"/>
    <n v="-3.57"/>
    <n v="3.57"/>
    <m/>
    <s v="MARKET BERTRIX 0000100010001 BEL"/>
    <x v="1"/>
    <x v="3"/>
    <x v="16"/>
  </r>
  <r>
    <n v="2879"/>
    <s v="NL22RABO0381604934"/>
    <m/>
    <x v="5"/>
    <x v="69"/>
    <d v="2021-07-03T00:00:00"/>
    <d v="2021-07-03T00:00:00"/>
    <n v="-2.33"/>
    <n v="2.33"/>
    <m/>
    <s v="MARKET BERTRIX 0000100010001 BEL"/>
    <x v="1"/>
    <x v="3"/>
    <x v="16"/>
  </r>
  <r>
    <n v="2886"/>
    <s v="NL22RABO0381604934"/>
    <m/>
    <x v="5"/>
    <x v="69"/>
    <d v="2021-07-06T00:00:00"/>
    <d v="2021-07-06T00:00:00"/>
    <n v="-21.81"/>
    <n v="21.81"/>
    <m/>
    <s v="Jumbo Panningen PANNINGEN"/>
    <x v="1"/>
    <x v="3"/>
    <x v="16"/>
  </r>
  <r>
    <n v="2887"/>
    <s v="NL22RABO0381604934"/>
    <m/>
    <x v="5"/>
    <x v="69"/>
    <d v="2021-07-07T00:00:00"/>
    <d v="2021-07-07T00:00:00"/>
    <n v="2.99"/>
    <n v="2.99"/>
    <s v="NL13ABNA0506417344"/>
    <s v="AAB RETAIL INZ TIKKIE"/>
    <x v="1"/>
    <x v="3"/>
    <x v="16"/>
  </r>
  <r>
    <n v="2888"/>
    <s v="NL22RABO0381604934"/>
    <m/>
    <x v="5"/>
    <x v="69"/>
    <d v="2021-07-07T00:00:00"/>
    <d v="2021-07-07T00:00:00"/>
    <n v="-0.95"/>
    <n v="0.95"/>
    <m/>
    <s v="Spar Enjoy Schatberg SEVENUM"/>
    <x v="1"/>
    <x v="3"/>
    <x v="16"/>
  </r>
  <r>
    <n v="2889"/>
    <s v="NL22RABO0381604934"/>
    <m/>
    <x v="5"/>
    <x v="69"/>
    <d v="2021-07-09T00:00:00"/>
    <d v="2021-07-09T00:00:00"/>
    <n v="-1.75"/>
    <n v="1.75"/>
    <m/>
    <s v="Spar Enjoy Schatberg SEVENUM"/>
    <x v="1"/>
    <x v="3"/>
    <x v="16"/>
  </r>
  <r>
    <n v="2890"/>
    <s v="NL22RABO0381604934"/>
    <m/>
    <x v="5"/>
    <x v="69"/>
    <d v="2021-07-11T00:00:00"/>
    <d v="2021-07-11T00:00:00"/>
    <n v="-29.06"/>
    <n v="29.06"/>
    <m/>
    <s v="Lidl 475 Panningen PANNINGEN"/>
    <x v="1"/>
    <x v="3"/>
    <x v="16"/>
  </r>
  <r>
    <n v="2891"/>
    <s v="NL22RABO0381604934"/>
    <m/>
    <x v="5"/>
    <x v="69"/>
    <d v="2021-07-11T00:00:00"/>
    <d v="2021-07-11T00:00:00"/>
    <n v="-1.99"/>
    <n v="1.99"/>
    <m/>
    <s v="Polish Supermarkt Pann OSS"/>
    <x v="1"/>
    <x v="3"/>
    <x v="16"/>
  </r>
  <r>
    <n v="2892"/>
    <s v="NL22RABO0381604934"/>
    <m/>
    <x v="5"/>
    <x v="69"/>
    <d v="2021-07-14T00:00:00"/>
    <d v="2021-07-14T00:00:00"/>
    <n v="-5.35"/>
    <n v="5.35"/>
    <m/>
    <s v="Spar Enjoy Schatberg SEVENUM"/>
    <x v="1"/>
    <x v="3"/>
    <x v="16"/>
  </r>
  <r>
    <n v="2898"/>
    <s v="NL22RABO0381604934"/>
    <m/>
    <x v="5"/>
    <x v="69"/>
    <d v="2021-07-18T00:00:00"/>
    <d v="2021-07-18T00:00:00"/>
    <n v="-1.49"/>
    <n v="1.49"/>
    <m/>
    <s v="Spar Enjoy Schatberg SEVENUM"/>
    <x v="1"/>
    <x v="3"/>
    <x v="16"/>
  </r>
  <r>
    <n v="2899"/>
    <s v="NL22RABO0381604934"/>
    <m/>
    <x v="5"/>
    <x v="69"/>
    <d v="2021-07-19T00:00:00"/>
    <d v="2021-07-19T00:00:00"/>
    <n v="-3.1"/>
    <n v="3.1"/>
    <m/>
    <s v="Spar Enjoy Schatberg SEVENUM"/>
    <x v="1"/>
    <x v="3"/>
    <x v="16"/>
  </r>
  <r>
    <n v="2903"/>
    <s v="NL22RABO0381604934"/>
    <m/>
    <x v="5"/>
    <x v="69"/>
    <d v="2021-07-20T00:00:00"/>
    <d v="2021-07-20T00:00:00"/>
    <n v="-11.1"/>
    <n v="11.1"/>
    <m/>
    <s v="ALDI 022 SEVENUM"/>
    <x v="1"/>
    <x v="3"/>
    <x v="16"/>
  </r>
  <r>
    <n v="2904"/>
    <s v="NL22RABO0381604934"/>
    <m/>
    <x v="5"/>
    <x v="69"/>
    <d v="2021-07-20T00:00:00"/>
    <d v="2021-07-20T00:00:00"/>
    <n v="-10.039999999999999"/>
    <n v="10.039999999999999"/>
    <m/>
    <s v="Jumbo PhicoopSevenum SEVENUM"/>
    <x v="1"/>
    <x v="3"/>
    <x v="16"/>
  </r>
  <r>
    <n v="2907"/>
    <s v="NL22RABO0381604934"/>
    <m/>
    <x v="5"/>
    <x v="69"/>
    <d v="2021-07-24T00:00:00"/>
    <d v="2021-07-24T00:00:00"/>
    <n v="-0.99"/>
    <n v="0.99"/>
    <m/>
    <s v="Spar Enjoy Schatberg SEVENUM"/>
    <x v="1"/>
    <x v="3"/>
    <x v="16"/>
  </r>
  <r>
    <n v="2910"/>
    <s v="NL22RABO0381604934"/>
    <m/>
    <x v="5"/>
    <x v="69"/>
    <d v="2021-07-26T00:00:00"/>
    <d v="2021-07-26T00:00:00"/>
    <n v="-1.65"/>
    <n v="1.65"/>
    <m/>
    <s v="Spar Enjoy Schatberg SEVENUM"/>
    <x v="1"/>
    <x v="3"/>
    <x v="16"/>
  </r>
  <r>
    <n v="2911"/>
    <s v="NL22RABO0381604934"/>
    <m/>
    <x v="5"/>
    <x v="69"/>
    <d v="2021-07-27T00:00:00"/>
    <d v="2021-07-27T00:00:00"/>
    <n v="-1.45"/>
    <n v="1.45"/>
    <m/>
    <s v="Spar Enjoy Schatberg SEVENUM"/>
    <x v="1"/>
    <x v="3"/>
    <x v="16"/>
  </r>
  <r>
    <n v="2913"/>
    <s v="NL22RABO0381604934"/>
    <m/>
    <x v="5"/>
    <x v="69"/>
    <d v="2021-07-28T00:00:00"/>
    <d v="2021-07-28T00:00:00"/>
    <n v="-30.71"/>
    <n v="30.71"/>
    <m/>
    <s v="ALDI 022 SEVENUM"/>
    <x v="1"/>
    <x v="3"/>
    <x v="16"/>
  </r>
  <r>
    <n v="2915"/>
    <s v="NL22RABO0381604934"/>
    <m/>
    <x v="5"/>
    <x v="69"/>
    <d v="2021-07-28T00:00:00"/>
    <d v="2021-07-28T00:00:00"/>
    <n v="-9.49"/>
    <n v="9.49"/>
    <m/>
    <s v="Kruidvat 3123 PANNINGEN"/>
    <x v="1"/>
    <x v="3"/>
    <x v="17"/>
  </r>
  <r>
    <n v="2917"/>
    <s v="NL22RABO0381604934"/>
    <m/>
    <x v="5"/>
    <x v="69"/>
    <d v="2021-07-28T00:00:00"/>
    <d v="2021-07-28T00:00:00"/>
    <n v="-16.079999999999998"/>
    <n v="16.079999999999998"/>
    <m/>
    <s v="Jumbo Panningen PANNINGEN"/>
    <x v="1"/>
    <x v="3"/>
    <x v="16"/>
  </r>
  <r>
    <n v="2923"/>
    <s v="NL22RABO0381604934"/>
    <m/>
    <x v="5"/>
    <x v="70"/>
    <d v="2021-08-06T00:00:00"/>
    <d v="2021-08-06T00:00:00"/>
    <n v="-23.39"/>
    <n v="23.39"/>
    <m/>
    <s v="Lidl 475 Panningen PANNINGEN"/>
    <x v="1"/>
    <x v="3"/>
    <x v="16"/>
  </r>
  <r>
    <n v="2924"/>
    <s v="NL22RABO0381604934"/>
    <m/>
    <x v="5"/>
    <x v="70"/>
    <d v="2021-08-06T00:00:00"/>
    <d v="2021-08-06T00:00:00"/>
    <n v="-4.99"/>
    <n v="4.99"/>
    <m/>
    <s v="Jumbo Panningen PANNINGEN"/>
    <x v="1"/>
    <x v="3"/>
    <x v="16"/>
  </r>
  <r>
    <n v="2925"/>
    <s v="NL22RABO0381604934"/>
    <m/>
    <x v="5"/>
    <x v="70"/>
    <d v="2021-08-06T00:00:00"/>
    <d v="2021-08-06T00:00:00"/>
    <n v="-0.95"/>
    <n v="0.95"/>
    <m/>
    <s v="Spar Enjoy Schatberg SEVENUM"/>
    <x v="1"/>
    <x v="3"/>
    <x v="16"/>
  </r>
  <r>
    <n v="2926"/>
    <s v="NL22RABO0381604934"/>
    <m/>
    <x v="5"/>
    <x v="70"/>
    <d v="2021-08-11T00:00:00"/>
    <d v="2021-08-11T00:00:00"/>
    <n v="-3.5"/>
    <n v="3.5"/>
    <m/>
    <s v="Spar Enjoy Schatberg SEVENUM"/>
    <x v="1"/>
    <x v="3"/>
    <x v="16"/>
  </r>
  <r>
    <n v="2929"/>
    <s v="NL22RABO0381604934"/>
    <m/>
    <x v="5"/>
    <x v="70"/>
    <d v="2021-08-12T00:00:00"/>
    <d v="2021-08-12T00:00:00"/>
    <n v="-6.62"/>
    <n v="6.62"/>
    <m/>
    <s v="Die 2Bruder VENLO"/>
    <x v="1"/>
    <x v="3"/>
    <x v="16"/>
  </r>
  <r>
    <n v="2932"/>
    <s v="NL22RABO0381604934"/>
    <m/>
    <x v="5"/>
    <x v="70"/>
    <d v="2021-08-14T00:00:00"/>
    <d v="2021-08-14T00:00:00"/>
    <n v="-1.05"/>
    <n v="1.05"/>
    <m/>
    <s v="Spar Enjoy Schatberg SEVENUM"/>
    <x v="1"/>
    <x v="3"/>
    <x v="16"/>
  </r>
  <r>
    <n v="2934"/>
    <s v="NL22RABO0381604934"/>
    <m/>
    <x v="5"/>
    <x v="70"/>
    <d v="2021-08-15T00:00:00"/>
    <d v="2021-08-15T00:00:00"/>
    <n v="-15.98"/>
    <n v="15.98"/>
    <m/>
    <s v="Lidl 475 Panningen PANNINGEN"/>
    <x v="1"/>
    <x v="3"/>
    <x v="16"/>
  </r>
  <r>
    <n v="2935"/>
    <s v="NL22RABO0381604934"/>
    <m/>
    <x v="5"/>
    <x v="70"/>
    <d v="2021-08-15T00:00:00"/>
    <d v="2021-08-15T00:00:00"/>
    <n v="-0.39"/>
    <n v="0.39"/>
    <m/>
    <s v="Polish Supermarkt Pann OSS"/>
    <x v="1"/>
    <x v="3"/>
    <x v="16"/>
  </r>
  <r>
    <n v="2940"/>
    <s v="NL22RABO0381604934"/>
    <m/>
    <x v="5"/>
    <x v="70"/>
    <d v="2021-08-21T00:00:00"/>
    <d v="2021-08-21T00:00:00"/>
    <n v="-2.34"/>
    <n v="2.34"/>
    <m/>
    <s v="Spar Enjoy Schatberg SEVENUM"/>
    <x v="1"/>
    <x v="3"/>
    <x v="16"/>
  </r>
  <r>
    <n v="2941"/>
    <s v="NL22RABO0381604934"/>
    <m/>
    <x v="5"/>
    <x v="70"/>
    <d v="2021-08-21T00:00:00"/>
    <d v="2021-08-21T00:00:00"/>
    <n v="-17.07"/>
    <n v="17.07"/>
    <m/>
    <s v="Jumbo Panningen PANNINGEN"/>
    <x v="1"/>
    <x v="3"/>
    <x v="16"/>
  </r>
  <r>
    <n v="2943"/>
    <s v="NL22RABO0381604934"/>
    <m/>
    <x v="5"/>
    <x v="70"/>
    <d v="2021-08-25T00:00:00"/>
    <d v="2021-08-25T00:00:00"/>
    <n v="-0.89"/>
    <n v="0.89"/>
    <m/>
    <s v="Spar Enjoy Schatberg SEVENUM"/>
    <x v="1"/>
    <x v="3"/>
    <x v="16"/>
  </r>
  <r>
    <n v="2947"/>
    <s v="NL22RABO0381604934"/>
    <m/>
    <x v="5"/>
    <x v="70"/>
    <d v="2021-08-28T00:00:00"/>
    <d v="2021-08-28T00:00:00"/>
    <n v="-5.74"/>
    <n v="5.74"/>
    <m/>
    <s v="Spar Enjoy Schatberg SEVENUM"/>
    <x v="1"/>
    <x v="3"/>
    <x v="16"/>
  </r>
  <r>
    <n v="2948"/>
    <s v="NL22RABO0381604934"/>
    <m/>
    <x v="5"/>
    <x v="70"/>
    <d v="2021-08-29T00:00:00"/>
    <d v="2021-08-29T00:00:00"/>
    <n v="-4.03"/>
    <n v="4.03"/>
    <m/>
    <s v="Spar Enjoy Schatberg SEVENUM"/>
    <x v="1"/>
    <x v="3"/>
    <x v="16"/>
  </r>
  <r>
    <n v="2950"/>
    <s v="NL22RABO0381604934"/>
    <m/>
    <x v="5"/>
    <x v="70"/>
    <d v="2021-08-31T00:00:00"/>
    <d v="2021-08-31T00:00:00"/>
    <n v="-35.86"/>
    <n v="35.86"/>
    <m/>
    <s v="Jumbo Panningen PANNINGEN"/>
    <x v="1"/>
    <x v="3"/>
    <x v="16"/>
  </r>
  <r>
    <n v="2955"/>
    <s v="NL22RABO0381604934"/>
    <m/>
    <x v="5"/>
    <x v="64"/>
    <d v="2021-09-03T00:00:00"/>
    <d v="2021-09-03T00:00:00"/>
    <n v="-0.89"/>
    <n v="0.89"/>
    <m/>
    <s v="Spar Enjoy Schatberg SEVENUM"/>
    <x v="1"/>
    <x v="3"/>
    <x v="16"/>
  </r>
  <r>
    <n v="2956"/>
    <s v="NL22RABO0381604934"/>
    <m/>
    <x v="5"/>
    <x v="64"/>
    <d v="2021-09-04T00:00:00"/>
    <d v="2021-09-04T00:00:00"/>
    <n v="-1.05"/>
    <n v="1.05"/>
    <m/>
    <s v="Spar Enjoy Schatberg SEVENUM"/>
    <x v="1"/>
    <x v="3"/>
    <x v="16"/>
  </r>
  <r>
    <n v="2958"/>
    <s v="NL22RABO0381604934"/>
    <m/>
    <x v="5"/>
    <x v="64"/>
    <d v="2021-09-07T00:00:00"/>
    <d v="2021-09-07T00:00:00"/>
    <n v="-1.39"/>
    <n v="1.39"/>
    <m/>
    <s v="Spar Enjoy Schatberg SEVENUM"/>
    <x v="1"/>
    <x v="3"/>
    <x v="16"/>
  </r>
  <r>
    <n v="2960"/>
    <s v="NL22RABO0381604934"/>
    <m/>
    <x v="5"/>
    <x v="64"/>
    <d v="2021-09-09T00:00:00"/>
    <d v="2021-09-09T00:00:00"/>
    <n v="-8.08"/>
    <n v="8.08"/>
    <m/>
    <s v="Spar Enjoy Schatberg SEVENUM"/>
    <x v="1"/>
    <x v="3"/>
    <x v="16"/>
  </r>
  <r>
    <n v="2961"/>
    <s v="NL22RABO0381604934"/>
    <m/>
    <x v="5"/>
    <x v="64"/>
    <d v="2021-09-11T00:00:00"/>
    <d v="2021-09-11T00:00:00"/>
    <n v="-2.5"/>
    <n v="2.5"/>
    <m/>
    <s v="Spar Enjoy Schatberg SEVENUM"/>
    <x v="1"/>
    <x v="3"/>
    <x v="16"/>
  </r>
  <r>
    <n v="2962"/>
    <s v="NL22RABO0381604934"/>
    <m/>
    <x v="5"/>
    <x v="64"/>
    <d v="2021-09-12T00:00:00"/>
    <d v="2021-09-12T00:00:00"/>
    <n v="-2.44"/>
    <n v="2.44"/>
    <m/>
    <s v="Spar Enjoy Schatberg SEVENUM"/>
    <x v="1"/>
    <x v="3"/>
    <x v="16"/>
  </r>
  <r>
    <n v="2964"/>
    <s v="NL22RABO0381604934"/>
    <m/>
    <x v="5"/>
    <x v="64"/>
    <d v="2021-09-15T00:00:00"/>
    <d v="2021-09-15T00:00:00"/>
    <n v="-8.3800000000000008"/>
    <n v="8.3800000000000008"/>
    <m/>
    <s v="Kruidvat 0256 ARNHEM"/>
    <x v="1"/>
    <x v="3"/>
    <x v="17"/>
  </r>
  <r>
    <n v="2965"/>
    <s v="NL22RABO0381604934"/>
    <m/>
    <x v="5"/>
    <x v="64"/>
    <d v="2021-09-15T00:00:00"/>
    <d v="2021-09-15T00:00:00"/>
    <n v="-7.59"/>
    <n v="7.59"/>
    <m/>
    <s v="Kruidvat 0256 ARNHEM"/>
    <x v="1"/>
    <x v="3"/>
    <x v="17"/>
  </r>
  <r>
    <n v="2967"/>
    <s v="NL22RABO0381604934"/>
    <m/>
    <x v="5"/>
    <x v="64"/>
    <d v="2021-09-15T00:00:00"/>
    <d v="2021-09-15T00:00:00"/>
    <n v="-4.55"/>
    <n v="4.55"/>
    <m/>
    <s v="ALBERT HEIJN 1878 ARNHEM"/>
    <x v="1"/>
    <x v="3"/>
    <x v="16"/>
  </r>
  <r>
    <n v="2968"/>
    <s v="NL22RABO0381604934"/>
    <m/>
    <x v="5"/>
    <x v="64"/>
    <d v="2021-09-16T00:00:00"/>
    <d v="2021-09-16T00:00:00"/>
    <n v="-3.98"/>
    <n v="3.98"/>
    <m/>
    <s v="Action 1283 Arnhem"/>
    <x v="1"/>
    <x v="3"/>
    <x v="16"/>
  </r>
  <r>
    <n v="2971"/>
    <s v="NL22RABO0381604934"/>
    <m/>
    <x v="5"/>
    <x v="64"/>
    <d v="2021-09-16T00:00:00"/>
    <d v="2021-09-16T00:00:00"/>
    <n v="-6.03"/>
    <n v="6.03"/>
    <m/>
    <s v="ALBERT HEIJN 1878 ARNHEM"/>
    <x v="1"/>
    <x v="3"/>
    <x v="16"/>
  </r>
  <r>
    <n v="2974"/>
    <s v="NL22RABO0381604934"/>
    <m/>
    <x v="5"/>
    <x v="64"/>
    <d v="2021-09-16T00:00:00"/>
    <d v="2021-09-16T00:00:00"/>
    <n v="-2.2000000000000002"/>
    <n v="2.2000000000000002"/>
    <m/>
    <s v="AH Station Nijmegen NIJMEGEN"/>
    <x v="1"/>
    <x v="3"/>
    <x v="16"/>
  </r>
  <r>
    <n v="2976"/>
    <s v="NL22RABO0381604934"/>
    <m/>
    <x v="5"/>
    <x v="64"/>
    <d v="2021-09-18T00:00:00"/>
    <d v="2021-09-18T00:00:00"/>
    <n v="-19.670000000000002"/>
    <n v="19.670000000000002"/>
    <m/>
    <s v="Lidl 475 Panningen PANNINGEN"/>
    <x v="1"/>
    <x v="3"/>
    <x v="16"/>
  </r>
  <r>
    <n v="2977"/>
    <s v="NL22RABO0381604934"/>
    <m/>
    <x v="5"/>
    <x v="64"/>
    <d v="2021-09-18T00:00:00"/>
    <d v="2021-09-18T00:00:00"/>
    <n v="-2"/>
    <n v="2"/>
    <s v="NL68RABO0140802673"/>
    <s v="Rabo Betaalverzoek"/>
    <x v="1"/>
    <x v="3"/>
    <x v="16"/>
  </r>
  <r>
    <n v="2978"/>
    <s v="NL22RABO0381604934"/>
    <m/>
    <x v="5"/>
    <x v="64"/>
    <d v="2021-09-19T00:00:00"/>
    <d v="2021-09-19T00:00:00"/>
    <n v="-5.39"/>
    <n v="5.39"/>
    <m/>
    <s v="Spar Enjoy Schatberg SEVENUM"/>
    <x v="1"/>
    <x v="3"/>
    <x v="16"/>
  </r>
  <r>
    <n v="2984"/>
    <s v="NL22RABO0381604934"/>
    <m/>
    <x v="5"/>
    <x v="64"/>
    <d v="2021-09-21T00:00:00"/>
    <d v="2021-09-21T00:00:00"/>
    <n v="-1.49"/>
    <n v="1.49"/>
    <m/>
    <s v="Spar Enjoy Schatberg SEVENUM"/>
    <x v="1"/>
    <x v="3"/>
    <x v="16"/>
  </r>
  <r>
    <n v="2988"/>
    <s v="NL22RABO0381604934"/>
    <m/>
    <x v="5"/>
    <x v="64"/>
    <d v="2021-09-25T00:00:00"/>
    <d v="2021-09-25T00:00:00"/>
    <n v="-2.1"/>
    <n v="2.1"/>
    <m/>
    <s v="Spar Enjoy Schatberg SEVENUM"/>
    <x v="1"/>
    <x v="3"/>
    <x v="16"/>
  </r>
  <r>
    <n v="2989"/>
    <s v="NL22RABO0381604934"/>
    <m/>
    <x v="5"/>
    <x v="64"/>
    <d v="2021-09-27T00:00:00"/>
    <d v="2021-09-27T00:00:00"/>
    <n v="-2.94"/>
    <n v="2.94"/>
    <m/>
    <s v="Spar Enjoy Schatberg SEVENUM"/>
    <x v="1"/>
    <x v="3"/>
    <x v="16"/>
  </r>
  <r>
    <n v="2992"/>
    <s v="NL22RABO0381604934"/>
    <m/>
    <x v="5"/>
    <x v="64"/>
    <d v="2021-09-28T00:00:00"/>
    <d v="2021-09-28T00:00:00"/>
    <n v="-2.9"/>
    <n v="2.9"/>
    <m/>
    <s v="Spar Enjoy Schatberg SEVENUM"/>
    <x v="1"/>
    <x v="3"/>
    <x v="16"/>
  </r>
  <r>
    <n v="2998"/>
    <s v="NL22RABO0381604934"/>
    <m/>
    <x v="5"/>
    <x v="25"/>
    <d v="2021-10-02T00:00:00"/>
    <d v="2021-10-02T00:00:00"/>
    <n v="-2.44"/>
    <n v="2.44"/>
    <m/>
    <s v="Coop 2113 MUSSELKANAAL"/>
    <x v="1"/>
    <x v="3"/>
    <x v="16"/>
  </r>
  <r>
    <n v="3001"/>
    <s v="NL22RABO0381604934"/>
    <m/>
    <x v="5"/>
    <x v="25"/>
    <d v="2021-10-05T00:00:00"/>
    <d v="2021-10-05T00:00:00"/>
    <n v="-4.88"/>
    <n v="4.88"/>
    <m/>
    <s v="Albert Heijn 1122 STADSKANAAL"/>
    <x v="1"/>
    <x v="3"/>
    <x v="16"/>
  </r>
  <r>
    <n v="3002"/>
    <s v="NL22RABO0381604934"/>
    <m/>
    <x v="5"/>
    <x v="25"/>
    <d v="2021-10-07T00:00:00"/>
    <d v="2021-10-07T00:00:00"/>
    <n v="-0.59"/>
    <n v="0.59"/>
    <m/>
    <s v="Coop 2113 MUSSELKANAAL"/>
    <x v="1"/>
    <x v="3"/>
    <x v="16"/>
  </r>
  <r>
    <n v="3003"/>
    <s v="NL22RABO0381604934"/>
    <m/>
    <x v="5"/>
    <x v="25"/>
    <d v="2021-10-07T00:00:00"/>
    <d v="2021-10-07T00:00:00"/>
    <n v="-42.36"/>
    <n v="42.36"/>
    <m/>
    <s v="Kruidvat 6224 MUSSELKANAAL"/>
    <x v="1"/>
    <x v="3"/>
    <x v="16"/>
  </r>
  <r>
    <n v="3004"/>
    <s v="NL22RABO0381604934"/>
    <m/>
    <x v="5"/>
    <x v="25"/>
    <d v="2021-10-07T00:00:00"/>
    <d v="2021-10-07T00:00:00"/>
    <n v="42.36"/>
    <n v="42.36"/>
    <s v="NL10RBRB0948370114"/>
    <s v="W. Smit e/o W.R.F. Smit-Brands"/>
    <x v="1"/>
    <x v="3"/>
    <x v="16"/>
  </r>
  <r>
    <n v="3007"/>
    <s v="NL22RABO0381604934"/>
    <m/>
    <x v="5"/>
    <x v="25"/>
    <d v="2021-10-08T00:00:00"/>
    <d v="2021-10-08T00:00:00"/>
    <n v="-22.31"/>
    <n v="22.31"/>
    <m/>
    <s v="Coop 2224 ARNHEM"/>
    <x v="1"/>
    <x v="3"/>
    <x v="16"/>
  </r>
  <r>
    <n v="3014"/>
    <s v="NL22RABO0381604934"/>
    <m/>
    <x v="5"/>
    <x v="25"/>
    <d v="2021-10-11T00:00:00"/>
    <d v="2021-10-11T00:00:00"/>
    <n v="-6.97"/>
    <n v="6.97"/>
    <m/>
    <s v="ALBERT HEIJN 1878 ARNHEM"/>
    <x v="1"/>
    <x v="3"/>
    <x v="16"/>
  </r>
  <r>
    <n v="3016"/>
    <s v="NL22RABO0381604934"/>
    <m/>
    <x v="5"/>
    <x v="25"/>
    <d v="2021-10-12T00:00:00"/>
    <d v="2021-10-12T00:00:00"/>
    <n v="-3.87"/>
    <n v="3.87"/>
    <m/>
    <s v="ALBERT HEIJN 1878 ARNHEM"/>
    <x v="1"/>
    <x v="3"/>
    <x v="16"/>
  </r>
  <r>
    <n v="3017"/>
    <s v="NL22RABO0381604934"/>
    <m/>
    <x v="5"/>
    <x v="25"/>
    <d v="2021-10-12T00:00:00"/>
    <d v="2021-10-12T00:00:00"/>
    <n v="-2.5099999999999998"/>
    <n v="2.5099999999999998"/>
    <m/>
    <s v="ALBERT HEIJN 1878 ARNHEM"/>
    <x v="1"/>
    <x v="3"/>
    <x v="16"/>
  </r>
  <r>
    <n v="3018"/>
    <s v="NL22RABO0381604934"/>
    <m/>
    <x v="5"/>
    <x v="25"/>
    <d v="2021-10-13T00:00:00"/>
    <d v="2021-10-13T00:00:00"/>
    <n v="-9.85"/>
    <n v="9.85"/>
    <m/>
    <s v="ALBERT HEIJN 1878 ARNHEM"/>
    <x v="1"/>
    <x v="3"/>
    <x v="16"/>
  </r>
  <r>
    <n v="3022"/>
    <s v="NL22RABO0381604934"/>
    <m/>
    <x v="5"/>
    <x v="25"/>
    <d v="2021-10-14T00:00:00"/>
    <d v="2021-10-14T00:00:00"/>
    <n v="-2.98"/>
    <n v="2.98"/>
    <m/>
    <s v="Plus Musiskwartier ARNHEM"/>
    <x v="1"/>
    <x v="3"/>
    <x v="16"/>
  </r>
  <r>
    <n v="3026"/>
    <s v="NL22RABO0381604934"/>
    <m/>
    <x v="5"/>
    <x v="25"/>
    <d v="2021-10-14T00:00:00"/>
    <d v="2021-10-14T00:00:00"/>
    <n v="-2.98"/>
    <n v="2.98"/>
    <m/>
    <s v="Plus Musiskwartier ARNHEM"/>
    <x v="1"/>
    <x v="3"/>
    <x v="16"/>
  </r>
  <r>
    <n v="3035"/>
    <s v="NL22RABO0381604934"/>
    <m/>
    <x v="5"/>
    <x v="25"/>
    <d v="2021-10-16T00:00:00"/>
    <d v="2021-10-16T00:00:00"/>
    <n v="-5.22"/>
    <n v="5.22"/>
    <m/>
    <s v="Plus Musiskwartier ARNHEM"/>
    <x v="1"/>
    <x v="3"/>
    <x v="16"/>
  </r>
  <r>
    <n v="3036"/>
    <s v="NL22RABO0381604934"/>
    <m/>
    <x v="5"/>
    <x v="25"/>
    <d v="2021-10-16T00:00:00"/>
    <d v="2021-10-16T00:00:00"/>
    <n v="-1.98"/>
    <n v="1.98"/>
    <m/>
    <s v="ALBERT HEIJN 1878 ARNHEM"/>
    <x v="1"/>
    <x v="3"/>
    <x v="16"/>
  </r>
  <r>
    <n v="3038"/>
    <s v="NL22RABO0381604934"/>
    <m/>
    <x v="5"/>
    <x v="25"/>
    <d v="2021-10-17T00:00:00"/>
    <d v="2021-10-17T00:00:00"/>
    <n v="-3.89"/>
    <n v="3.89"/>
    <m/>
    <s v="ALBERT HEIJN 1878 ARNHEM"/>
    <x v="1"/>
    <x v="3"/>
    <x v="16"/>
  </r>
  <r>
    <n v="3039"/>
    <s v="NL22RABO0381604934"/>
    <m/>
    <x v="5"/>
    <x v="25"/>
    <d v="2021-10-18T00:00:00"/>
    <d v="2021-10-18T00:00:00"/>
    <n v="-2.5"/>
    <n v="2.5"/>
    <m/>
    <s v="ALBERT HEIJN 1878 ARNHEM"/>
    <x v="1"/>
    <x v="3"/>
    <x v="16"/>
  </r>
  <r>
    <n v="3040"/>
    <s v="NL22RABO0381604934"/>
    <m/>
    <x v="5"/>
    <x v="25"/>
    <d v="2021-10-18T00:00:00"/>
    <d v="2021-10-18T00:00:00"/>
    <n v="-5.17"/>
    <n v="5.17"/>
    <m/>
    <s v="ALBERT HEIJN 1878 ARNHEM"/>
    <x v="1"/>
    <x v="3"/>
    <x v="16"/>
  </r>
  <r>
    <n v="3045"/>
    <s v="NL22RABO0381604934"/>
    <m/>
    <x v="5"/>
    <x v="25"/>
    <d v="2021-10-19T00:00:00"/>
    <d v="2021-10-19T00:00:00"/>
    <n v="-2.64"/>
    <n v="2.64"/>
    <m/>
    <s v="ALBERT HEIJN 1878 ARNHEM"/>
    <x v="1"/>
    <x v="3"/>
    <x v="16"/>
  </r>
  <r>
    <n v="3050"/>
    <s v="NL22RABO0381604934"/>
    <m/>
    <x v="5"/>
    <x v="25"/>
    <d v="2021-10-20T00:00:00"/>
    <d v="2021-10-20T00:00:00"/>
    <n v="-8.1999999999999993"/>
    <n v="8.1999999999999993"/>
    <m/>
    <s v="ALBERT HEIJN 1016 ARNHEM"/>
    <x v="1"/>
    <x v="3"/>
    <x v="16"/>
  </r>
  <r>
    <n v="3051"/>
    <s v="NL22RABO0381604934"/>
    <m/>
    <x v="5"/>
    <x v="25"/>
    <d v="2021-10-20T00:00:00"/>
    <d v="2021-10-20T00:00:00"/>
    <n v="-1.49"/>
    <n v="1.49"/>
    <m/>
    <s v="ALBERT HEIJN 1016 ARNHEM"/>
    <x v="1"/>
    <x v="3"/>
    <x v="16"/>
  </r>
  <r>
    <n v="3053"/>
    <s v="NL22RABO0381604934"/>
    <m/>
    <x v="5"/>
    <x v="25"/>
    <d v="2021-10-20T00:00:00"/>
    <d v="2021-10-20T00:00:00"/>
    <n v="-2.69"/>
    <n v="2.69"/>
    <m/>
    <s v="ALBERT HEIJN 1878 ARNHEM"/>
    <x v="1"/>
    <x v="3"/>
    <x v="16"/>
  </r>
  <r>
    <n v="3056"/>
    <s v="NL22RABO0381604934"/>
    <m/>
    <x v="5"/>
    <x v="25"/>
    <d v="2021-10-22T00:00:00"/>
    <d v="2021-10-22T00:00:00"/>
    <n v="-5"/>
    <n v="5"/>
    <m/>
    <s v="ALBERT HEIJN 1878 ARNHEM"/>
    <x v="1"/>
    <x v="3"/>
    <x v="16"/>
  </r>
  <r>
    <n v="3058"/>
    <s v="NL22RABO0381604934"/>
    <m/>
    <x v="5"/>
    <x v="25"/>
    <d v="2021-10-23T00:00:00"/>
    <d v="2021-10-25T00:00:00"/>
    <n v="-2"/>
    <n v="2"/>
    <s v="NL10INGB0005300114"/>
    <s v="ING Bank NV Betaalverzoek"/>
    <x v="1"/>
    <x v="3"/>
    <x v="16"/>
  </r>
  <r>
    <n v="3059"/>
    <s v="NL22RABO0381604934"/>
    <m/>
    <x v="5"/>
    <x v="25"/>
    <d v="2021-10-23T00:00:00"/>
    <d v="2021-10-23T00:00:00"/>
    <n v="-1.99"/>
    <n v="1.99"/>
    <m/>
    <s v="ALBERT HEIJN 1878 ARNHEM"/>
    <x v="1"/>
    <x v="3"/>
    <x v="16"/>
  </r>
  <r>
    <n v="3062"/>
    <s v="NL22RABO0381604934"/>
    <m/>
    <x v="5"/>
    <x v="25"/>
    <d v="2021-10-25T00:00:00"/>
    <d v="2021-10-25T00:00:00"/>
    <n v="-37.299999999999997"/>
    <n v="37.299999999999997"/>
    <m/>
    <s v="ALDI 070 MUSSELKANAAL DRACHTEN"/>
    <x v="1"/>
    <x v="3"/>
    <x v="16"/>
  </r>
  <r>
    <n v="3063"/>
    <s v="NL22RABO0381604934"/>
    <m/>
    <x v="5"/>
    <x v="25"/>
    <d v="2021-10-25T00:00:00"/>
    <d v="2021-10-25T00:00:00"/>
    <n v="-5.99"/>
    <n v="5.99"/>
    <m/>
    <s v="Coop 2113 MUSSELKANAAL"/>
    <x v="1"/>
    <x v="3"/>
    <x v="16"/>
  </r>
  <r>
    <n v="3064"/>
    <s v="NL22RABO0381604934"/>
    <m/>
    <x v="5"/>
    <x v="25"/>
    <d v="2021-10-25T00:00:00"/>
    <d v="2021-10-25T00:00:00"/>
    <n v="60.69"/>
    <n v="60.69"/>
    <s v="NL10RBRB0948370114"/>
    <s v="W. Smit e/o W.R.F. Smit-Brands"/>
    <x v="1"/>
    <x v="3"/>
    <x v="16"/>
  </r>
  <r>
    <n v="3066"/>
    <s v="NL22RABO0381604934"/>
    <m/>
    <x v="5"/>
    <x v="25"/>
    <d v="2021-10-26T00:00:00"/>
    <d v="2021-10-26T00:00:00"/>
    <n v="-25.51"/>
    <n v="25.51"/>
    <m/>
    <s v="Coop 2113 MUSSELKANAAL"/>
    <x v="1"/>
    <x v="3"/>
    <x v="16"/>
  </r>
  <r>
    <n v="3067"/>
    <s v="NL22RABO0381604934"/>
    <m/>
    <x v="5"/>
    <x v="25"/>
    <d v="2021-10-26T00:00:00"/>
    <d v="2021-10-26T00:00:00"/>
    <n v="-0.88"/>
    <n v="0.88"/>
    <m/>
    <s v="Coop 2113 MUSSELKANAAL"/>
    <x v="1"/>
    <x v="3"/>
    <x v="16"/>
  </r>
  <r>
    <n v="3068"/>
    <s v="NL22RABO0381604934"/>
    <m/>
    <x v="5"/>
    <x v="25"/>
    <d v="2021-10-26T00:00:00"/>
    <d v="2021-10-26T00:00:00"/>
    <n v="25.51"/>
    <n v="25.51"/>
    <s v="NL10RBRB0948370114"/>
    <s v="W. Smit e/o W.R.F. Smit-Brands"/>
    <x v="1"/>
    <x v="3"/>
    <x v="16"/>
  </r>
  <r>
    <n v="3069"/>
    <s v="NL22RABO0381604934"/>
    <m/>
    <x v="5"/>
    <x v="25"/>
    <d v="2021-10-27T00:00:00"/>
    <d v="2021-10-27T00:00:00"/>
    <n v="-13.98"/>
    <n v="13.98"/>
    <m/>
    <s v="113  DIO-Readshop MUSSELKANAAL"/>
    <x v="1"/>
    <x v="3"/>
    <x v="16"/>
  </r>
  <r>
    <n v="3071"/>
    <s v="NL22RABO0381604934"/>
    <m/>
    <x v="5"/>
    <x v="25"/>
    <d v="2021-10-27T00:00:00"/>
    <d v="2021-10-27T00:00:00"/>
    <n v="-3.8"/>
    <n v="3.8"/>
    <m/>
    <s v="CCV*TREANT ZORGGROEP 8 HOOGEVEEN"/>
    <x v="1"/>
    <x v="3"/>
    <x v="16"/>
  </r>
  <r>
    <n v="3073"/>
    <s v="NL22RABO0381604934"/>
    <m/>
    <x v="5"/>
    <x v="25"/>
    <d v="2021-10-28T00:00:00"/>
    <d v="2021-10-28T00:00:00"/>
    <n v="-5.87"/>
    <n v="5.87"/>
    <m/>
    <s v="Coop 2113 MUSSELKANAAL"/>
    <x v="1"/>
    <x v="3"/>
    <x v="16"/>
  </r>
  <r>
    <n v="3075"/>
    <s v="NL22RABO0381604934"/>
    <m/>
    <x v="5"/>
    <x v="25"/>
    <d v="2021-10-28T00:00:00"/>
    <d v="2021-10-28T00:00:00"/>
    <n v="-15"/>
    <n v="15"/>
    <s v="NL56DEUT0265186420"/>
    <s v="Alphacomm Solutions B.V."/>
    <x v="1"/>
    <x v="3"/>
    <x v="16"/>
  </r>
  <r>
    <n v="3076"/>
    <s v="NL22RABO0381604934"/>
    <m/>
    <x v="5"/>
    <x v="25"/>
    <d v="2021-10-29T00:00:00"/>
    <d v="2021-10-29T00:00:00"/>
    <n v="-3.68"/>
    <n v="3.68"/>
    <m/>
    <s v="Coop 2113 MUSSELKANAAL"/>
    <x v="1"/>
    <x v="3"/>
    <x v="16"/>
  </r>
  <r>
    <n v="3077"/>
    <s v="NL22RABO0381604934"/>
    <m/>
    <x v="5"/>
    <x v="25"/>
    <d v="2021-10-29T00:00:00"/>
    <d v="2021-10-29T00:00:00"/>
    <n v="-9.83"/>
    <n v="9.83"/>
    <m/>
    <s v="Coop 2113 MUSSELKANAAL"/>
    <x v="1"/>
    <x v="3"/>
    <x v="16"/>
  </r>
  <r>
    <n v="3079"/>
    <s v="NL22RABO0381604934"/>
    <m/>
    <x v="5"/>
    <x v="25"/>
    <d v="2021-10-30T00:00:00"/>
    <d v="2021-10-30T00:00:00"/>
    <n v="-6.47"/>
    <n v="6.47"/>
    <m/>
    <s v="Coop 2113 MUSSELKANAAL"/>
    <x v="1"/>
    <x v="3"/>
    <x v="16"/>
  </r>
  <r>
    <n v="3080"/>
    <s v="NL22RABO0381604934"/>
    <m/>
    <x v="5"/>
    <x v="25"/>
    <d v="2021-10-30T00:00:00"/>
    <d v="2021-10-30T00:00:00"/>
    <n v="-29.26"/>
    <n v="29.26"/>
    <m/>
    <s v="Tamoil Musselkanaal MUSSELKANAAL"/>
    <x v="1"/>
    <x v="3"/>
    <x v="16"/>
  </r>
  <r>
    <n v="3081"/>
    <s v="NL22RABO0381604934"/>
    <m/>
    <x v="5"/>
    <x v="25"/>
    <d v="2021-10-30T00:00:00"/>
    <d v="2021-10-30T00:00:00"/>
    <n v="-2.79"/>
    <n v="2.79"/>
    <m/>
    <s v="Lidl 593 Musselkanaa MUSSELKANAAL"/>
    <x v="1"/>
    <x v="3"/>
    <x v="16"/>
  </r>
  <r>
    <n v="3085"/>
    <s v="NL22RABO0381604934"/>
    <m/>
    <x v="5"/>
    <x v="26"/>
    <d v="2021-11-01T00:00:00"/>
    <d v="2021-11-01T00:00:00"/>
    <n v="-29.24"/>
    <n v="29.24"/>
    <m/>
    <s v="ALDI 070 MUSSELKANAAL DRACHTEN"/>
    <x v="1"/>
    <x v="3"/>
    <x v="16"/>
  </r>
  <r>
    <n v="3086"/>
    <s v="NL22RABO0381604934"/>
    <m/>
    <x v="5"/>
    <x v="26"/>
    <d v="2021-11-01T00:00:00"/>
    <d v="2021-11-01T00:00:00"/>
    <n v="79.84"/>
    <n v="79.84"/>
    <s v="NL10RBRB0948370114"/>
    <s v="W. Smit e/o W.R.F. Smit-Brands"/>
    <x v="1"/>
    <x v="3"/>
    <x v="16"/>
  </r>
  <r>
    <n v="3087"/>
    <s v="NL22RABO0381604934"/>
    <m/>
    <x v="5"/>
    <x v="26"/>
    <d v="2021-11-01T00:00:00"/>
    <d v="2021-11-01T00:00:00"/>
    <n v="-1.56"/>
    <n v="1.56"/>
    <m/>
    <s v="Coop 2113 MUSSELKANAAL"/>
    <x v="1"/>
    <x v="3"/>
    <x v="16"/>
  </r>
  <r>
    <n v="3093"/>
    <s v="NL22RABO0381604934"/>
    <m/>
    <x v="5"/>
    <x v="26"/>
    <d v="2021-11-02T00:00:00"/>
    <d v="2021-11-02T00:00:00"/>
    <n v="-219"/>
    <n v="219"/>
    <m/>
    <s v="Telecom Nijmko STADSKANAAL"/>
    <x v="1"/>
    <x v="3"/>
    <x v="16"/>
  </r>
  <r>
    <n v="3094"/>
    <s v="NL22RABO0381604934"/>
    <m/>
    <x v="5"/>
    <x v="26"/>
    <d v="2021-11-02T00:00:00"/>
    <d v="2021-11-02T00:00:00"/>
    <n v="-19.989999999999998"/>
    <n v="19.989999999999998"/>
    <m/>
    <s v="Telecom Nijmko STADSKANAAL"/>
    <x v="1"/>
    <x v="3"/>
    <x v="16"/>
  </r>
  <r>
    <n v="3095"/>
    <s v="NL22RABO0381604934"/>
    <m/>
    <x v="5"/>
    <x v="26"/>
    <d v="2021-11-02T00:00:00"/>
    <d v="2021-11-02T00:00:00"/>
    <n v="-8"/>
    <n v="8"/>
    <m/>
    <s v="Action 1072 Stadskanaal"/>
    <x v="1"/>
    <x v="3"/>
    <x v="17"/>
  </r>
  <r>
    <n v="3098"/>
    <s v="NL22RABO0381604934"/>
    <m/>
    <x v="5"/>
    <x v="26"/>
    <d v="2021-11-02T00:00:00"/>
    <d v="2021-11-02T00:00:00"/>
    <n v="-3.69"/>
    <n v="3.69"/>
    <m/>
    <s v="Albert Heijn 1122 STADSKANAAL"/>
    <x v="1"/>
    <x v="3"/>
    <x v="16"/>
  </r>
  <r>
    <n v="3099"/>
    <s v="NL22RABO0381604934"/>
    <m/>
    <x v="5"/>
    <x v="26"/>
    <d v="2021-11-02T00:00:00"/>
    <d v="2021-11-02T00:00:00"/>
    <n v="276.92"/>
    <n v="276.92"/>
    <s v="NL10RBRB0948370114"/>
    <s v="W. Smit e/o W.R.F. Smit-Brands"/>
    <x v="1"/>
    <x v="3"/>
    <x v="16"/>
  </r>
  <r>
    <n v="3100"/>
    <s v="NL22RABO0381604934"/>
    <m/>
    <x v="5"/>
    <x v="26"/>
    <d v="2021-11-03T00:00:00"/>
    <d v="2021-11-03T00:00:00"/>
    <n v="-11.59"/>
    <n v="11.59"/>
    <m/>
    <s v="Lidl 531 Stadskanaal STADSKANAAL"/>
    <x v="1"/>
    <x v="3"/>
    <x v="16"/>
  </r>
  <r>
    <n v="3101"/>
    <s v="NL22RABO0381604934"/>
    <m/>
    <x v="5"/>
    <x v="26"/>
    <d v="2021-11-04T00:00:00"/>
    <d v="2021-11-04T00:00:00"/>
    <n v="-1.75"/>
    <n v="1.75"/>
    <m/>
    <s v="CCV*Willems Versmarkt MUSSELKANAAL"/>
    <x v="1"/>
    <x v="3"/>
    <x v="16"/>
  </r>
  <r>
    <n v="3102"/>
    <s v="NL22RABO0381604934"/>
    <m/>
    <x v="5"/>
    <x v="26"/>
    <d v="2021-11-04T00:00:00"/>
    <d v="2021-11-04T00:00:00"/>
    <n v="-3.43"/>
    <n v="3.43"/>
    <m/>
    <s v="Coop 2113 MUSSELKANAAL"/>
    <x v="1"/>
    <x v="3"/>
    <x v="16"/>
  </r>
  <r>
    <n v="3103"/>
    <s v="NL22RABO0381604934"/>
    <m/>
    <x v="5"/>
    <x v="26"/>
    <d v="2021-11-04T00:00:00"/>
    <d v="2021-11-04T00:00:00"/>
    <n v="-0.89"/>
    <n v="0.89"/>
    <m/>
    <s v="Coop 2113 MUSSELKANAAL"/>
    <x v="1"/>
    <x v="3"/>
    <x v="16"/>
  </r>
  <r>
    <n v="3105"/>
    <s v="NL22RABO0381604934"/>
    <m/>
    <x v="5"/>
    <x v="26"/>
    <d v="2021-11-05T00:00:00"/>
    <d v="2021-11-05T00:00:00"/>
    <n v="-30.83"/>
    <n v="30.83"/>
    <m/>
    <s v="ALDI 070 MUSSELKANAAL MUSSELKANAAL"/>
    <x v="1"/>
    <x v="3"/>
    <x v="16"/>
  </r>
  <r>
    <n v="3106"/>
    <s v="NL22RABO0381604934"/>
    <m/>
    <x v="5"/>
    <x v="26"/>
    <d v="2021-11-06T00:00:00"/>
    <d v="2021-11-06T00:00:00"/>
    <n v="-6.95"/>
    <n v="6.95"/>
    <m/>
    <s v="ALDI 070 MUSSELKANAAL MUSSELKANAAL"/>
    <x v="1"/>
    <x v="3"/>
    <x v="16"/>
  </r>
  <r>
    <n v="3107"/>
    <s v="NL22RABO0381604934"/>
    <m/>
    <x v="5"/>
    <x v="26"/>
    <d v="2021-11-07T00:00:00"/>
    <d v="2021-11-07T00:00:00"/>
    <n v="55.44"/>
    <n v="55.44"/>
    <s v="NL10RBRB0948370114"/>
    <s v="W. Smit e/o W.R.F. Smit-Brands"/>
    <x v="1"/>
    <x v="3"/>
    <x v="16"/>
  </r>
  <r>
    <n v="3109"/>
    <s v="NL22RABO0381604934"/>
    <m/>
    <x v="5"/>
    <x v="26"/>
    <d v="2021-11-08T00:00:00"/>
    <d v="2021-11-08T00:00:00"/>
    <n v="-1.25"/>
    <n v="1.25"/>
    <m/>
    <s v="Albert Heijn 1122 STADSKANAAL"/>
    <x v="1"/>
    <x v="3"/>
    <x v="16"/>
  </r>
  <r>
    <n v="3114"/>
    <s v="NL22RABO0381604934"/>
    <m/>
    <x v="5"/>
    <x v="26"/>
    <d v="2021-11-11T00:00:00"/>
    <d v="2021-11-11T00:00:00"/>
    <n v="-1.29"/>
    <n v="1.29"/>
    <m/>
    <s v="Coop 2113 MUSSELKANAAL"/>
    <x v="1"/>
    <x v="3"/>
    <x v="16"/>
  </r>
  <r>
    <n v="3115"/>
    <s v="NL22RABO0381604934"/>
    <m/>
    <x v="5"/>
    <x v="26"/>
    <d v="2021-11-12T00:00:00"/>
    <d v="2021-11-12T00:00:00"/>
    <n v="-1.55"/>
    <n v="1.55"/>
    <m/>
    <s v="Coop 2113 MUSSELKANAAL"/>
    <x v="1"/>
    <x v="3"/>
    <x v="16"/>
  </r>
  <r>
    <n v="3117"/>
    <s v="NL22RABO0381604934"/>
    <m/>
    <x v="5"/>
    <x v="26"/>
    <d v="2021-11-12T00:00:00"/>
    <d v="2021-11-12T00:00:00"/>
    <n v="-2.4900000000000002"/>
    <n v="2.4900000000000002"/>
    <m/>
    <s v="ALDI 070 MUSSELKANAAL MUSSELKANAAL"/>
    <x v="1"/>
    <x v="3"/>
    <x v="16"/>
  </r>
  <r>
    <n v="3123"/>
    <s v="NL22RABO0381604934"/>
    <m/>
    <x v="5"/>
    <x v="26"/>
    <d v="2021-11-13T00:00:00"/>
    <d v="2021-11-13T00:00:00"/>
    <n v="4.04"/>
    <n v="4.04"/>
    <s v="NL10RBRB0948370114"/>
    <s v="W. Smit e/o W.R.F. Smit-Brands"/>
    <x v="1"/>
    <x v="3"/>
    <x v="16"/>
  </r>
  <r>
    <n v="3125"/>
    <s v="NL22RABO0381604934"/>
    <m/>
    <x v="5"/>
    <x v="26"/>
    <d v="2021-11-14T00:00:00"/>
    <d v="2021-11-14T00:00:00"/>
    <n v="-0.68"/>
    <n v="0.68"/>
    <m/>
    <s v="ALBERT HEIJN 1847 AMSTERDAM"/>
    <x v="1"/>
    <x v="3"/>
    <x v="16"/>
  </r>
  <r>
    <n v="3127"/>
    <s v="NL22RABO0381604934"/>
    <m/>
    <x v="5"/>
    <x v="26"/>
    <d v="2021-11-15T00:00:00"/>
    <d v="2021-11-15T00:00:00"/>
    <n v="-2.54"/>
    <n v="2.54"/>
    <m/>
    <s v="ALBERT HEIJN 1847 AMSTERDAM"/>
    <x v="1"/>
    <x v="3"/>
    <x v="16"/>
  </r>
  <r>
    <n v="202208002"/>
    <s v="NL22RABO0381604934"/>
    <s v="EUR"/>
    <x v="6"/>
    <x v="32"/>
    <d v="2022-05-25T00:00:00"/>
    <d v="2022-05-25T00:00:00"/>
    <n v="-0.6"/>
    <n v="0.6"/>
    <m/>
    <s v="CCV*Willems Versmarkt MUSSELKANAAL"/>
    <x v="1"/>
    <x v="3"/>
    <x v="16"/>
  </r>
  <r>
    <n v="202208004"/>
    <s v="NL22RABO0381604934"/>
    <s v="EUR"/>
    <x v="6"/>
    <x v="32"/>
    <d v="2022-05-27T00:00:00"/>
    <d v="2022-05-27T00:00:00"/>
    <n v="-8.41"/>
    <n v="8.41"/>
    <m/>
    <s v="Coop 2113 MUSSELKANAAL"/>
    <x v="1"/>
    <x v="3"/>
    <x v="16"/>
  </r>
  <r>
    <n v="202208014"/>
    <s v="NL22RABO0381604934"/>
    <s v="EUR"/>
    <x v="6"/>
    <x v="71"/>
    <d v="2022-06-05T00:00:00"/>
    <d v="2022-06-05T00:00:00"/>
    <n v="-6.81"/>
    <n v="6.81"/>
    <m/>
    <s v="Spar Enjoy Schatberg SEVENUM"/>
    <x v="1"/>
    <x v="3"/>
    <x v="16"/>
  </r>
  <r>
    <n v="202208015"/>
    <s v="NL22RABO0381604934"/>
    <s v="EUR"/>
    <x v="6"/>
    <x v="71"/>
    <d v="2022-06-06T00:00:00"/>
    <d v="2022-06-06T00:00:00"/>
    <n v="-72.64"/>
    <n v="72.64"/>
    <m/>
    <s v="Lidl 181 Deurne DEURNE"/>
    <x v="1"/>
    <x v="3"/>
    <x v="16"/>
  </r>
  <r>
    <n v="202208016"/>
    <s v="NL22RABO0381604934"/>
    <s v="EUR"/>
    <x v="6"/>
    <x v="71"/>
    <d v="2022-06-07T00:00:00"/>
    <d v="2022-06-07T00:00:00"/>
    <n v="8.41"/>
    <n v="8.41"/>
    <s v="NL10RBRB0948370114"/>
    <s v="W. Smit e/o W.R.F. Smit-Brands"/>
    <x v="1"/>
    <x v="3"/>
    <x v="16"/>
  </r>
  <r>
    <n v="202208022"/>
    <s v="NL22RABO0381604934"/>
    <s v="EUR"/>
    <x v="6"/>
    <x v="71"/>
    <d v="2022-06-09T00:00:00"/>
    <d v="2022-06-09T00:00:00"/>
    <n v="-3.45"/>
    <n v="3.45"/>
    <m/>
    <s v="AH Station Nijmegen NIJMEGEN"/>
    <x v="1"/>
    <x v="3"/>
    <x v="16"/>
  </r>
  <r>
    <n v="202208023"/>
    <s v="NL22RABO0381604934"/>
    <s v="EUR"/>
    <x v="6"/>
    <x v="71"/>
    <d v="2022-06-09T00:00:00"/>
    <d v="2022-06-09T00:00:00"/>
    <n v="-16.28"/>
    <n v="16.28"/>
    <m/>
    <s v="Jumbo Sevenum SEVENUM"/>
    <x v="1"/>
    <x v="3"/>
    <x v="16"/>
  </r>
  <r>
    <n v="202208024"/>
    <s v="NL22RABO0381604934"/>
    <s v="EUR"/>
    <x v="6"/>
    <x v="71"/>
    <d v="2022-06-11T00:00:00"/>
    <d v="2022-06-11T00:00:00"/>
    <n v="-0.99"/>
    <n v="0.99"/>
    <m/>
    <s v="Spar Enjoy Schatberg SEVENUM"/>
    <x v="1"/>
    <x v="3"/>
    <x v="16"/>
  </r>
  <r>
    <n v="202208032"/>
    <s v="NL22RABO0381604934"/>
    <s v="EUR"/>
    <x v="6"/>
    <x v="71"/>
    <d v="2022-06-15T00:00:00"/>
    <d v="2022-06-15T00:00:00"/>
    <n v="-1.29"/>
    <n v="1.29"/>
    <m/>
    <s v="CCV*COCAGNE PANNINGEN"/>
    <x v="1"/>
    <x v="3"/>
    <x v="16"/>
  </r>
  <r>
    <n v="202208033"/>
    <s v="NL22RABO0381604934"/>
    <s v="EUR"/>
    <x v="6"/>
    <x v="71"/>
    <d v="2022-06-18T00:00:00"/>
    <d v="2022-06-18T00:00:00"/>
    <n v="-4.67"/>
    <n v="4.67"/>
    <m/>
    <s v="Spar Enjoy Schatberg SEVENUM"/>
    <x v="1"/>
    <x v="3"/>
    <x v="16"/>
  </r>
  <r>
    <n v="202208043"/>
    <s v="NL22RABO0381604934"/>
    <s v="EUR"/>
    <x v="6"/>
    <x v="71"/>
    <d v="2022-06-22T00:00:00"/>
    <d v="2022-06-22T00:00:00"/>
    <n v="-8.35"/>
    <n v="8.35"/>
    <m/>
    <s v="Jumbo Venlo VENLO"/>
    <x v="1"/>
    <x v="3"/>
    <x v="16"/>
  </r>
  <r>
    <n v="202208045"/>
    <s v="NL22RABO0381604934"/>
    <s v="EUR"/>
    <x v="6"/>
    <x v="71"/>
    <d v="2022-06-24T00:00:00"/>
    <d v="2022-06-24T00:00:00"/>
    <n v="-2.1800000000000002"/>
    <n v="2.1800000000000002"/>
    <m/>
    <s v="Spar Enjoy Schatberg SEVENUM"/>
    <x v="1"/>
    <x v="3"/>
    <x v="16"/>
  </r>
  <r>
    <n v="202208051"/>
    <s v="NL22RABO0381604934"/>
    <s v="EUR"/>
    <x v="6"/>
    <x v="71"/>
    <d v="2022-06-29T00:00:00"/>
    <d v="2022-06-29T00:00:00"/>
    <n v="-3.18"/>
    <n v="3.18"/>
    <m/>
    <s v="Jumbo Panningen PANNINGEN"/>
    <x v="1"/>
    <x v="3"/>
    <x v="16"/>
  </r>
  <r>
    <n v="202208058"/>
    <s v="NL22RABO0381604934"/>
    <s v="EUR"/>
    <x v="6"/>
    <x v="72"/>
    <d v="2022-07-05T00:00:00"/>
    <d v="2022-07-05T00:00:00"/>
    <n v="-1.29"/>
    <n v="1.29"/>
    <m/>
    <s v="Spar Enjoy Schatberg SEVENUM"/>
    <x v="1"/>
    <x v="3"/>
    <x v="16"/>
  </r>
  <r>
    <n v="202208059"/>
    <s v="NL22RABO0381604934"/>
    <s v="EUR"/>
    <x v="6"/>
    <x v="72"/>
    <d v="2022-07-05T00:00:00"/>
    <d v="2022-07-05T00:00:00"/>
    <n v="-9"/>
    <n v="9"/>
    <m/>
    <s v="CCV*RS Chicken Sevenum SEVENUM KFC correctie vegan kip"/>
    <x v="1"/>
    <x v="3"/>
    <x v="16"/>
  </r>
  <r>
    <n v="202208061"/>
    <s v="NL22RABO0381604934"/>
    <s v="EUR"/>
    <x v="6"/>
    <x v="72"/>
    <d v="2022-07-06T00:00:00"/>
    <d v="2022-07-06T00:00:00"/>
    <n v="-0.75"/>
    <n v="0.75"/>
    <m/>
    <s v="JanLinders Panningen PANNINGEN"/>
    <x v="1"/>
    <x v="3"/>
    <x v="16"/>
  </r>
  <r>
    <n v="202208062"/>
    <s v="NL22RABO0381604934"/>
    <s v="EUR"/>
    <x v="6"/>
    <x v="72"/>
    <d v="2022-07-06T00:00:00"/>
    <d v="2022-07-06T00:00:00"/>
    <n v="-2.58"/>
    <n v="2.58"/>
    <m/>
    <s v="CCV*COCAGNE PANNINGEN"/>
    <x v="1"/>
    <x v="3"/>
    <x v="16"/>
  </r>
  <r>
    <n v="202208063"/>
    <s v="NL22RABO0381604934"/>
    <s v="EUR"/>
    <x v="6"/>
    <x v="72"/>
    <d v="2022-07-09T00:00:00"/>
    <d v="2022-07-09T00:00:00"/>
    <n v="-2.37"/>
    <n v="2.37"/>
    <m/>
    <s v="Spar Enjoy Schatberg SEVENUM"/>
    <x v="1"/>
    <x v="3"/>
    <x v="16"/>
  </r>
  <r>
    <n v="202208065"/>
    <s v="NL22RABO0381604934"/>
    <s v="EUR"/>
    <x v="6"/>
    <x v="72"/>
    <d v="2022-07-10T00:00:00"/>
    <d v="2022-07-10T00:00:00"/>
    <n v="-4.33"/>
    <n v="4.33"/>
    <m/>
    <s v="Spar Enjoy Schatberg SEVENUM"/>
    <x v="1"/>
    <x v="3"/>
    <x v="16"/>
  </r>
  <r>
    <n v="202208068"/>
    <s v="NL22RABO0381604934"/>
    <s v="EUR"/>
    <x v="6"/>
    <x v="72"/>
    <d v="2022-07-11T00:00:00"/>
    <d v="2022-07-11T00:00:00"/>
    <n v="-1.49"/>
    <n v="1.49"/>
    <m/>
    <s v="Spar Enjoy Schatberg SEVENUM"/>
    <x v="1"/>
    <x v="3"/>
    <x v="16"/>
  </r>
  <r>
    <n v="202208073"/>
    <s v="NL22RABO0381604934"/>
    <s v="EUR"/>
    <x v="6"/>
    <x v="72"/>
    <d v="2022-07-12T00:00:00"/>
    <d v="2022-07-12T00:00:00"/>
    <n v="-7.82"/>
    <n v="7.82"/>
    <m/>
    <s v="Albert Heijn Horst HORST"/>
    <x v="1"/>
    <x v="3"/>
    <x v="16"/>
  </r>
  <r>
    <n v="202208074"/>
    <s v="NL22RABO0381604934"/>
    <s v="EUR"/>
    <x v="6"/>
    <x v="72"/>
    <d v="2022-07-12T00:00:00"/>
    <d v="2022-07-12T00:00:00"/>
    <n v="-0.99"/>
    <n v="0.99"/>
    <m/>
    <s v="Albert Heijn Horst HORST"/>
    <x v="1"/>
    <x v="3"/>
    <x v="16"/>
  </r>
  <r>
    <n v="202208076"/>
    <s v="NL22RABO0381604934"/>
    <s v="EUR"/>
    <x v="6"/>
    <x v="72"/>
    <d v="2022-07-13T00:00:00"/>
    <d v="2022-07-13T00:00:00"/>
    <n v="-58.74"/>
    <n v="58.74"/>
    <m/>
    <s v="Lidl 475 Panningen PANNINGEN"/>
    <x v="1"/>
    <x v="3"/>
    <x v="16"/>
  </r>
  <r>
    <n v="202208079"/>
    <s v="NL22RABO0381604934"/>
    <s v="EUR"/>
    <x v="6"/>
    <x v="72"/>
    <d v="2022-07-14T00:00:00"/>
    <d v="2022-07-14T00:00:00"/>
    <n v="-2.11"/>
    <n v="2.11"/>
    <m/>
    <s v="JL Panningen PANNINGEN"/>
    <x v="1"/>
    <x v="3"/>
    <x v="16"/>
  </r>
  <r>
    <n v="202208087"/>
    <s v="NL22RABO0381604934"/>
    <s v="EUR"/>
    <x v="6"/>
    <x v="72"/>
    <d v="2022-07-20T00:00:00"/>
    <d v="2022-07-20T00:00:00"/>
    <n v="-6.37"/>
    <n v="6.37"/>
    <m/>
    <s v="Lidl 475 Panningen PANNINGEN"/>
    <x v="1"/>
    <x v="3"/>
    <x v="16"/>
  </r>
  <r>
    <n v="202208088"/>
    <s v="NL22RABO0381604934"/>
    <s v="EUR"/>
    <x v="6"/>
    <x v="72"/>
    <d v="2022-07-21T00:00:00"/>
    <d v="2022-07-21T00:00:00"/>
    <n v="-1.19"/>
    <n v="1.19"/>
    <m/>
    <s v="Spar Enjoy Schatberg SEVENUM"/>
    <x v="1"/>
    <x v="3"/>
    <x v="16"/>
  </r>
  <r>
    <n v="202208092"/>
    <s v="NL22RABO0381604934"/>
    <s v="EUR"/>
    <x v="6"/>
    <x v="72"/>
    <d v="2022-07-24T00:00:00"/>
    <d v="2022-07-24T00:00:00"/>
    <n v="-2.48"/>
    <n v="2.48"/>
    <m/>
    <s v="Spar Enjoy Schatberg SEVENUM"/>
    <x v="1"/>
    <x v="3"/>
    <x v="16"/>
  </r>
  <r>
    <n v="202208096"/>
    <s v="NL22RABO0381604934"/>
    <s v="EUR"/>
    <x v="6"/>
    <x v="72"/>
    <d v="2022-07-26T00:00:00"/>
    <d v="2022-07-26T00:00:00"/>
    <n v="-7.69"/>
    <n v="7.69"/>
    <m/>
    <s v="Jumbo Panningen PANNINGEN"/>
    <x v="1"/>
    <x v="3"/>
    <x v="16"/>
  </r>
  <r>
    <n v="202208098"/>
    <s v="NL22RABO0381604934"/>
    <s v="EUR"/>
    <x v="6"/>
    <x v="72"/>
    <d v="2022-07-26T00:00:00"/>
    <d v="2022-07-26T00:00:00"/>
    <n v="-2.84"/>
    <n v="2.84"/>
    <m/>
    <s v="Lidl 475 Panningen PANNINGEN"/>
    <x v="1"/>
    <x v="3"/>
    <x v="16"/>
  </r>
  <r>
    <n v="202208099"/>
    <s v="NL22RABO0381604934"/>
    <s v="EUR"/>
    <x v="6"/>
    <x v="72"/>
    <d v="2022-07-26T00:00:00"/>
    <d v="2022-07-26T00:00:00"/>
    <n v="-1.0900000000000001"/>
    <n v="1.0900000000000001"/>
    <m/>
    <s v="Lidl 475 Panningen PANNINGEN"/>
    <x v="1"/>
    <x v="3"/>
    <x v="16"/>
  </r>
  <r>
    <n v="202208108"/>
    <s v="NL22RABO0381604934"/>
    <s v="EUR"/>
    <x v="6"/>
    <x v="72"/>
    <d v="2022-07-28T00:00:00"/>
    <d v="2022-07-28T00:00:00"/>
    <n v="-1.17"/>
    <n v="1.17"/>
    <m/>
    <s v="Jumbo Venlo VENLO"/>
    <x v="1"/>
    <x v="3"/>
    <x v="16"/>
  </r>
  <r>
    <n v="202208112"/>
    <s v="NL22RABO0381604934"/>
    <s v="EUR"/>
    <x v="6"/>
    <x v="72"/>
    <d v="2022-07-30T00:00:00"/>
    <d v="2022-07-30T00:00:00"/>
    <n v="-0.99"/>
    <n v="0.99"/>
    <m/>
    <s v="Spar Enjoy Schatberg SEVENUM"/>
    <x v="1"/>
    <x v="3"/>
    <x v="16"/>
  </r>
  <r>
    <n v="202208120"/>
    <s v="NL22RABO0381604934"/>
    <s v="EUR"/>
    <x v="6"/>
    <x v="40"/>
    <d v="2022-08-02T00:00:00"/>
    <d v="2022-08-02T00:00:00"/>
    <n v="-1.39"/>
    <n v="1.39"/>
    <m/>
    <s v="Spar Enjoy Schatberg SEVENUM"/>
    <x v="1"/>
    <x v="3"/>
    <x v="16"/>
  </r>
  <r>
    <n v="202208121"/>
    <s v="NL22RABO0381604934"/>
    <s v="EUR"/>
    <x v="6"/>
    <x v="40"/>
    <d v="2022-08-03T00:00:00"/>
    <d v="2022-08-03T00:00:00"/>
    <n v="-1.39"/>
    <n v="1.39"/>
    <m/>
    <s v="Kruidvat 3123 PANNINGEN"/>
    <x v="1"/>
    <x v="3"/>
    <x v="16"/>
  </r>
  <r>
    <n v="202208123"/>
    <s v="NL22RABO0381604934"/>
    <s v="EUR"/>
    <x v="6"/>
    <x v="40"/>
    <d v="2022-08-03T00:00:00"/>
    <d v="2022-08-03T00:00:00"/>
    <n v="-1.29"/>
    <n v="1.29"/>
    <m/>
    <s v="CCV*COCAGNE PANNINGEN"/>
    <x v="1"/>
    <x v="3"/>
    <x v="16"/>
  </r>
  <r>
    <n v="202208125"/>
    <s v="NL22RABO0381604934"/>
    <s v="EUR"/>
    <x v="6"/>
    <x v="40"/>
    <d v="2022-08-03T00:00:00"/>
    <d v="2022-08-03T00:00:00"/>
    <n v="-2.99"/>
    <n v="2.99"/>
    <m/>
    <s v="Polish Supermarkt Pann OSS"/>
    <x v="1"/>
    <x v="3"/>
    <x v="16"/>
  </r>
  <r>
    <n v="202208126"/>
    <s v="NL22RABO0381604934"/>
    <s v="EUR"/>
    <x v="6"/>
    <x v="40"/>
    <d v="2022-08-03T00:00:00"/>
    <d v="2022-08-03T00:00:00"/>
    <n v="-8.77"/>
    <n v="8.77"/>
    <m/>
    <s v="Lidl 475 Panningen PANNINGEN"/>
    <x v="1"/>
    <x v="3"/>
    <x v="16"/>
  </r>
  <r>
    <n v="202208127"/>
    <s v="NL22RABO0381604934"/>
    <s v="EUR"/>
    <x v="6"/>
    <x v="40"/>
    <d v="2022-08-06T00:00:00"/>
    <d v="2022-08-06T00:00:00"/>
    <n v="-1.58"/>
    <n v="1.58"/>
    <m/>
    <s v="Spar Enjoy Schatberg SEVENUM"/>
    <x v="1"/>
    <x v="3"/>
    <x v="16"/>
  </r>
  <r>
    <n v="202208131"/>
    <s v="NL22RABO0381604934"/>
    <s v="EUR"/>
    <x v="6"/>
    <x v="40"/>
    <d v="2022-08-08T00:00:00"/>
    <d v="2022-08-08T00:00:00"/>
    <n v="-2.33"/>
    <n v="2.33"/>
    <m/>
    <s v="ALBERT HEIJN 1878 ARNHEM"/>
    <x v="1"/>
    <x v="3"/>
    <x v="16"/>
  </r>
  <r>
    <n v="202208134"/>
    <s v="NL22RABO0381604934"/>
    <s v="EUR"/>
    <x v="6"/>
    <x v="40"/>
    <d v="2022-08-09T00:00:00"/>
    <d v="2022-08-09T00:00:00"/>
    <n v="-1.99"/>
    <n v="1.99"/>
    <m/>
    <s v="ALBERT HEIJN 1878 ARNHEM"/>
    <x v="1"/>
    <x v="3"/>
    <x v="16"/>
  </r>
  <r>
    <n v="202208142"/>
    <s v="NL22RABO0381604934"/>
    <s v="EUR"/>
    <x v="6"/>
    <x v="40"/>
    <d v="2022-08-11T00:00:00"/>
    <d v="2022-08-11T00:00:00"/>
    <n v="-17.100000000000001"/>
    <n v="17.100000000000001"/>
    <m/>
    <s v="Jumbo Venlo VENLO"/>
    <x v="1"/>
    <x v="3"/>
    <x v="16"/>
  </r>
  <r>
    <n v="202208145"/>
    <s v="NL22RABO0381604934"/>
    <s v="EUR"/>
    <x v="6"/>
    <x v="40"/>
    <d v="2022-08-11T00:00:00"/>
    <d v="2022-08-11T00:00:00"/>
    <n v="-11.6"/>
    <n v="11.6"/>
    <m/>
    <s v="Lidl 475 Panningen PANNINGEN"/>
    <x v="1"/>
    <x v="3"/>
    <x v="16"/>
  </r>
  <r>
    <n v="202208147"/>
    <s v="NL22RABO0381604934"/>
    <s v="EUR"/>
    <x v="6"/>
    <x v="40"/>
    <d v="2022-08-13T00:00:00"/>
    <d v="2022-08-13T00:00:00"/>
    <n v="-6.55"/>
    <n v="6.55"/>
    <m/>
    <s v="Jumbo 197996 MAASBREE"/>
    <x v="1"/>
    <x v="3"/>
    <x v="16"/>
  </r>
  <r>
    <n v="202208152"/>
    <s v="NL22RABO0381604934"/>
    <s v="EUR"/>
    <x v="6"/>
    <x v="40"/>
    <d v="2022-08-19T00:00:00"/>
    <d v="2022-08-19T00:00:00"/>
    <n v="-2.65"/>
    <n v="2.65"/>
    <m/>
    <s v="Spar Enjoy Schatberg SEVENUM"/>
    <x v="1"/>
    <x v="3"/>
    <x v="16"/>
  </r>
  <r>
    <n v="202208157"/>
    <s v="NL22RABO0381604934"/>
    <s v="EUR"/>
    <x v="6"/>
    <x v="40"/>
    <d v="2022-08-21T00:00:00"/>
    <d v="2022-08-21T00:00:00"/>
    <n v="-5.87"/>
    <n v="5.87"/>
    <m/>
    <s v="Lidl 475 Panningen PANNINGEN"/>
    <x v="1"/>
    <x v="3"/>
    <x v="16"/>
  </r>
  <r>
    <n v="202208501"/>
    <s v="KAS"/>
    <m/>
    <x v="6"/>
    <x v="71"/>
    <d v="2022-06-18T00:00:00"/>
    <d v="2022-06-18T00:00:00"/>
    <n v="-61.1"/>
    <n v="61.1"/>
    <m/>
    <s v="boodschappen lidl deurne"/>
    <x v="1"/>
    <x v="3"/>
    <x v="16"/>
  </r>
  <r>
    <n v="202208503"/>
    <s v="KAS"/>
    <m/>
    <x v="6"/>
    <x v="71"/>
    <d v="2022-06-18T00:00:00"/>
    <d v="2022-06-18T00:00:00"/>
    <n v="7.2"/>
    <n v="7.2"/>
    <m/>
    <s v="gekregen ouders?"/>
    <x v="1"/>
    <x v="3"/>
    <x v="16"/>
  </r>
  <r>
    <n v="202208512"/>
    <s v="KAS"/>
    <m/>
    <x v="6"/>
    <x v="40"/>
    <d v="2022-08-10T00:00:00"/>
    <d v="2022-08-10T00:00:00"/>
    <n v="-30"/>
    <n v="30"/>
    <m/>
    <s v="boodschappen"/>
    <x v="1"/>
    <x v="3"/>
    <x v="16"/>
  </r>
  <r>
    <n v="202208513"/>
    <s v="KAS"/>
    <m/>
    <x v="6"/>
    <x v="40"/>
    <d v="2022-08-10T00:00:00"/>
    <d v="2022-08-10T00:00:00"/>
    <n v="-8"/>
    <n v="8"/>
    <m/>
    <s v="proteine peder"/>
    <x v="1"/>
    <x v="3"/>
    <x v="17"/>
  </r>
  <r>
    <n v="202210001"/>
    <s v="NL22RABO0381604934"/>
    <s v="EUR"/>
    <x v="6"/>
    <x v="40"/>
    <d v="2022-08-26T00:00:00"/>
    <d v="2022-08-26T00:00:00"/>
    <n v="-2.87"/>
    <n v="2.87"/>
    <m/>
    <s v="Spar Enjoy Schatberg SEVENUM"/>
    <x v="1"/>
    <x v="3"/>
    <x v="16"/>
  </r>
  <r>
    <n v="202210002"/>
    <s v="NL22RABO0381604934"/>
    <s v="EUR"/>
    <x v="6"/>
    <x v="40"/>
    <d v="2022-08-27T00:00:00"/>
    <d v="2022-08-27T00:00:00"/>
    <n v="-1.49"/>
    <n v="1.49"/>
    <m/>
    <s v="Spar Enjoy Schatberg SEVENUM"/>
    <x v="1"/>
    <x v="3"/>
    <x v="16"/>
  </r>
  <r>
    <n v="202210006"/>
    <s v="NL22RABO0381604934"/>
    <s v="EUR"/>
    <x v="6"/>
    <x v="40"/>
    <d v="2022-08-29T00:00:00"/>
    <d v="2022-08-29T00:00:00"/>
    <n v="-19.87"/>
    <n v="19.87"/>
    <m/>
    <s v="Lidl 475 Panningen PANNINGEN"/>
    <x v="1"/>
    <x v="3"/>
    <x v="16"/>
  </r>
  <r>
    <n v="202210015"/>
    <s v="NL22RABO0381604934"/>
    <s v="EUR"/>
    <x v="6"/>
    <x v="73"/>
    <d v="2022-09-03T00:00:00"/>
    <d v="2022-09-03T00:00:00"/>
    <n v="-5.01"/>
    <n v="5.01"/>
    <m/>
    <s v="ALDI 022 SEVENUM"/>
    <x v="1"/>
    <x v="3"/>
    <x v="16"/>
  </r>
  <r>
    <n v="202210018"/>
    <s v="NL22RABO0381604934"/>
    <s v="EUR"/>
    <x v="6"/>
    <x v="73"/>
    <d v="2022-09-05T00:00:00"/>
    <d v="2022-09-05T00:00:00"/>
    <n v="-3.64"/>
    <n v="3.64"/>
    <m/>
    <s v="Spar Enjoy Schatberg SEVENUM"/>
    <x v="1"/>
    <x v="3"/>
    <x v="16"/>
  </r>
  <r>
    <n v="202210024"/>
    <s v="NL22RABO0381604934"/>
    <s v="EUR"/>
    <x v="6"/>
    <x v="73"/>
    <d v="2022-09-07T00:00:00"/>
    <d v="2022-09-07T00:00:00"/>
    <n v="-6.91"/>
    <n v="6.91"/>
    <m/>
    <s v="Albert Heijn Horst HORST"/>
    <x v="1"/>
    <x v="3"/>
    <x v="16"/>
  </r>
  <r>
    <n v="202210025"/>
    <s v="NL22RABO0381604934"/>
    <s v="EUR"/>
    <x v="6"/>
    <x v="73"/>
    <d v="2022-09-08T00:00:00"/>
    <d v="2022-09-08T00:00:00"/>
    <n v="-1.19"/>
    <n v="1.19"/>
    <m/>
    <s v="Spar Enjoy Schatberg SEVENUM"/>
    <x v="1"/>
    <x v="3"/>
    <x v="16"/>
  </r>
  <r>
    <n v="202210026"/>
    <s v="NL22RABO0381604934"/>
    <s v="EUR"/>
    <x v="6"/>
    <x v="73"/>
    <d v="2022-09-09T00:00:00"/>
    <d v="2022-09-09T00:00:00"/>
    <n v="-3.08"/>
    <n v="3.08"/>
    <m/>
    <s v="Spar Enjoy Schatberg SEVENUM"/>
    <x v="1"/>
    <x v="3"/>
    <x v="16"/>
  </r>
  <r>
    <n v="202210028"/>
    <s v="NL22RABO0381604934"/>
    <s v="EUR"/>
    <x v="6"/>
    <x v="73"/>
    <d v="2022-09-12T00:00:00"/>
    <d v="2022-09-12T00:00:00"/>
    <n v="-1.85"/>
    <n v="1.85"/>
    <m/>
    <s v="Spar Enjoy Schatberg SEVENUM"/>
    <x v="1"/>
    <x v="3"/>
    <x v="16"/>
  </r>
  <r>
    <n v="202210029"/>
    <s v="NL22RABO0381604934"/>
    <s v="EUR"/>
    <x v="6"/>
    <x v="73"/>
    <d v="2022-09-13T00:00:00"/>
    <d v="2022-09-13T00:00:00"/>
    <n v="-31.51"/>
    <n v="31.51"/>
    <m/>
    <s v="Lidl 475 Panningen PANNINGEN"/>
    <x v="1"/>
    <x v="3"/>
    <x v="16"/>
  </r>
  <r>
    <n v="202210031"/>
    <s v="NL22RABO0381604934"/>
    <s v="EUR"/>
    <x v="6"/>
    <x v="73"/>
    <d v="2022-09-15T00:00:00"/>
    <d v="2022-09-15T00:00:00"/>
    <n v="-11.05"/>
    <n v="11.05"/>
    <m/>
    <s v="Action 1325 Panningen"/>
    <x v="1"/>
    <x v="3"/>
    <x v="17"/>
  </r>
  <r>
    <n v="202210032"/>
    <s v="NL22RABO0381604934"/>
    <s v="EUR"/>
    <x v="6"/>
    <x v="73"/>
    <d v="2022-09-15T00:00:00"/>
    <d v="2022-09-15T00:00:00"/>
    <n v="-3.8"/>
    <n v="3.8"/>
    <m/>
    <s v="JanLinders Panningen PANNINGEN"/>
    <x v="1"/>
    <x v="3"/>
    <x v="16"/>
  </r>
  <r>
    <n v="202210033"/>
    <s v="NL22RABO0381604934"/>
    <s v="EUR"/>
    <x v="6"/>
    <x v="73"/>
    <d v="2022-09-17T00:00:00"/>
    <d v="2022-09-17T00:00:00"/>
    <n v="-1.49"/>
    <n v="1.49"/>
    <m/>
    <s v="Spar Enjoy Schatberg SEVENUM"/>
    <x v="1"/>
    <x v="3"/>
    <x v="16"/>
  </r>
  <r>
    <n v="202210036"/>
    <s v="NL22RABO0381604934"/>
    <s v="EUR"/>
    <x v="6"/>
    <x v="73"/>
    <d v="2022-09-20T00:00:00"/>
    <d v="2022-09-20T00:00:00"/>
    <n v="-0.99"/>
    <n v="0.99"/>
    <m/>
    <s v="Spar Enjoy Schatberg SEVENUM"/>
    <x v="1"/>
    <x v="3"/>
    <x v="16"/>
  </r>
  <r>
    <n v="202210040"/>
    <s v="NL22RABO0381604934"/>
    <s v="EUR"/>
    <x v="6"/>
    <x v="73"/>
    <d v="2022-09-21T00:00:00"/>
    <d v="2022-09-21T00:00:00"/>
    <n v="-4.99"/>
    <n v="4.99"/>
    <m/>
    <s v="Lidl 475 Panningen PANNINGEN"/>
    <x v="1"/>
    <x v="3"/>
    <x v="16"/>
  </r>
  <r>
    <n v="202210041"/>
    <s v="NL22RABO0381604934"/>
    <s v="EUR"/>
    <x v="6"/>
    <x v="73"/>
    <d v="2022-09-22T00:00:00"/>
    <d v="2022-09-22T00:00:00"/>
    <n v="-1.29"/>
    <n v="1.29"/>
    <m/>
    <s v="Spar Enjoy Schatberg SEVENUM"/>
    <x v="1"/>
    <x v="3"/>
    <x v="16"/>
  </r>
  <r>
    <n v="202210045"/>
    <s v="NL22RABO0381604934"/>
    <s v="EUR"/>
    <x v="6"/>
    <x v="73"/>
    <d v="2022-09-26T00:00:00"/>
    <d v="2022-09-26T00:00:00"/>
    <n v="-4.33"/>
    <n v="4.33"/>
    <m/>
    <s v="Spar Enjoy Schatberg SEVENUM"/>
    <x v="1"/>
    <x v="3"/>
    <x v="16"/>
  </r>
  <r>
    <n v="202210049"/>
    <s v="NL22RABO0381604934"/>
    <s v="EUR"/>
    <x v="6"/>
    <x v="73"/>
    <d v="2022-09-28T00:00:00"/>
    <d v="2022-09-28T00:00:00"/>
    <n v="-4.33"/>
    <n v="4.33"/>
    <m/>
    <s v="Spar Enjoy Schatberg SEVENUM"/>
    <x v="1"/>
    <x v="3"/>
    <x v="16"/>
  </r>
  <r>
    <n v="202301003"/>
    <s v="NL22RABO0381604934"/>
    <s v="EUR"/>
    <x v="6"/>
    <x v="34"/>
    <d v="2022-10-03T00:00:00"/>
    <d v="2022-10-03T00:00:00"/>
    <n v="-3.18"/>
    <m/>
    <m/>
    <s v="67 Poiesz Supermarkt MUSSELKANAAL"/>
    <x v="1"/>
    <x v="3"/>
    <x v="16"/>
  </r>
  <r>
    <n v="202301008"/>
    <s v="NL22RABO0381604934"/>
    <s v="EUR"/>
    <x v="6"/>
    <x v="34"/>
    <d v="2022-10-05T00:00:00"/>
    <d v="2022-10-05T00:00:00"/>
    <n v="-0.78"/>
    <m/>
    <m/>
    <s v="CCV*Willems Versmarkt MUSSELKANAAL"/>
    <x v="1"/>
    <x v="3"/>
    <x v="16"/>
  </r>
  <r>
    <n v="202301011"/>
    <s v="NL22RABO0381604934"/>
    <s v="EUR"/>
    <x v="6"/>
    <x v="34"/>
    <d v="2022-10-06T00:00:00"/>
    <d v="2022-10-06T00:00:00"/>
    <n v="-3.65"/>
    <m/>
    <m/>
    <s v="Coop 2113 MUSSELKANAAL"/>
    <x v="1"/>
    <x v="3"/>
    <x v="16"/>
  </r>
  <r>
    <n v="202301012"/>
    <s v="NL22RABO0381604934"/>
    <s v="EUR"/>
    <x v="6"/>
    <x v="34"/>
    <d v="2022-10-07T00:00:00"/>
    <d v="2022-10-07T00:00:00"/>
    <n v="-27.07"/>
    <m/>
    <m/>
    <s v="Tamoil Musselkanaal MUSSELKANAAL"/>
    <x v="1"/>
    <x v="3"/>
    <x v="16"/>
  </r>
  <r>
    <n v="202301013"/>
    <s v="NL22RABO0381604934"/>
    <s v="EUR"/>
    <x v="6"/>
    <x v="34"/>
    <d v="2022-10-07T00:00:00"/>
    <d v="2022-10-07T00:00:00"/>
    <n v="-7.59"/>
    <m/>
    <m/>
    <s v="Coop 2113 MUSSELKANAAL"/>
    <x v="1"/>
    <x v="3"/>
    <x v="16"/>
  </r>
  <r>
    <n v="202301014"/>
    <s v="NL22RABO0381604934"/>
    <s v="EUR"/>
    <x v="6"/>
    <x v="34"/>
    <d v="2022-10-08T00:00:00"/>
    <d v="2022-10-08T00:00:00"/>
    <n v="-4.83"/>
    <m/>
    <m/>
    <s v="Lidl 593 Musselkanaa MUSSELKANAAL"/>
    <x v="1"/>
    <x v="3"/>
    <x v="16"/>
  </r>
  <r>
    <n v="202301015"/>
    <s v="NL22RABO0381604934"/>
    <s v="EUR"/>
    <x v="6"/>
    <x v="34"/>
    <d v="2022-10-08T00:00:00"/>
    <d v="2022-10-08T00:00:00"/>
    <n v="-19.989999999999998"/>
    <m/>
    <m/>
    <s v="Lidl 593 Musselkanaa MUSSELKANAAL"/>
    <x v="1"/>
    <x v="3"/>
    <x v="16"/>
  </r>
  <r>
    <n v="202301016"/>
    <s v="NL22RABO0381604934"/>
    <s v="EUR"/>
    <x v="6"/>
    <x v="34"/>
    <d v="2022-10-08T00:00:00"/>
    <d v="2022-10-08T00:00:00"/>
    <n v="-1.73"/>
    <m/>
    <m/>
    <s v="Coop 2113 MUSSELKANAAL"/>
    <x v="1"/>
    <x v="3"/>
    <x v="16"/>
  </r>
  <r>
    <n v="202301020"/>
    <s v="NL22RABO0381604934"/>
    <s v="EUR"/>
    <x v="6"/>
    <x v="34"/>
    <d v="2022-10-10T00:00:00"/>
    <d v="2022-10-10T00:00:00"/>
    <n v="-33.979999999999997"/>
    <m/>
    <m/>
    <s v="ALDI 070 MUSSELKANAAL MUSSELKANAAL"/>
    <x v="1"/>
    <x v="3"/>
    <x v="16"/>
  </r>
  <r>
    <n v="202301022"/>
    <s v="NL22RABO0381604934"/>
    <s v="EUR"/>
    <x v="6"/>
    <x v="34"/>
    <d v="2022-10-11T00:00:00"/>
    <d v="2022-10-11T00:00:00"/>
    <n v="-2.46"/>
    <m/>
    <m/>
    <s v="CCV*PRIMERA MUSSELKANA MUSSELKANAAL"/>
    <x v="1"/>
    <x v="3"/>
    <x v="16"/>
  </r>
  <r>
    <n v="202301023"/>
    <s v="NL22RABO0381604934"/>
    <s v="EUR"/>
    <x v="6"/>
    <x v="34"/>
    <d v="2022-10-11T00:00:00"/>
    <d v="2022-10-11T00:00:00"/>
    <n v="-8.2100000000000009"/>
    <m/>
    <m/>
    <s v="Coop 2113 MUSSELKANAAL"/>
    <x v="1"/>
    <x v="3"/>
    <x v="16"/>
  </r>
  <r>
    <n v="202301024"/>
    <s v="NL22RABO0381604934"/>
    <s v="EUR"/>
    <x v="6"/>
    <x v="34"/>
    <d v="2022-10-12T00:00:00"/>
    <d v="2022-10-12T00:00:00"/>
    <n v="-7.25"/>
    <m/>
    <m/>
    <s v="CCV*PRIMERA MUSSELKANA MUSSELKANAAL"/>
    <x v="1"/>
    <x v="3"/>
    <x v="16"/>
  </r>
  <r>
    <n v="202301025"/>
    <s v="NL22RABO0381604934"/>
    <s v="EUR"/>
    <x v="6"/>
    <x v="34"/>
    <d v="2022-10-14T00:00:00"/>
    <d v="2022-10-14T00:00:00"/>
    <n v="-22.4"/>
    <m/>
    <m/>
    <s v="ALDI 070 MUSSELKANAAL MUSSELKANAAL"/>
    <x v="1"/>
    <x v="3"/>
    <x v="16"/>
  </r>
  <r>
    <n v="202301026"/>
    <s v="NL22RABO0381604934"/>
    <s v="EUR"/>
    <x v="6"/>
    <x v="34"/>
    <d v="2022-10-14T00:00:00"/>
    <d v="2022-10-14T00:00:00"/>
    <n v="-18.100000000000001"/>
    <m/>
    <m/>
    <s v="Coop 2113 MUSSELKANAAL"/>
    <x v="1"/>
    <x v="3"/>
    <x v="16"/>
  </r>
  <r>
    <n v="202301032"/>
    <s v="NL22RABO0381604934"/>
    <s v="EUR"/>
    <x v="6"/>
    <x v="34"/>
    <d v="2022-10-15T00:00:00"/>
    <d v="2022-10-15T00:00:00"/>
    <n v="201.36"/>
    <m/>
    <s v="NL10RBRB0948370114"/>
    <s v="W. Smit e/o W.R.F. Smit-Brands"/>
    <x v="1"/>
    <x v="3"/>
    <x v="16"/>
  </r>
  <r>
    <n v="202301045"/>
    <s v="NL22RABO0381604934"/>
    <s v="EUR"/>
    <x v="6"/>
    <x v="35"/>
    <d v="2022-11-03T00:00:00"/>
    <d v="2022-11-03T00:00:00"/>
    <n v="-5.49"/>
    <m/>
    <m/>
    <s v="Kruidvat 6277 STADSKANAAL"/>
    <x v="1"/>
    <x v="3"/>
    <x v="16"/>
  </r>
  <r>
    <n v="202301046"/>
    <s v="NL22RABO0381604934"/>
    <s v="EUR"/>
    <x v="6"/>
    <x v="35"/>
    <d v="2022-11-03T00:00:00"/>
    <d v="2022-11-03T00:00:00"/>
    <n v="-2.69"/>
    <m/>
    <m/>
    <s v="Kruidvat 6277 STADSKANAAL"/>
    <x v="1"/>
    <x v="3"/>
    <x v="16"/>
  </r>
  <r>
    <n v="202301050"/>
    <s v="NL22RABO0381604934"/>
    <s v="EUR"/>
    <x v="6"/>
    <x v="35"/>
    <d v="2022-11-04T00:00:00"/>
    <d v="2022-11-04T00:00:00"/>
    <n v="-8.14"/>
    <m/>
    <m/>
    <s v="ALDI 070 MUSSELKANAAL MUSSELKANAAL"/>
    <x v="1"/>
    <x v="3"/>
    <x v="16"/>
  </r>
  <r>
    <n v="202301051"/>
    <s v="NL22RABO0381604934"/>
    <s v="EUR"/>
    <x v="6"/>
    <x v="35"/>
    <d v="2022-11-04T00:00:00"/>
    <d v="2022-11-04T00:00:00"/>
    <n v="-0.53"/>
    <m/>
    <m/>
    <s v="Coop 2113 MUSSELKANAAL"/>
    <x v="1"/>
    <x v="3"/>
    <x v="16"/>
  </r>
  <r>
    <n v="202301053"/>
    <s v="NL22RABO0381604934"/>
    <s v="EUR"/>
    <x v="6"/>
    <x v="35"/>
    <d v="2022-11-05T00:00:00"/>
    <d v="2022-11-05T00:00:00"/>
    <n v="-12.55"/>
    <m/>
    <m/>
    <s v="CCV*PRIMERA MUSSELKANA MUSSELKANAAL"/>
    <x v="1"/>
    <x v="3"/>
    <x v="16"/>
  </r>
  <r>
    <n v="202301054"/>
    <s v="NL22RABO0381604934"/>
    <s v="EUR"/>
    <x v="6"/>
    <x v="35"/>
    <d v="2022-11-05T00:00:00"/>
    <d v="2022-11-05T00:00:00"/>
    <n v="-15"/>
    <m/>
    <m/>
    <s v="Friese Vis Kollum"/>
    <x v="1"/>
    <x v="3"/>
    <x v="16"/>
  </r>
  <r>
    <n v="202301055"/>
    <s v="NL22RABO0381604934"/>
    <s v="EUR"/>
    <x v="6"/>
    <x v="35"/>
    <d v="2022-11-05T00:00:00"/>
    <d v="2022-11-05T00:00:00"/>
    <n v="45"/>
    <m/>
    <s v="NL10RBRB0948370114"/>
    <s v="W. Smit e/o W.R.F. Smit-Brands"/>
    <x v="1"/>
    <x v="3"/>
    <x v="16"/>
  </r>
  <r>
    <n v="202301059"/>
    <s v="NL22RABO0381604934"/>
    <s v="EUR"/>
    <x v="6"/>
    <x v="35"/>
    <d v="2022-11-07T00:00:00"/>
    <d v="2022-11-07T00:00:00"/>
    <n v="-3.5"/>
    <m/>
    <m/>
    <s v="ALBERT HEIJN 1653 SCHIPHOL"/>
    <x v="1"/>
    <x v="3"/>
    <x v="16"/>
  </r>
  <r>
    <n v="202301151"/>
    <s v="KAS"/>
    <m/>
    <x v="6"/>
    <x v="34"/>
    <d v="2022-10-14T00:00:00"/>
    <m/>
    <n v="-9.51"/>
    <m/>
    <m/>
    <s v="AH"/>
    <x v="1"/>
    <x v="3"/>
    <x v="16"/>
  </r>
  <r>
    <n v="202301152"/>
    <s v="KAS"/>
    <m/>
    <x v="6"/>
    <x v="34"/>
    <d v="2022-10-15T00:00:00"/>
    <m/>
    <n v="-1.19"/>
    <m/>
    <m/>
    <s v="AH chips"/>
    <x v="1"/>
    <x v="3"/>
    <x v="16"/>
  </r>
  <r>
    <n v="202301153"/>
    <s v="KAS"/>
    <m/>
    <x v="6"/>
    <x v="34"/>
    <d v="2022-10-15T00:00:00"/>
    <m/>
    <n v="-2.48"/>
    <m/>
    <m/>
    <s v="AH chips bannanen"/>
    <x v="1"/>
    <x v="3"/>
    <x v="16"/>
  </r>
  <r>
    <n v="202301159"/>
    <s v="KAS"/>
    <m/>
    <x v="6"/>
    <x v="34"/>
    <d v="2022-10-17T00:00:00"/>
    <m/>
    <n v="0"/>
    <m/>
    <m/>
    <s v="AH boodschappen"/>
    <x v="1"/>
    <x v="3"/>
    <x v="16"/>
  </r>
  <r>
    <n v="202301160"/>
    <s v="KAS"/>
    <m/>
    <x v="6"/>
    <x v="34"/>
    <d v="2022-10-17T00:00:00"/>
    <m/>
    <n v="-2.5"/>
    <m/>
    <m/>
    <s v="AH boodschappen brood + boter"/>
    <x v="1"/>
    <x v="3"/>
    <x v="16"/>
  </r>
  <r>
    <n v="202301162"/>
    <s v="KAS"/>
    <m/>
    <x v="6"/>
    <x v="34"/>
    <d v="2022-10-19T00:00:00"/>
    <m/>
    <n v="-5.71"/>
    <m/>
    <m/>
    <s v="AH boodschappen"/>
    <x v="1"/>
    <x v="3"/>
    <x v="16"/>
  </r>
  <r>
    <n v="202301163"/>
    <s v="KAS"/>
    <m/>
    <x v="6"/>
    <x v="34"/>
    <d v="2022-10-20T00:00:00"/>
    <m/>
    <n v="-8.7899999999999991"/>
    <m/>
    <m/>
    <s v="AH Boodschappen bier renee"/>
    <x v="1"/>
    <x v="3"/>
    <x v="16"/>
  </r>
  <r>
    <n v="202301166"/>
    <s v="KAS"/>
    <m/>
    <x v="6"/>
    <x v="34"/>
    <d v="2022-10-21T00:00:00"/>
    <m/>
    <n v="-2"/>
    <m/>
    <m/>
    <s v="boodsch AH broodbeleg"/>
    <x v="1"/>
    <x v="3"/>
    <x v="16"/>
  </r>
  <r>
    <n v="202301172"/>
    <s v="KAS"/>
    <m/>
    <x v="6"/>
    <x v="34"/>
    <d v="2022-10-22T00:00:00"/>
    <m/>
    <n v="-5.07"/>
    <m/>
    <m/>
    <s v="avondeten"/>
    <x v="1"/>
    <x v="3"/>
    <x v="16"/>
  </r>
  <r>
    <n v="202301176"/>
    <s v="KAS"/>
    <m/>
    <x v="6"/>
    <x v="34"/>
    <d v="2022-10-23T00:00:00"/>
    <m/>
    <n v="0"/>
    <m/>
    <m/>
    <s v="dinner : pasta gemaakt door Lotta"/>
    <x v="1"/>
    <x v="3"/>
    <x v="16"/>
  </r>
  <r>
    <n v="202301186"/>
    <s v="KAS"/>
    <m/>
    <x v="6"/>
    <x v="34"/>
    <d v="2022-10-24T00:00:00"/>
    <m/>
    <n v="-1"/>
    <m/>
    <m/>
    <s v="banaan+appel"/>
    <x v="1"/>
    <x v="3"/>
    <x v="16"/>
  </r>
  <r>
    <n v="202305026"/>
    <s v="NL22RABO0381604934"/>
    <s v="EUR"/>
    <x v="0"/>
    <x v="0"/>
    <d v="2023-02-22T00:00:00"/>
    <d v="2023-02-22T00:00:00"/>
    <n v="-1.05"/>
    <n v="364.7"/>
    <m/>
    <s v="PLUS Musselkanaal MUSSELKANAAL"/>
    <x v="1"/>
    <x v="3"/>
    <x v="16"/>
  </r>
  <r>
    <n v="202305029"/>
    <s v="NL22RABO0381604934"/>
    <s v="EUR"/>
    <x v="0"/>
    <x v="0"/>
    <d v="2023-02-27T00:00:00"/>
    <d v="2023-02-27T00:00:00"/>
    <n v="-4.93"/>
    <n v="332.48"/>
    <m/>
    <s v="Spar Enjoy Schatberg SEVENUM"/>
    <x v="1"/>
    <x v="3"/>
    <x v="16"/>
  </r>
  <r>
    <n v="202305032"/>
    <s v="NL22RABO0381604934"/>
    <s v="EUR"/>
    <x v="0"/>
    <x v="0"/>
    <d v="2023-02-28T00:00:00"/>
    <d v="2023-02-28T00:00:00"/>
    <n v="-88.37"/>
    <n v="190.25"/>
    <m/>
    <s v="Lidl 475 Panningen PANNINGEN"/>
    <x v="1"/>
    <x v="3"/>
    <x v="16"/>
  </r>
  <r>
    <n v="202305033"/>
    <s v="NL22RABO0381604934"/>
    <s v="EUR"/>
    <x v="0"/>
    <x v="0"/>
    <d v="2023-02-28T00:00:00"/>
    <d v="2023-02-28T00:00:00"/>
    <n v="-19.75"/>
    <n v="170.5"/>
    <m/>
    <s v="Jumbo Panningen PANNINGEN"/>
    <x v="1"/>
    <x v="3"/>
    <x v="16"/>
  </r>
  <r>
    <n v="202305039"/>
    <s v="NL22RABO0381604934"/>
    <s v="EUR"/>
    <x v="0"/>
    <x v="74"/>
    <d v="2023-03-03T00:00:00"/>
    <d v="2023-03-03T00:00:00"/>
    <n v="-1.65"/>
    <n v="13.83"/>
    <m/>
    <s v="Spar Enjoy Schatberg SEVENUM"/>
    <x v="1"/>
    <x v="3"/>
    <x v="16"/>
  </r>
  <r>
    <n v="202305040"/>
    <s v="NL22RABO0381604934"/>
    <s v="EUR"/>
    <x v="0"/>
    <x v="74"/>
    <d v="2023-03-05T00:00:00"/>
    <d v="2023-03-05T00:00:00"/>
    <n v="-2.1800000000000002"/>
    <n v="11.65"/>
    <m/>
    <s v="Polish Supermarkt Pann PANNINGEN"/>
    <x v="1"/>
    <x v="3"/>
    <x v="16"/>
  </r>
  <r>
    <n v="202305041"/>
    <s v="NL22RABO0381604934"/>
    <s v="EUR"/>
    <x v="0"/>
    <x v="74"/>
    <d v="2023-03-05T00:00:00"/>
    <d v="2023-03-05T00:00:00"/>
    <n v="-14.03"/>
    <n v="-2.38"/>
    <m/>
    <s v="Lidl 475 Panningen PANNINGEN"/>
    <x v="1"/>
    <x v="3"/>
    <x v="16"/>
  </r>
  <r>
    <n v="202305042"/>
    <s v="NL22RABO0381604934"/>
    <s v="EUR"/>
    <x v="0"/>
    <x v="74"/>
    <d v="2023-03-05T00:00:00"/>
    <d v="2023-03-05T00:00:00"/>
    <n v="-6.99"/>
    <n v="-9.3699999999999992"/>
    <m/>
    <s v="Jumbo Panningen PANNINGEN"/>
    <x v="1"/>
    <x v="3"/>
    <x v="16"/>
  </r>
  <r>
    <n v="202305045"/>
    <s v="NL22RABO0381604934"/>
    <s v="EUR"/>
    <x v="0"/>
    <x v="74"/>
    <d v="2023-03-09T00:00:00"/>
    <d v="2023-03-09T00:00:00"/>
    <n v="-3.44"/>
    <n v="365.45"/>
    <m/>
    <s v="Spar Enjoy Schatberg SEVENUM"/>
    <x v="1"/>
    <x v="3"/>
    <x v="16"/>
  </r>
  <r>
    <n v="202305046"/>
    <s v="NL22RABO0381604934"/>
    <s v="EUR"/>
    <x v="0"/>
    <x v="74"/>
    <d v="2023-03-10T00:00:00"/>
    <d v="2023-03-10T00:00:00"/>
    <n v="-1.0900000000000001"/>
    <n v="364.36"/>
    <m/>
    <s v="Spar Enjoy Schatberg SEVENUM"/>
    <x v="1"/>
    <x v="3"/>
    <x v="16"/>
  </r>
  <r>
    <n v="202305047"/>
    <s v="NL22RABO0381604934"/>
    <s v="EUR"/>
    <x v="0"/>
    <x v="74"/>
    <d v="2023-03-13T00:00:00"/>
    <d v="2023-03-13T00:00:00"/>
    <n v="-1.85"/>
    <n v="362.51"/>
    <m/>
    <s v="Spar Enjoy Schatberg SEVENUM"/>
    <x v="1"/>
    <x v="3"/>
    <x v="16"/>
  </r>
  <r>
    <n v="202305049"/>
    <s v="NL22RABO0381604934"/>
    <s v="EUR"/>
    <x v="0"/>
    <x v="74"/>
    <d v="2023-03-14T00:00:00"/>
    <d v="2023-03-14T00:00:00"/>
    <n v="-14.78"/>
    <n v="325.73"/>
    <m/>
    <s v="Lidl 475 Panningen PANNINGEN"/>
    <x v="1"/>
    <x v="3"/>
    <x v="16"/>
  </r>
  <r>
    <n v="202305050"/>
    <s v="NL22RABO0381604934"/>
    <s v="EUR"/>
    <x v="0"/>
    <x v="74"/>
    <d v="2023-03-17T00:00:00"/>
    <d v="2023-03-17T00:00:00"/>
    <n v="-42.85"/>
    <n v="282.88"/>
    <m/>
    <s v="Lidl 475 Panningen PANNINGEN"/>
    <x v="1"/>
    <x v="3"/>
    <x v="16"/>
  </r>
  <r>
    <n v="202305057"/>
    <s v="NL22RABO0381604934"/>
    <s v="EUR"/>
    <x v="0"/>
    <x v="74"/>
    <d v="2023-03-25T00:00:00"/>
    <d v="2023-03-25T00:00:00"/>
    <n v="-26.42"/>
    <n v="391.72"/>
    <m/>
    <s v="Jumbo PhicoopSevenum SEVENUM"/>
    <x v="1"/>
    <x v="3"/>
    <x v="16"/>
  </r>
  <r>
    <n v="202305060"/>
    <s v="NL22RABO0381604934"/>
    <s v="EUR"/>
    <x v="0"/>
    <x v="74"/>
    <d v="2023-03-27T00:00:00"/>
    <d v="2023-03-27T00:00:00"/>
    <n v="-2.99"/>
    <n v="339.9"/>
    <m/>
    <s v="Spar Enjoy Schatberg SEVENUM"/>
    <x v="1"/>
    <x v="3"/>
    <x v="16"/>
  </r>
  <r>
    <n v="202305063"/>
    <s v="NL22RABO0381604934"/>
    <s v="EUR"/>
    <x v="0"/>
    <x v="74"/>
    <d v="2023-03-29T00:00:00"/>
    <d v="2023-03-29T00:00:00"/>
    <n v="-37"/>
    <n v="258.27"/>
    <m/>
    <s v="Lidl 475 Panningen PANNINGEN"/>
    <x v="1"/>
    <x v="3"/>
    <x v="16"/>
  </r>
  <r>
    <n v="202305068"/>
    <s v="NL22RABO0381604934"/>
    <s v="EUR"/>
    <x v="0"/>
    <x v="75"/>
    <d v="2023-04-05T00:00:00"/>
    <d v="2023-04-05T00:00:00"/>
    <n v="-34.11"/>
    <n v="75.84"/>
    <m/>
    <s v="Lidl 475 Panningen PANNINGEN"/>
    <x v="1"/>
    <x v="3"/>
    <x v="16"/>
  </r>
  <r>
    <n v="202305069"/>
    <s v="NL22RABO0381604934"/>
    <s v="EUR"/>
    <x v="0"/>
    <x v="75"/>
    <d v="2023-04-07T00:00:00"/>
    <d v="2023-04-07T00:00:00"/>
    <n v="-2.89"/>
    <n v="72.95"/>
    <m/>
    <s v="Spar Enjoy Schatberg SEVENUM"/>
    <x v="1"/>
    <x v="3"/>
    <x v="16"/>
  </r>
  <r>
    <n v="202305071"/>
    <s v="NL22RABO0381604934"/>
    <s v="EUR"/>
    <x v="0"/>
    <x v="75"/>
    <d v="2023-04-09T00:00:00"/>
    <d v="2023-04-09T00:00:00"/>
    <n v="-3.69"/>
    <n v="66.760000000000005"/>
    <m/>
    <s v="Spar Enjoy Schatberg SEVENUM"/>
    <x v="1"/>
    <x v="3"/>
    <x v="16"/>
  </r>
  <r>
    <n v="202305073"/>
    <s v="NL22RABO0381604934"/>
    <s v="EUR"/>
    <x v="0"/>
    <x v="75"/>
    <d v="2023-04-10T00:00:00"/>
    <d v="2023-04-10T00:00:00"/>
    <n v="-1.95"/>
    <n v="59.51"/>
    <m/>
    <s v="Spar Enjoy Schatberg SEVENUM"/>
    <x v="1"/>
    <x v="3"/>
    <x v="16"/>
  </r>
  <r>
    <n v="202305075"/>
    <s v="NL22RABO0381604934"/>
    <s v="EUR"/>
    <x v="0"/>
    <x v="75"/>
    <d v="2023-04-12T00:00:00"/>
    <d v="2023-04-12T00:00:00"/>
    <n v="-18.12"/>
    <n v="32.39"/>
    <m/>
    <s v="Jumbo Panningen PANNINGEN"/>
    <x v="1"/>
    <x v="3"/>
    <x v="16"/>
  </r>
  <r>
    <n v="202305078"/>
    <s v="NL22RABO0381604934"/>
    <s v="EUR"/>
    <x v="0"/>
    <x v="75"/>
    <d v="2023-04-12T00:00:00"/>
    <d v="2023-04-12T00:00:00"/>
    <n v="-4.25"/>
    <n v="14.95"/>
    <m/>
    <s v="Jan Reijnen B.V. PANNINGEN"/>
    <x v="1"/>
    <x v="3"/>
    <x v="16"/>
  </r>
  <r>
    <n v="202305079"/>
    <s v="NL22RABO0381604934"/>
    <s v="EUR"/>
    <x v="0"/>
    <x v="75"/>
    <d v="2023-04-12T00:00:00"/>
    <d v="2023-04-12T00:00:00"/>
    <n v="-18.829999999999998"/>
    <n v="-3.88"/>
    <m/>
    <s v="Lidl 475 Panningen PANNINGEN"/>
    <x v="1"/>
    <x v="3"/>
    <x v="16"/>
  </r>
  <r>
    <n v="202305083"/>
    <s v="NL22RABO0381604934"/>
    <s v="EUR"/>
    <x v="0"/>
    <x v="75"/>
    <d v="2023-04-15T00:00:00"/>
    <d v="2023-04-15T00:00:00"/>
    <n v="-29.92"/>
    <n v="141.69999999999999"/>
    <m/>
    <s v="Lidl 475 Panningen PANNINGEN"/>
    <x v="1"/>
    <x v="3"/>
    <x v="16"/>
  </r>
  <r>
    <n v="202305084"/>
    <s v="NL22RABO0381604934"/>
    <s v="EUR"/>
    <x v="0"/>
    <x v="75"/>
    <d v="2023-04-15T00:00:00"/>
    <d v="2023-04-15T00:00:00"/>
    <n v="-25.59"/>
    <n v="116.11"/>
    <m/>
    <s v="Lidl 475 Panningen PANNINGEN"/>
    <x v="1"/>
    <x v="3"/>
    <x v="16"/>
  </r>
  <r>
    <n v="202305093"/>
    <s v="NL22RABO0381604934"/>
    <s v="EUR"/>
    <x v="0"/>
    <x v="75"/>
    <d v="2023-04-19T00:00:00"/>
    <d v="2023-04-19T00:00:00"/>
    <n v="-12.81"/>
    <n v="50.06"/>
    <m/>
    <s v="Jumbo Sevenum SEVENUM"/>
    <x v="1"/>
    <x v="3"/>
    <x v="16"/>
  </r>
  <r>
    <n v="202305099"/>
    <s v="NL22RABO0381604934"/>
    <s v="EUR"/>
    <x v="0"/>
    <x v="75"/>
    <d v="2023-04-21T00:00:00"/>
    <d v="2023-04-21T00:00:00"/>
    <n v="-12.6"/>
    <n v="178.16"/>
    <m/>
    <s v="Lidl 475 Panningen PANNINGEN"/>
    <x v="1"/>
    <x v="3"/>
    <x v="16"/>
  </r>
  <r>
    <n v="202305107"/>
    <s v="NL22RABO0381604934"/>
    <s v="EUR"/>
    <x v="0"/>
    <x v="75"/>
    <d v="2023-04-26T00:00:00"/>
    <d v="2023-04-26T00:00:00"/>
    <n v="-17.34"/>
    <n v="529.41"/>
    <m/>
    <s v="Lidl 475 Panningen PANNINGEN"/>
    <x v="1"/>
    <x v="3"/>
    <x v="16"/>
  </r>
  <r>
    <n v="202305108"/>
    <s v="NL22RABO0381604934"/>
    <s v="EUR"/>
    <x v="0"/>
    <x v="75"/>
    <d v="2023-04-26T00:00:00"/>
    <d v="2023-04-26T00:00:00"/>
    <n v="-9.86"/>
    <n v="519.54999999999995"/>
    <m/>
    <s v="Jumbo Panningen PANNINGEN"/>
    <x v="1"/>
    <x v="3"/>
    <x v="16"/>
  </r>
  <r>
    <n v="202305109"/>
    <s v="NL22RABO0381604934"/>
    <s v="EUR"/>
    <x v="0"/>
    <x v="75"/>
    <d v="2023-04-26T00:00:00"/>
    <d v="2023-04-26T00:00:00"/>
    <n v="-2"/>
    <n v="517.54999999999995"/>
    <m/>
    <s v="Jumbo Panningen PANNINGEN"/>
    <x v="1"/>
    <x v="3"/>
    <x v="16"/>
  </r>
  <r>
    <n v="202305112"/>
    <s v="NL22RABO0381604934"/>
    <s v="EUR"/>
    <x v="0"/>
    <x v="75"/>
    <d v="2023-04-30T00:00:00"/>
    <d v="2023-04-30T00:00:00"/>
    <n v="-23.45"/>
    <n v="483.72"/>
    <m/>
    <s v="Lidl 475 Panningen PANNINGEN"/>
    <x v="1"/>
    <x v="3"/>
    <x v="16"/>
  </r>
  <r>
    <n v="202305113"/>
    <s v="NL22RABO0381604934"/>
    <s v="EUR"/>
    <x v="0"/>
    <x v="75"/>
    <d v="2023-04-30T00:00:00"/>
    <d v="2023-04-30T00:00:00"/>
    <n v="-55.63"/>
    <n v="428.09"/>
    <m/>
    <s v="Lidl 475 Panningen PANNINGEN"/>
    <x v="1"/>
    <x v="3"/>
    <x v="16"/>
  </r>
  <r>
    <n v="202305121"/>
    <s v="NL22RABO0381604934"/>
    <s v="EUR"/>
    <x v="0"/>
    <x v="76"/>
    <d v="2023-05-03T00:00:00"/>
    <d v="2023-05-03T00:00:00"/>
    <n v="-15.92"/>
    <n v="230.58"/>
    <m/>
    <s v="Jan Linders Sevenum SEVENUM"/>
    <x v="1"/>
    <x v="3"/>
    <x v="16"/>
  </r>
  <r>
    <n v="202305122"/>
    <s v="NL22RABO0381604934"/>
    <s v="EUR"/>
    <x v="0"/>
    <x v="76"/>
    <d v="2023-05-05T00:00:00"/>
    <d v="2023-05-05T00:00:00"/>
    <n v="-4.05"/>
    <n v="226.53"/>
    <m/>
    <s v="Spar Enjoy Schatberg SEVENUM"/>
    <x v="1"/>
    <x v="3"/>
    <x v="16"/>
  </r>
  <r>
    <n v="202305127"/>
    <s v="NL22RABO0381604934"/>
    <s v="EUR"/>
    <x v="0"/>
    <x v="76"/>
    <d v="2023-05-06T00:00:00"/>
    <d v="2023-05-06T00:00:00"/>
    <n v="-7.56"/>
    <n v="187.88"/>
    <m/>
    <s v="Lidl 475 Panningen PANNINGEN"/>
    <x v="1"/>
    <x v="3"/>
    <x v="16"/>
  </r>
  <r>
    <n v="202305128"/>
    <s v="NL22RABO0381604934"/>
    <s v="EUR"/>
    <x v="0"/>
    <x v="76"/>
    <d v="2023-05-06T00:00:00"/>
    <d v="2023-05-06T00:00:00"/>
    <n v="-16.010000000000002"/>
    <n v="171.87"/>
    <m/>
    <s v="Lidl 475 Panningen PANNINGEN"/>
    <x v="1"/>
    <x v="3"/>
    <x v="16"/>
  </r>
  <r>
    <n v="202305163"/>
    <m/>
    <m/>
    <x v="0"/>
    <x v="75"/>
    <s v="31/04/2023"/>
    <m/>
    <n v="59.09"/>
    <m/>
    <m/>
    <s v="Iris Kocks TOTAAL 74,14"/>
    <x v="1"/>
    <x v="3"/>
    <x v="16"/>
  </r>
  <r>
    <n v="202305163"/>
    <m/>
    <m/>
    <x v="0"/>
    <x v="76"/>
    <d v="2023-05-07T00:00:00"/>
    <m/>
    <n v="2.5900000000000034"/>
    <m/>
    <m/>
    <s v="Iris Kocks TOTAAL 74,14"/>
    <x v="1"/>
    <x v="3"/>
    <x v="16"/>
  </r>
  <r>
    <n v="202305163"/>
    <m/>
    <m/>
    <x v="0"/>
    <x v="76"/>
    <d v="2023-05-07T00:00:00"/>
    <m/>
    <n v="8.85"/>
    <m/>
    <m/>
    <s v="Iris Kocks LOPENDE REKENING"/>
    <x v="1"/>
    <x v="3"/>
    <x v="16"/>
  </r>
  <r>
    <n v="8"/>
    <s v="BNPPARIBAS"/>
    <m/>
    <x v="1"/>
    <x v="1"/>
    <d v="2017-01-02T00:00:00"/>
    <d v="2017-01-02T00:00:00"/>
    <n v="-0.99"/>
    <n v="0.99"/>
    <m/>
    <s v="itunes"/>
    <x v="1"/>
    <x v="4"/>
    <x v="18"/>
  </r>
  <r>
    <n v="18"/>
    <s v="BNPPARIBAS"/>
    <m/>
    <x v="1"/>
    <x v="2"/>
    <d v="2017-02-02T00:00:00"/>
    <d v="2017-02-02T00:00:00"/>
    <n v="-5"/>
    <n v="5"/>
    <m/>
    <s v="paypal"/>
    <x v="1"/>
    <x v="4"/>
    <x v="15"/>
  </r>
  <r>
    <n v="19"/>
    <s v="BNPPARIBAS"/>
    <m/>
    <x v="1"/>
    <x v="2"/>
    <d v="2017-02-02T00:00:00"/>
    <d v="2017-02-02T00:00:00"/>
    <n v="-11.24"/>
    <n v="11.24"/>
    <m/>
    <s v="paypal"/>
    <x v="1"/>
    <x v="4"/>
    <x v="15"/>
  </r>
  <r>
    <n v="20"/>
    <s v="BNPPARIBAS"/>
    <m/>
    <x v="1"/>
    <x v="2"/>
    <d v="2017-02-02T00:00:00"/>
    <d v="2017-02-02T00:00:00"/>
    <n v="-0.99"/>
    <n v="0.99"/>
    <m/>
    <s v="itunes"/>
    <x v="1"/>
    <x v="4"/>
    <x v="18"/>
  </r>
  <r>
    <n v="24"/>
    <s v="BNPPARIBAS"/>
    <m/>
    <x v="1"/>
    <x v="2"/>
    <d v="2017-02-27T00:00:00"/>
    <d v="2017-02-27T00:00:00"/>
    <n v="-1.4"/>
    <n v="1.4"/>
    <m/>
    <s v="relay"/>
    <x v="1"/>
    <x v="4"/>
    <x v="19"/>
  </r>
  <r>
    <n v="25"/>
    <s v="BNPPARIBAS"/>
    <m/>
    <x v="1"/>
    <x v="2"/>
    <d v="2017-02-27T00:00:00"/>
    <d v="2017-02-27T00:00:00"/>
    <n v="18.98"/>
    <n v="18.98"/>
    <m/>
    <s v="boek Yoga Sutras"/>
    <x v="1"/>
    <x v="4"/>
    <x v="20"/>
  </r>
  <r>
    <n v="26"/>
    <s v="BNPPARIBAS"/>
    <m/>
    <x v="1"/>
    <x v="43"/>
    <d v="2017-03-02T00:00:00"/>
    <d v="2017-03-02T00:00:00"/>
    <n v="-1.99"/>
    <n v="1.99"/>
    <m/>
    <s v="paypal"/>
    <x v="1"/>
    <x v="4"/>
    <x v="15"/>
  </r>
  <r>
    <n v="27"/>
    <s v="BNPPARIBAS"/>
    <m/>
    <x v="1"/>
    <x v="43"/>
    <d v="2017-03-03T00:00:00"/>
    <d v="2017-03-03T00:00:00"/>
    <n v="-1.99"/>
    <n v="1.99"/>
    <m/>
    <s v="PRLV SEPA PAYPAL EUROPE S.A.R.L. ET CIE S.C.A ECH/"/>
    <x v="1"/>
    <x v="4"/>
    <x v="15"/>
  </r>
  <r>
    <n v="28"/>
    <s v="BNPPARIBAS"/>
    <m/>
    <x v="1"/>
    <x v="43"/>
    <d v="2017-03-03T00:00:00"/>
    <d v="2017-03-03T00:00:00"/>
    <n v="-0.99"/>
    <n v="0.99"/>
    <m/>
    <s v="FACTURE CARTE DU 020317 ITUNES.COM/BILL CARTE 4974XXXX"/>
    <x v="1"/>
    <x v="4"/>
    <x v="18"/>
  </r>
  <r>
    <n v="40"/>
    <s v="BNPPARIBAS"/>
    <m/>
    <x v="1"/>
    <x v="43"/>
    <d v="2017-03-30T00:00:00"/>
    <d v="2017-03-30T00:00:00"/>
    <n v="-2.8"/>
    <n v="2.8"/>
    <m/>
    <s v="FACTURE CARTE DU 280317 TRANSAVIA CARTE 4974XXXXXXXX87"/>
    <x v="1"/>
    <x v="4"/>
    <x v="15"/>
  </r>
  <r>
    <n v="41"/>
    <s v="BNPPARIBAS"/>
    <m/>
    <x v="1"/>
    <x v="44"/>
    <d v="2017-04-03T00:00:00"/>
    <d v="2017-04-03T00:00:00"/>
    <n v="-0.99"/>
    <n v="0.99"/>
    <m/>
    <s v="FACTURE CARTE DU 020417 ITUNES.COM/BILL CARTE 4974XXXX"/>
    <x v="1"/>
    <x v="4"/>
    <x v="18"/>
  </r>
  <r>
    <n v="47"/>
    <s v="BNPPARIBAS"/>
    <m/>
    <x v="1"/>
    <x v="45"/>
    <d v="2017-05-03T00:00:00"/>
    <d v="2017-05-03T00:00:00"/>
    <n v="-0.99"/>
    <n v="0.99"/>
    <m/>
    <s v="FACTURE CARTE DU 020517 ITUNES.COM/BILL CARTE 4974XXXX"/>
    <x v="1"/>
    <x v="4"/>
    <x v="18"/>
  </r>
  <r>
    <n v="54"/>
    <s v="BNPPARIBAS"/>
    <m/>
    <x v="1"/>
    <x v="46"/>
    <d v="2017-06-06T00:00:00"/>
    <d v="2017-06-06T00:00:00"/>
    <n v="-0.99"/>
    <n v="0.99"/>
    <m/>
    <s v="FACTURE CARTE DU 020617 ITUNES.COM/BILL CARTE 4974XXXX"/>
    <x v="1"/>
    <x v="4"/>
    <x v="18"/>
  </r>
  <r>
    <n v="58"/>
    <s v="BNPPARIBAS"/>
    <m/>
    <x v="1"/>
    <x v="36"/>
    <d v="2017-07-03T00:00:00"/>
    <d v="2017-07-03T00:00:00"/>
    <n v="-0.99"/>
    <n v="0.99"/>
    <m/>
    <s v="FACTURE CARTE DU 020717 ITUNES.COM/BILL CARTE 4974XXXX"/>
    <x v="1"/>
    <x v="4"/>
    <x v="18"/>
  </r>
  <r>
    <n v="67"/>
    <s v="BNPPARIBAS"/>
    <m/>
    <x v="1"/>
    <x v="47"/>
    <d v="2017-08-03T00:00:00"/>
    <d v="2017-08-03T00:00:00"/>
    <n v="-0.99"/>
    <n v="0.99"/>
    <m/>
    <s v="FACTURE CARTE DU 020817 ITUNES.COM/BILL CARTE 4974XXXX"/>
    <x v="1"/>
    <x v="4"/>
    <x v="18"/>
  </r>
  <r>
    <n v="73"/>
    <s v="BNPPARIBAS"/>
    <m/>
    <x v="1"/>
    <x v="48"/>
    <d v="2017-09-04T00:00:00"/>
    <d v="2017-09-04T00:00:00"/>
    <n v="-0.99"/>
    <n v="0.99"/>
    <m/>
    <s v="FACTURE CARTE DU 020917 ITUNES.COM/BILL CARTE 4974XXXX"/>
    <x v="1"/>
    <x v="4"/>
    <x v="18"/>
  </r>
  <r>
    <n v="78"/>
    <s v="BNPPARIBAS"/>
    <m/>
    <x v="1"/>
    <x v="3"/>
    <d v="2017-10-04T00:00:00"/>
    <d v="2017-10-04T00:00:00"/>
    <n v="-0.99"/>
    <n v="0.99"/>
    <m/>
    <s v="FACTURE CARTE DU 031017 ITUNES.COM/BILL CARTE 4974XXXX"/>
    <x v="1"/>
    <x v="4"/>
    <x v="18"/>
  </r>
  <r>
    <n v="80"/>
    <s v="BNPPARIBAS"/>
    <m/>
    <x v="1"/>
    <x v="3"/>
    <d v="2017-10-09T00:00:00"/>
    <d v="2017-10-09T00:00:00"/>
    <n v="-6.01"/>
    <n v="6.01"/>
    <m/>
    <s v="FACTURE CARTE DU 061017 AMAZON DIGITAL CARTE 4974XXXXX"/>
    <x v="1"/>
    <x v="4"/>
    <x v="20"/>
  </r>
  <r>
    <n v="90"/>
    <s v="BNPPARIBAS"/>
    <m/>
    <x v="1"/>
    <x v="4"/>
    <d v="2017-11-06T00:00:00"/>
    <d v="2017-11-06T00:00:00"/>
    <n v="-0.99"/>
    <n v="0.99"/>
    <m/>
    <s v="FACTURE CARTE DU 021117 ITUNES.COM/BILL CARTE 4974XXXX"/>
    <x v="1"/>
    <x v="4"/>
    <x v="18"/>
  </r>
  <r>
    <n v="92"/>
    <s v="BNPPARIBAS"/>
    <m/>
    <x v="1"/>
    <x v="4"/>
    <d v="2017-11-21T00:00:00"/>
    <d v="2017-11-21T00:00:00"/>
    <n v="-2.99"/>
    <n v="2.99"/>
    <m/>
    <s v="FACTURE CARTE DU 201117 AMAZON DIGITAL CARTE 4974XXXXX"/>
    <x v="1"/>
    <x v="4"/>
    <x v="20"/>
  </r>
  <r>
    <n v="97"/>
    <s v="BNPPARIBAS"/>
    <m/>
    <x v="1"/>
    <x v="5"/>
    <d v="2017-12-05T00:00:00"/>
    <d v="2017-12-05T00:00:00"/>
    <n v="-0.99"/>
    <n v="0.99"/>
    <m/>
    <s v="FACTURE CARTE DU 021217 ITUNES.COM/BILL CARTE 4974XXXX"/>
    <x v="1"/>
    <x v="4"/>
    <x v="18"/>
  </r>
  <r>
    <n v="103"/>
    <s v="KAS"/>
    <m/>
    <x v="1"/>
    <x v="2"/>
    <d v="2017-02-23T00:00:00"/>
    <d v="2017-02-23T00:00:00"/>
    <n v="-10"/>
    <n v="10"/>
    <m/>
    <s v="kas tekort"/>
    <x v="1"/>
    <x v="4"/>
    <x v="21"/>
  </r>
  <r>
    <n v="104"/>
    <s v="KAS"/>
    <m/>
    <x v="1"/>
    <x v="43"/>
    <d v="2017-03-04T00:00:00"/>
    <d v="2017-03-04T00:00:00"/>
    <n v="-1.5"/>
    <n v="1.5"/>
    <m/>
    <s v="muis"/>
    <x v="1"/>
    <x v="4"/>
    <x v="15"/>
  </r>
  <r>
    <n v="105"/>
    <s v="KAS"/>
    <m/>
    <x v="1"/>
    <x v="43"/>
    <d v="2017-03-04T00:00:00"/>
    <d v="2017-03-04T00:00:00"/>
    <n v="-4.3499999999999996"/>
    <n v="4.3499999999999996"/>
    <m/>
    <s v="visitekaartjes"/>
    <x v="1"/>
    <x v="4"/>
    <x v="15"/>
  </r>
  <r>
    <n v="106"/>
    <s v="KAS"/>
    <m/>
    <x v="1"/>
    <x v="43"/>
    <d v="2017-03-05T00:00:00"/>
    <d v="2017-03-05T00:00:00"/>
    <n v="-2.65"/>
    <n v="2.65"/>
    <m/>
    <s v="kastekort 4 dgn"/>
    <x v="1"/>
    <x v="4"/>
    <x v="21"/>
  </r>
  <r>
    <n v="108"/>
    <s v="KAS"/>
    <m/>
    <x v="1"/>
    <x v="43"/>
    <d v="2017-03-12T00:00:00"/>
    <d v="2017-03-12T00:00:00"/>
    <n v="-4.5999999999999996"/>
    <n v="4.5999999999999996"/>
    <m/>
    <s v="kastekort 7 dgn"/>
    <x v="1"/>
    <x v="4"/>
    <x v="21"/>
  </r>
  <r>
    <n v="110"/>
    <s v="KAS"/>
    <m/>
    <x v="1"/>
    <x v="43"/>
    <d v="2017-03-21T00:00:00"/>
    <d v="2017-03-21T00:00:00"/>
    <n v="-4.0999999999999996"/>
    <n v="4.0999999999999996"/>
    <m/>
    <s v="kastdkort 9 dgn"/>
    <x v="1"/>
    <x v="4"/>
    <x v="21"/>
  </r>
  <r>
    <n v="116"/>
    <s v="KAS"/>
    <m/>
    <x v="1"/>
    <x v="43"/>
    <d v="2017-03-27T00:00:00"/>
    <d v="2017-03-27T00:00:00"/>
    <n v="-19.100000000000001"/>
    <n v="19.100000000000001"/>
    <m/>
    <s v="kastekort 6 dgn wisselgeld supermarkt???"/>
    <x v="1"/>
    <x v="4"/>
    <x v="21"/>
  </r>
  <r>
    <n v="117"/>
    <s v="KAS"/>
    <m/>
    <x v="1"/>
    <x v="43"/>
    <d v="2017-03-27T00:00:00"/>
    <d v="2017-03-27T00:00:00"/>
    <n v="-4"/>
    <n v="4"/>
    <m/>
    <s v="ontbijt"/>
    <x v="1"/>
    <x v="4"/>
    <x v="15"/>
  </r>
  <r>
    <n v="122"/>
    <s v="KAS"/>
    <m/>
    <x v="1"/>
    <x v="43"/>
    <d v="2017-03-31T00:00:00"/>
    <d v="2017-03-31T00:00:00"/>
    <n v="-0.4"/>
    <n v="0.4"/>
    <m/>
    <s v="kasverschil"/>
    <x v="1"/>
    <x v="4"/>
    <x v="21"/>
  </r>
  <r>
    <n v="127"/>
    <s v="KAS"/>
    <m/>
    <x v="1"/>
    <x v="43"/>
    <d v="2017-03-31T00:00:00"/>
    <d v="2017-03-31T00:00:00"/>
    <n v="-0.4"/>
    <n v="0.4"/>
    <m/>
    <s v="kastekort"/>
    <x v="1"/>
    <x v="4"/>
    <x v="21"/>
  </r>
  <r>
    <n v="130"/>
    <s v="KAS"/>
    <m/>
    <x v="1"/>
    <x v="44"/>
    <d v="2017-04-01T00:00:00"/>
    <d v="2017-04-01T00:00:00"/>
    <n v="-0.7"/>
    <n v="0.7"/>
    <m/>
    <s v="kasverschil"/>
    <x v="1"/>
    <x v="4"/>
    <x v="21"/>
  </r>
  <r>
    <n v="140"/>
    <s v="KAS"/>
    <m/>
    <x v="1"/>
    <x v="44"/>
    <d v="2017-04-07T00:00:00"/>
    <d v="2017-04-07T00:00:00"/>
    <n v="-1"/>
    <n v="1"/>
    <m/>
    <s v="touw"/>
    <x v="1"/>
    <x v="4"/>
    <x v="15"/>
  </r>
  <r>
    <n v="141"/>
    <s v="KAS"/>
    <m/>
    <x v="1"/>
    <x v="44"/>
    <d v="2017-04-07T00:00:00"/>
    <d v="2017-04-07T00:00:00"/>
    <n v="-1.3"/>
    <n v="1.3"/>
    <m/>
    <s v="kasverschil 5 dgn "/>
    <x v="1"/>
    <x v="4"/>
    <x v="21"/>
  </r>
  <r>
    <n v="151"/>
    <s v="KAS"/>
    <m/>
    <x v="1"/>
    <x v="44"/>
    <d v="2017-04-11T00:00:00"/>
    <d v="2017-04-11T00:00:00"/>
    <n v="-2.6"/>
    <n v="2.6"/>
    <m/>
    <s v="sproeiflesjes"/>
    <x v="1"/>
    <x v="4"/>
    <x v="15"/>
  </r>
  <r>
    <n v="152"/>
    <s v="KAS"/>
    <m/>
    <x v="1"/>
    <x v="44"/>
    <d v="2017-04-11T00:00:00"/>
    <d v="2017-04-11T00:00:00"/>
    <n v="-1.8"/>
    <n v="1.8"/>
    <m/>
    <s v="sleutelhanger"/>
    <x v="1"/>
    <x v="4"/>
    <x v="15"/>
  </r>
  <r>
    <n v="155"/>
    <s v="KAS"/>
    <m/>
    <x v="1"/>
    <x v="44"/>
    <d v="2017-04-14T00:00:00"/>
    <d v="2017-04-14T00:00:00"/>
    <n v="-2"/>
    <n v="2"/>
    <m/>
    <s v="m oofie"/>
    <x v="1"/>
    <x v="4"/>
    <x v="15"/>
  </r>
  <r>
    <n v="156"/>
    <s v="KAS"/>
    <m/>
    <x v="1"/>
    <x v="44"/>
    <d v="2017-04-17T00:00:00"/>
    <d v="2017-04-17T00:00:00"/>
    <n v="-7.13"/>
    <n v="7.13"/>
    <m/>
    <s v="kasverschil"/>
    <x v="1"/>
    <x v="4"/>
    <x v="21"/>
  </r>
  <r>
    <n v="158"/>
    <s v="KAS"/>
    <m/>
    <x v="1"/>
    <x v="44"/>
    <d v="2017-04-17T00:00:00"/>
    <d v="2017-04-17T00:00:00"/>
    <n v="-1.8"/>
    <n v="1.8"/>
    <m/>
    <s v="spuitflesjes"/>
    <x v="1"/>
    <x v="4"/>
    <x v="15"/>
  </r>
  <r>
    <n v="169"/>
    <s v="KAS"/>
    <m/>
    <x v="1"/>
    <x v="44"/>
    <d v="2017-04-17T00:00:00"/>
    <d v="2017-04-17T00:00:00"/>
    <n v="-1.75"/>
    <n v="1.75"/>
    <m/>
    <s v="kasverschil"/>
    <x v="1"/>
    <x v="4"/>
    <x v="21"/>
  </r>
  <r>
    <n v="174"/>
    <s v="KAS"/>
    <m/>
    <x v="1"/>
    <x v="44"/>
    <d v="2017-04-22T00:00:00"/>
    <d v="2017-04-22T00:00:00"/>
    <n v="-2.1"/>
    <n v="2.1"/>
    <m/>
    <s v="kasverschil "/>
    <x v="1"/>
    <x v="4"/>
    <x v="21"/>
  </r>
  <r>
    <n v="177"/>
    <s v="KAS"/>
    <m/>
    <x v="1"/>
    <x v="44"/>
    <d v="2017-04-22T00:00:00"/>
    <d v="2017-04-22T00:00:00"/>
    <n v="-1.5"/>
    <n v="1.5"/>
    <m/>
    <s v="netje fietsmand"/>
    <x v="1"/>
    <x v="4"/>
    <x v="15"/>
  </r>
  <r>
    <n v="181"/>
    <s v="KAS"/>
    <m/>
    <x v="1"/>
    <x v="44"/>
    <d v="2017-04-26T00:00:00"/>
    <d v="2017-04-26T00:00:00"/>
    <n v="-3.6"/>
    <n v="3.6"/>
    <m/>
    <s v="kasverschil 5 dgn"/>
    <x v="1"/>
    <x v="4"/>
    <x v="21"/>
  </r>
  <r>
    <n v="188"/>
    <s v="KAS"/>
    <m/>
    <x v="1"/>
    <x v="44"/>
    <d v="2017-04-26T00:00:00"/>
    <d v="2017-04-26T00:00:00"/>
    <n v="-5.4"/>
    <n v="5.4"/>
    <m/>
    <s v="kasverschil 4 dgn"/>
    <x v="1"/>
    <x v="4"/>
    <x v="21"/>
  </r>
  <r>
    <n v="193"/>
    <s v="KAS"/>
    <m/>
    <x v="1"/>
    <x v="45"/>
    <d v="2017-05-02T00:00:00"/>
    <d v="2017-05-02T00:00:00"/>
    <n v="-5.5"/>
    <n v="5.5"/>
    <m/>
    <s v="screen iphone"/>
    <x v="1"/>
    <x v="4"/>
    <x v="15"/>
  </r>
  <r>
    <n v="208"/>
    <s v="KAS"/>
    <m/>
    <x v="1"/>
    <x v="45"/>
    <d v="2017-05-09T00:00:00"/>
    <d v="2017-05-09T00:00:00"/>
    <n v="-1.5"/>
    <n v="1.5"/>
    <m/>
    <s v="fietsbel"/>
    <x v="1"/>
    <x v="4"/>
    <x v="15"/>
  </r>
  <r>
    <n v="210"/>
    <s v="KAS"/>
    <m/>
    <x v="1"/>
    <x v="45"/>
    <d v="2017-05-09T00:00:00"/>
    <d v="2017-05-09T00:00:00"/>
    <n v="-2"/>
    <n v="2"/>
    <m/>
    <s v="sleutels kopie"/>
    <x v="1"/>
    <x v="4"/>
    <x v="15"/>
  </r>
  <r>
    <n v="211"/>
    <s v="KAS"/>
    <m/>
    <x v="1"/>
    <x v="45"/>
    <d v="2017-05-09T00:00:00"/>
    <d v="2017-05-09T00:00:00"/>
    <n v="-2.8"/>
    <n v="2.8"/>
    <m/>
    <s v="aanzetstaal + karabijn"/>
    <x v="1"/>
    <x v="4"/>
    <x v="15"/>
  </r>
  <r>
    <n v="212"/>
    <s v="KAS"/>
    <m/>
    <x v="1"/>
    <x v="45"/>
    <d v="2017-05-09T00:00:00"/>
    <d v="2017-05-09T00:00:00"/>
    <n v="-2.71"/>
    <n v="2.71"/>
    <m/>
    <s v="kasverschil"/>
    <x v="1"/>
    <x v="4"/>
    <x v="21"/>
  </r>
  <r>
    <n v="226"/>
    <s v="KAS"/>
    <m/>
    <x v="1"/>
    <x v="45"/>
    <d v="2017-05-17T00:00:00"/>
    <d v="2017-05-17T00:00:00"/>
    <n v="-4.17"/>
    <n v="4.17"/>
    <m/>
    <s v="ksstekort 4 dgn"/>
    <x v="1"/>
    <x v="4"/>
    <x v="21"/>
  </r>
  <r>
    <n v="233"/>
    <s v="KAS"/>
    <m/>
    <x v="1"/>
    <x v="45"/>
    <d v="2017-05-20T00:00:00"/>
    <d v="2017-05-20T00:00:00"/>
    <n v="-4.3"/>
    <n v="4.3"/>
    <m/>
    <s v="kasverschil"/>
    <x v="1"/>
    <x v="4"/>
    <x v="21"/>
  </r>
  <r>
    <n v="240"/>
    <s v="KAS"/>
    <m/>
    <x v="1"/>
    <x v="45"/>
    <d v="2017-05-25T00:00:00"/>
    <d v="2017-05-25T00:00:00"/>
    <n v="6.57"/>
    <n v="6.57"/>
    <m/>
    <s v="kasverschil"/>
    <x v="1"/>
    <x v="4"/>
    <x v="21"/>
  </r>
  <r>
    <n v="249"/>
    <s v="KAS"/>
    <m/>
    <x v="1"/>
    <x v="45"/>
    <d v="2017-05-29T00:00:00"/>
    <d v="2017-05-29T00:00:00"/>
    <n v="-4.66"/>
    <n v="4.66"/>
    <m/>
    <s v="kasverschil"/>
    <x v="1"/>
    <x v="4"/>
    <x v="21"/>
  </r>
  <r>
    <n v="264"/>
    <s v="KAS"/>
    <m/>
    <x v="1"/>
    <x v="46"/>
    <d v="2017-06-10T00:00:00"/>
    <d v="2017-06-10T00:00:00"/>
    <n v="-5.85"/>
    <n v="5.85"/>
    <m/>
    <s v="kasverschil 9 dgn"/>
    <x v="1"/>
    <x v="4"/>
    <x v="21"/>
  </r>
  <r>
    <n v="270"/>
    <s v="KAS"/>
    <m/>
    <x v="1"/>
    <x v="46"/>
    <d v="2017-06-10T00:00:00"/>
    <d v="2017-06-10T00:00:00"/>
    <n v="-6.5"/>
    <n v="6.5"/>
    <m/>
    <s v="kado jamy"/>
    <x v="1"/>
    <x v="4"/>
    <x v="22"/>
  </r>
  <r>
    <n v="276"/>
    <s v="KAS"/>
    <m/>
    <x v="1"/>
    <x v="46"/>
    <d v="2017-06-12T00:00:00"/>
    <d v="2017-06-12T00:00:00"/>
    <n v="-1.01"/>
    <n v="1.01"/>
    <m/>
    <s v="kasverschil"/>
    <x v="1"/>
    <x v="4"/>
    <x v="21"/>
  </r>
  <r>
    <n v="281"/>
    <s v="KAS"/>
    <m/>
    <x v="1"/>
    <x v="46"/>
    <d v="2017-06-12T00:00:00"/>
    <d v="2017-06-12T00:00:00"/>
    <n v="-1"/>
    <n v="1"/>
    <m/>
    <s v="speeltjes"/>
    <x v="1"/>
    <x v="4"/>
    <x v="15"/>
  </r>
  <r>
    <n v="282"/>
    <s v="KAS"/>
    <m/>
    <x v="1"/>
    <x v="46"/>
    <d v="2017-06-12T00:00:00"/>
    <d v="2017-06-12T00:00:00"/>
    <n v="-1.06"/>
    <n v="1.06"/>
    <m/>
    <s v="kasverschil 5 dgn"/>
    <x v="1"/>
    <x v="4"/>
    <x v="21"/>
  </r>
  <r>
    <n v="286"/>
    <s v="KAS"/>
    <m/>
    <x v="1"/>
    <x v="46"/>
    <d v="2017-06-24T00:00:00"/>
    <d v="2017-06-24T00:00:00"/>
    <n v="-4"/>
    <n v="4"/>
    <m/>
    <s v="rob"/>
    <x v="1"/>
    <x v="4"/>
    <x v="15"/>
  </r>
  <r>
    <n v="290"/>
    <s v="KAS"/>
    <m/>
    <x v="1"/>
    <x v="46"/>
    <d v="2017-06-24T00:00:00"/>
    <d v="2017-06-24T00:00:00"/>
    <n v="-1"/>
    <n v="1"/>
    <m/>
    <s v="sleutel tennislerares"/>
    <x v="1"/>
    <x v="4"/>
    <x v="15"/>
  </r>
  <r>
    <n v="293"/>
    <s v="KAS"/>
    <m/>
    <x v="1"/>
    <x v="46"/>
    <d v="2017-06-24T00:00:00"/>
    <d v="2017-06-24T00:00:00"/>
    <n v="-1.3"/>
    <n v="1.3"/>
    <m/>
    <s v="kasverschil"/>
    <x v="1"/>
    <x v="4"/>
    <x v="21"/>
  </r>
  <r>
    <n v="319"/>
    <s v="KAS"/>
    <m/>
    <x v="1"/>
    <x v="36"/>
    <d v="2017-07-16T00:00:00"/>
    <d v="2017-07-16T00:00:00"/>
    <n v="-8.85"/>
    <n v="8.85"/>
    <m/>
    <s v="oogdruppels rob"/>
    <x v="1"/>
    <x v="4"/>
    <x v="15"/>
  </r>
  <r>
    <n v="321"/>
    <s v="KAS"/>
    <m/>
    <x v="1"/>
    <x v="36"/>
    <d v="2017-07-16T00:00:00"/>
    <d v="2017-07-16T00:00:00"/>
    <n v="-1"/>
    <n v="1"/>
    <m/>
    <s v="sleutel"/>
    <x v="1"/>
    <x v="4"/>
    <x v="15"/>
  </r>
  <r>
    <n v="325"/>
    <s v="KAS"/>
    <m/>
    <x v="1"/>
    <x v="36"/>
    <d v="2017-07-16T00:00:00"/>
    <d v="2017-07-16T00:00:00"/>
    <n v="-5.75"/>
    <n v="5.75"/>
    <m/>
    <s v="kasverschil/ijsjes"/>
    <x v="1"/>
    <x v="4"/>
    <x v="21"/>
  </r>
  <r>
    <n v="344"/>
    <s v="KAS"/>
    <m/>
    <x v="1"/>
    <x v="47"/>
    <d v="2017-08-08T00:00:00"/>
    <d v="2017-08-08T00:00:00"/>
    <n v="-4.4000000000000004"/>
    <n v="4.4000000000000004"/>
    <m/>
    <s v="kaarsjes verjaardag rob + kado rob"/>
    <x v="1"/>
    <x v="4"/>
    <x v="15"/>
  </r>
  <r>
    <n v="358"/>
    <s v="KAS"/>
    <m/>
    <x v="1"/>
    <x v="47"/>
    <d v="2017-08-21T00:00:00"/>
    <d v="2017-08-21T00:00:00"/>
    <n v="-26.78"/>
    <n v="26.78"/>
    <m/>
    <s v="kasverschil 7 dgn / bier / ijsjes"/>
    <x v="1"/>
    <x v="4"/>
    <x v="21"/>
  </r>
  <r>
    <n v="365"/>
    <s v="KAS"/>
    <m/>
    <x v="1"/>
    <x v="48"/>
    <d v="2017-09-05T00:00:00"/>
    <d v="2017-09-05T00:00:00"/>
    <n v="-2.8"/>
    <n v="2.8"/>
    <m/>
    <s v=" clipboard"/>
    <x v="1"/>
    <x v="4"/>
    <x v="15"/>
  </r>
  <r>
    <n v="368"/>
    <s v="KAS"/>
    <m/>
    <x v="1"/>
    <x v="48"/>
    <d v="2017-09-05T00:00:00"/>
    <d v="2017-09-05T00:00:00"/>
    <n v="-0.8"/>
    <n v="0.8"/>
    <m/>
    <s v="schriftje"/>
    <x v="1"/>
    <x v="4"/>
    <x v="15"/>
  </r>
  <r>
    <n v="373"/>
    <s v="KAS"/>
    <m/>
    <x v="1"/>
    <x v="48"/>
    <d v="2017-09-05T00:00:00"/>
    <d v="2017-09-05T00:00:00"/>
    <n v="-10"/>
    <n v="10"/>
    <m/>
    <s v="anna "/>
    <x v="1"/>
    <x v="4"/>
    <x v="22"/>
  </r>
  <r>
    <n v="374"/>
    <s v="KAS"/>
    <m/>
    <x v="1"/>
    <x v="48"/>
    <d v="2017-09-05T00:00:00"/>
    <d v="2017-09-05T00:00:00"/>
    <n v="15.3"/>
    <n v="15.3"/>
    <m/>
    <s v="kasverschil"/>
    <x v="1"/>
    <x v="4"/>
    <x v="21"/>
  </r>
  <r>
    <n v="386"/>
    <s v="KAS"/>
    <m/>
    <x v="1"/>
    <x v="48"/>
    <d v="2017-09-14T00:00:00"/>
    <d v="2017-09-14T00:00:00"/>
    <n v="-1.47"/>
    <n v="1.47"/>
    <m/>
    <s v="kasverschil"/>
    <x v="1"/>
    <x v="4"/>
    <x v="21"/>
  </r>
  <r>
    <n v="393"/>
    <s v="KAS"/>
    <m/>
    <x v="1"/>
    <x v="48"/>
    <d v="2017-09-14T00:00:00"/>
    <d v="2017-09-14T00:00:00"/>
    <n v="1.38"/>
    <n v="1.38"/>
    <m/>
    <s v="kasverschil"/>
    <x v="1"/>
    <x v="4"/>
    <x v="21"/>
  </r>
  <r>
    <n v="400"/>
    <s v="KAS"/>
    <m/>
    <x v="1"/>
    <x v="3"/>
    <d v="2017-10-01T00:00:00"/>
    <d v="2017-10-01T00:00:00"/>
    <n v="-1"/>
    <n v="1"/>
    <m/>
    <s v="fooi caspar"/>
    <x v="1"/>
    <x v="4"/>
    <x v="15"/>
  </r>
  <r>
    <n v="401"/>
    <s v="KAS"/>
    <m/>
    <x v="1"/>
    <x v="3"/>
    <d v="2017-10-01T00:00:00"/>
    <d v="2017-10-01T00:00:00"/>
    <n v="-6.2"/>
    <n v="6.2"/>
    <m/>
    <s v="kasverschil 10 dgn"/>
    <x v="1"/>
    <x v="4"/>
    <x v="21"/>
  </r>
  <r>
    <n v="407"/>
    <s v="KAS"/>
    <m/>
    <x v="1"/>
    <x v="3"/>
    <d v="2017-10-01T00:00:00"/>
    <d v="2017-10-01T00:00:00"/>
    <n v="-1"/>
    <n v="1"/>
    <m/>
    <s v="fooi caspar"/>
    <x v="1"/>
    <x v="4"/>
    <x v="15"/>
  </r>
  <r>
    <n v="410"/>
    <s v="KAS"/>
    <m/>
    <x v="1"/>
    <x v="3"/>
    <d v="2017-10-01T00:00:00"/>
    <d v="2017-10-01T00:00:00"/>
    <n v="-0.8"/>
    <n v="0.8"/>
    <m/>
    <s v="kasverschil"/>
    <x v="1"/>
    <x v="4"/>
    <x v="21"/>
  </r>
  <r>
    <n v="411"/>
    <s v="KAS"/>
    <m/>
    <x v="1"/>
    <x v="3"/>
    <d v="2017-10-01T00:00:00"/>
    <d v="2017-10-01T00:00:00"/>
    <n v="-1"/>
    <n v="1"/>
    <m/>
    <s v="fooi bar absolute"/>
    <x v="1"/>
    <x v="4"/>
    <x v="15"/>
  </r>
  <r>
    <n v="416"/>
    <s v="KAS"/>
    <m/>
    <x v="1"/>
    <x v="3"/>
    <d v="2017-10-01T00:00:00"/>
    <d v="2017-10-01T00:00:00"/>
    <n v="-1.2"/>
    <n v="1.2"/>
    <m/>
    <s v="kaartjes"/>
    <x v="1"/>
    <x v="4"/>
    <x v="15"/>
  </r>
  <r>
    <n v="417"/>
    <s v="KAS"/>
    <m/>
    <x v="1"/>
    <x v="3"/>
    <d v="2017-10-01T00:00:00"/>
    <d v="2017-10-01T00:00:00"/>
    <n v="-3.4"/>
    <n v="3.4"/>
    <m/>
    <s v="kasverschil"/>
    <x v="1"/>
    <x v="4"/>
    <x v="21"/>
  </r>
  <r>
    <n v="418"/>
    <s v="KAS"/>
    <m/>
    <x v="1"/>
    <x v="3"/>
    <d v="2017-10-01T00:00:00"/>
    <d v="2017-10-01T00:00:00"/>
    <n v="-30"/>
    <n v="30"/>
    <m/>
    <s v="kasverschil"/>
    <x v="1"/>
    <x v="4"/>
    <x v="21"/>
  </r>
  <r>
    <n v="427"/>
    <s v="NL22RABO0381604934"/>
    <m/>
    <x v="1"/>
    <x v="1"/>
    <d v="2017-01-25T00:00:00"/>
    <d v="2017-01-25T00:00:00"/>
    <n v="-5"/>
    <n v="5"/>
    <m/>
    <s v="STICHTING J O H O"/>
    <x v="1"/>
    <x v="4"/>
    <x v="15"/>
  </r>
  <r>
    <n v="428"/>
    <s v="NL22RABO0381604934"/>
    <m/>
    <x v="1"/>
    <x v="2"/>
    <d v="2017-02-03T00:00:00"/>
    <d v="2017-02-03T00:00:00"/>
    <n v="-0.1"/>
    <n v="0.1"/>
    <m/>
    <s v="Debetrente"/>
    <x v="1"/>
    <x v="4"/>
    <x v="23"/>
  </r>
  <r>
    <n v="435"/>
    <s v="NL22RABO0381604934"/>
    <m/>
    <x v="1"/>
    <x v="2"/>
    <d v="2017-02-23T00:00:00"/>
    <d v="2017-02-23T00:00:00"/>
    <n v="-9.99"/>
    <n v="9.99"/>
    <m/>
    <s v="toetsenbord"/>
    <x v="1"/>
    <x v="4"/>
    <x v="15"/>
  </r>
  <r>
    <n v="436"/>
    <s v="NL22RABO0381604934"/>
    <m/>
    <x v="1"/>
    <x v="2"/>
    <d v="2017-02-23T00:00:00"/>
    <d v="2017-02-23T00:00:00"/>
    <n v="-3.6"/>
    <n v="3.6"/>
    <m/>
    <s v="volkskrant"/>
    <x v="1"/>
    <x v="4"/>
    <x v="15"/>
  </r>
  <r>
    <n v="438"/>
    <s v="NL22RABO0381604934"/>
    <m/>
    <x v="1"/>
    <x v="2"/>
    <d v="2017-02-25T00:00:00"/>
    <d v="2017-02-25T00:00:00"/>
    <n v="-3.6"/>
    <n v="3.6"/>
    <m/>
    <s v="113  DIO-Readshop MUSSELKANAAL"/>
    <x v="1"/>
    <x v="4"/>
    <x v="15"/>
  </r>
  <r>
    <n v="440"/>
    <s v="NL22RABO0381604934"/>
    <m/>
    <x v="1"/>
    <x v="2"/>
    <d v="2017-02-28T00:00:00"/>
    <d v="2017-02-28T00:00:00"/>
    <n v="-9.99"/>
    <n v="9.99"/>
    <m/>
    <s v="CCV*HOBBIX COMPUTERS STADSKANAAL"/>
    <x v="1"/>
    <x v="4"/>
    <x v="15"/>
  </r>
  <r>
    <n v="443"/>
    <s v="NL22RABO0381604934"/>
    <m/>
    <x v="1"/>
    <x v="43"/>
    <d v="2017-03-01T00:00:00"/>
    <d v="2017-03-01T00:00:00"/>
    <n v="-3.21"/>
    <n v="3.21"/>
    <m/>
    <s v="action wissellijst en lampjes"/>
    <x v="1"/>
    <x v="4"/>
    <x v="15"/>
  </r>
  <r>
    <n v="453"/>
    <s v="NL22RABO0381604934"/>
    <m/>
    <x v="1"/>
    <x v="43"/>
    <d v="2017-03-06T00:00:00"/>
    <d v="2017-03-06T00:00:00"/>
    <n v="-1.98"/>
    <n v="1.98"/>
    <m/>
    <s v="1283 Action Arnhem ARNHEM"/>
    <x v="1"/>
    <x v="4"/>
    <x v="15"/>
  </r>
  <r>
    <n v="461"/>
    <s v="NL22RABO0381604934"/>
    <m/>
    <x v="1"/>
    <x v="43"/>
    <d v="2017-03-09T00:00:00"/>
    <d v="2017-03-09T00:00:00"/>
    <n v="-2.5"/>
    <n v="2.5"/>
    <m/>
    <s v="So-Low Arnhem ARNHEM"/>
    <x v="1"/>
    <x v="4"/>
    <x v="15"/>
  </r>
  <r>
    <n v="471"/>
    <s v="NL22RABO0381604934"/>
    <m/>
    <x v="1"/>
    <x v="43"/>
    <d v="2017-03-13T00:00:00"/>
    <d v="2017-03-13T00:00:00"/>
    <n v="-1.58"/>
    <n v="1.58"/>
    <m/>
    <s v="ZEEMAN ARNHEM MUSISKWA ARNHEM"/>
    <x v="1"/>
    <x v="4"/>
    <x v="15"/>
  </r>
  <r>
    <n v="487"/>
    <s v="NL22RABO0381604934"/>
    <m/>
    <x v="1"/>
    <x v="43"/>
    <d v="2017-03-16T00:00:00"/>
    <d v="2017-03-16T00:00:00"/>
    <n v="-10"/>
    <n v="10"/>
    <m/>
    <s v="VFW Nijmegen NIJMEGEN"/>
    <x v="1"/>
    <x v="4"/>
    <x v="19"/>
  </r>
  <r>
    <n v="488"/>
    <s v="NL22RABO0381604934"/>
    <m/>
    <x v="1"/>
    <x v="43"/>
    <d v="2017-03-16T00:00:00"/>
    <d v="2017-03-16T00:00:00"/>
    <n v="-7.98"/>
    <n v="7.98"/>
    <m/>
    <s v="1289 Action Nijmegen NIJMEGEN"/>
    <x v="1"/>
    <x v="4"/>
    <x v="15"/>
  </r>
  <r>
    <n v="499"/>
    <s v="NL22RABO0381604934"/>
    <m/>
    <x v="1"/>
    <x v="43"/>
    <d v="2017-03-18T00:00:00"/>
    <d v="2017-03-18T00:00:00"/>
    <n v="-11"/>
    <n v="11"/>
    <m/>
    <s v="CCV*FACINT BV ARNHEM"/>
    <x v="1"/>
    <x v="4"/>
    <x v="15"/>
  </r>
  <r>
    <n v="507"/>
    <s v="NL22RABO0381604934"/>
    <m/>
    <x v="1"/>
    <x v="43"/>
    <d v="2017-03-20T00:00:00"/>
    <d v="2017-03-20T00:00:00"/>
    <n v="-21"/>
    <n v="21"/>
    <m/>
    <s v="Pathe Arnhem ARNHEM"/>
    <x v="1"/>
    <x v="4"/>
    <x v="24"/>
  </r>
  <r>
    <n v="513"/>
    <s v="NL22RABO0381604934"/>
    <m/>
    <x v="1"/>
    <x v="43"/>
    <d v="2017-03-22T00:00:00"/>
    <d v="2017-03-22T00:00:00"/>
    <n v="-3.95"/>
    <n v="3.95"/>
    <m/>
    <s v="CCV*PRIMERA MUSSELKANA MUSSELKANAAL"/>
    <x v="1"/>
    <x v="4"/>
    <x v="20"/>
  </r>
  <r>
    <n v="520"/>
    <s v="NL22RABO0381604934"/>
    <m/>
    <x v="1"/>
    <x v="43"/>
    <d v="2017-03-28T00:00:00"/>
    <d v="2017-03-28T00:00:00"/>
    <n v="-10"/>
    <n v="10"/>
    <m/>
    <s v="7701 AKO R'dam Airp ROTTERDAM"/>
    <x v="1"/>
    <x v="4"/>
    <x v="20"/>
  </r>
  <r>
    <n v="522"/>
    <s v="NL22RABO0381604934"/>
    <m/>
    <x v="1"/>
    <x v="43"/>
    <d v="2017-03-30T00:00:00"/>
    <d v="2017-03-30T00:00:00"/>
    <n v="-1.1100000000000001"/>
    <n v="1.1100000000000001"/>
    <m/>
    <s v="Jj siecker"/>
    <x v="1"/>
    <x v="4"/>
    <x v="15"/>
  </r>
  <r>
    <n v="529"/>
    <s v="NL22RABO0381604934"/>
    <m/>
    <x v="1"/>
    <x v="44"/>
    <d v="2017-04-06T00:00:00"/>
    <d v="2017-04-06T00:00:00"/>
    <n v="-25.93"/>
    <n v="25.93"/>
    <m/>
    <s v="BUCKAROO ST.DERDENGELDEN"/>
    <x v="1"/>
    <x v="4"/>
    <x v="24"/>
  </r>
  <r>
    <n v="535"/>
    <s v="NL22RABO0381604934"/>
    <m/>
    <x v="1"/>
    <x v="44"/>
    <d v="2017-04-11T00:00:00"/>
    <d v="2017-04-11T00:00:00"/>
    <n v="-33.85"/>
    <n v="33.85"/>
    <m/>
    <s v="ING Bank"/>
    <x v="1"/>
    <x v="4"/>
    <x v="15"/>
  </r>
  <r>
    <n v="549"/>
    <s v="NL22RABO0381604934"/>
    <m/>
    <x v="1"/>
    <x v="45"/>
    <d v="2017-05-01T00:00:00"/>
    <d v="2017-05-01T00:00:00"/>
    <n v="-0.99"/>
    <n v="0.99"/>
    <m/>
    <s v="RABOBANK NEDERLAND"/>
    <x v="1"/>
    <x v="4"/>
    <x v="18"/>
  </r>
  <r>
    <n v="552"/>
    <s v="NL22RABO0381604934"/>
    <m/>
    <x v="1"/>
    <x v="45"/>
    <d v="2017-05-04T00:00:00"/>
    <d v="2017-05-04T00:00:00"/>
    <n v="-19"/>
    <n v="19"/>
    <m/>
    <s v="BUCKAROO ST.DERDENGELDEN"/>
    <x v="1"/>
    <x v="4"/>
    <x v="24"/>
  </r>
  <r>
    <n v="568"/>
    <s v="NL22RABO0381604934"/>
    <m/>
    <x v="1"/>
    <x v="46"/>
    <d v="2017-06-06T00:00:00"/>
    <d v="2017-06-06T00:00:00"/>
    <n v="-19"/>
    <n v="19"/>
    <m/>
    <s v="BUCKAROO ST.DERDENGELDEN"/>
    <x v="1"/>
    <x v="4"/>
    <x v="24"/>
  </r>
  <r>
    <n v="580"/>
    <s v="NL22RABO0381604934"/>
    <m/>
    <x v="1"/>
    <x v="46"/>
    <d v="2017-06-29T00:00:00"/>
    <d v="2017-06-29T00:00:00"/>
    <n v="-13"/>
    <n v="13"/>
    <m/>
    <s v="SCAVI DI POMPEI       \POMPEI       \"/>
    <x v="1"/>
    <x v="4"/>
    <x v="15"/>
  </r>
  <r>
    <n v="582"/>
    <s v="NL22RABO0381604934"/>
    <m/>
    <x v="1"/>
    <x v="36"/>
    <d v="2017-07-06T00:00:00"/>
    <d v="2017-07-06T00:00:00"/>
    <n v="-19"/>
    <n v="19"/>
    <m/>
    <s v="BUCKAROO ST.DERDENGELDEN"/>
    <x v="1"/>
    <x v="4"/>
    <x v="24"/>
  </r>
  <r>
    <n v="594"/>
    <s v="NL22RABO0381604934"/>
    <m/>
    <x v="1"/>
    <x v="36"/>
    <d v="2017-07-31T00:00:00"/>
    <d v="2017-07-31T00:00:00"/>
    <n v="-0.95"/>
    <n v="0.95"/>
    <m/>
    <s v="COIN PART.ACQ.DISTRIB.\RAVENNA      \"/>
    <x v="1"/>
    <x v="4"/>
    <x v="15"/>
  </r>
  <r>
    <n v="595"/>
    <s v="NL22RABO0381604934"/>
    <m/>
    <x v="1"/>
    <x v="47"/>
    <d v="2017-08-04T00:00:00"/>
    <d v="2017-08-04T00:00:00"/>
    <n v="-19"/>
    <n v="19"/>
    <m/>
    <s v="BUCKAROO ST.DERDENGELDEN"/>
    <x v="1"/>
    <x v="4"/>
    <x v="24"/>
  </r>
  <r>
    <n v="613"/>
    <s v="NL22RABO0381604934"/>
    <m/>
    <x v="1"/>
    <x v="48"/>
    <d v="2017-09-06T00:00:00"/>
    <d v="2017-09-06T00:00:00"/>
    <n v="-19"/>
    <n v="19"/>
    <m/>
    <s v="BUCKAROO ST.DERDENGELDEN"/>
    <x v="1"/>
    <x v="4"/>
    <x v="24"/>
  </r>
  <r>
    <n v="615"/>
    <s v="NL22RABO0381604934"/>
    <m/>
    <x v="1"/>
    <x v="48"/>
    <d v="2017-09-07T00:00:00"/>
    <d v="2017-09-07T00:00:00"/>
    <n v="-0.99"/>
    <n v="0.99"/>
    <m/>
    <s v="bol.com b.v."/>
    <x v="1"/>
    <x v="4"/>
    <x v="22"/>
  </r>
  <r>
    <n v="616"/>
    <s v="NL22RABO0381604934"/>
    <m/>
    <x v="1"/>
    <x v="48"/>
    <d v="2017-09-08T00:00:00"/>
    <d v="2017-09-08T00:00:00"/>
    <n v="0.99"/>
    <n v="0.99"/>
    <m/>
    <s v="BOL.COM BV"/>
    <x v="1"/>
    <x v="4"/>
    <x v="22"/>
  </r>
  <r>
    <n v="621"/>
    <s v="NL22RABO0381604934"/>
    <m/>
    <x v="1"/>
    <x v="48"/>
    <d v="2017-09-21T00:00:00"/>
    <d v="2017-09-21T00:00:00"/>
    <n v="-12.99"/>
    <n v="12.99"/>
    <m/>
    <s v="UNIEURO 353 ROMA ITA"/>
    <x v="1"/>
    <x v="4"/>
    <x v="15"/>
  </r>
  <r>
    <n v="628"/>
    <s v="NL22RABO0381604934"/>
    <m/>
    <x v="1"/>
    <x v="3"/>
    <d v="2017-10-03T00:00:00"/>
    <d v="2017-10-03T00:00:00"/>
    <n v="-3.81"/>
    <n v="3.81"/>
    <m/>
    <s v="Action 1072 Stadskanaal"/>
    <x v="1"/>
    <x v="4"/>
    <x v="15"/>
  </r>
  <r>
    <n v="631"/>
    <s v="NL22RABO0381604934"/>
    <m/>
    <x v="1"/>
    <x v="3"/>
    <d v="2017-10-06T00:00:00"/>
    <d v="2017-10-06T00:00:00"/>
    <n v="-19"/>
    <n v="19"/>
    <m/>
    <s v="BUCKAROO ST.DERDENGELDEN"/>
    <x v="1"/>
    <x v="4"/>
    <x v="24"/>
  </r>
  <r>
    <n v="639"/>
    <s v="NL22RABO0381604934"/>
    <m/>
    <x v="1"/>
    <x v="3"/>
    <d v="2017-10-11T00:00:00"/>
    <d v="2017-10-11T00:00:00"/>
    <n v="-5.54"/>
    <n v="5.54"/>
    <m/>
    <s v="PostMasters Arnhem ARNHEM"/>
    <x v="1"/>
    <x v="4"/>
    <x v="15"/>
  </r>
  <r>
    <n v="642"/>
    <s v="NL22RABO0381604934"/>
    <m/>
    <x v="1"/>
    <x v="3"/>
    <d v="2017-10-12T00:00:00"/>
    <d v="2017-10-12T00:00:00"/>
    <n v="-1.05"/>
    <n v="1.05"/>
    <m/>
    <s v="Primera Arnhem Centr ARNHEM"/>
    <x v="1"/>
    <x v="4"/>
    <x v="15"/>
  </r>
  <r>
    <n v="658"/>
    <s v="NL22RABO0381604934"/>
    <m/>
    <x v="1"/>
    <x v="3"/>
    <d v="2017-10-19T00:00:00"/>
    <d v="2017-10-19T00:00:00"/>
    <n v="-5"/>
    <n v="5"/>
    <m/>
    <s v="FOTO VIDEO SMITS BV ARNHEM"/>
    <x v="1"/>
    <x v="4"/>
    <x v="15"/>
  </r>
  <r>
    <n v="681"/>
    <s v="NL22RABO0381604934"/>
    <m/>
    <x v="1"/>
    <x v="3"/>
    <d v="2017-10-25T00:00:00"/>
    <d v="2017-10-25T00:00:00"/>
    <n v="-3.5"/>
    <n v="3.5"/>
    <m/>
    <s v="CCV*HOBBIX COMPUTERS STADSKANAAL"/>
    <x v="1"/>
    <x v="4"/>
    <x v="15"/>
  </r>
  <r>
    <n v="684"/>
    <s v="NL22RABO0381604934"/>
    <m/>
    <x v="1"/>
    <x v="3"/>
    <d v="2017-10-27T00:00:00"/>
    <d v="2017-10-27T00:00:00"/>
    <n v="-0.49"/>
    <n v="0.49"/>
    <m/>
    <s v="CCV*HOBBIX COMPUTERS STADSKANAAL"/>
    <x v="1"/>
    <x v="4"/>
    <x v="15"/>
  </r>
  <r>
    <n v="690"/>
    <s v="NL22RABO0381604934"/>
    <m/>
    <x v="1"/>
    <x v="3"/>
    <d v="2017-10-31T00:00:00"/>
    <d v="2017-10-31T00:00:00"/>
    <n v="-6.98"/>
    <n v="6.98"/>
    <m/>
    <s v="Blokker554 Musselkan MUSSELKANAAL"/>
    <x v="1"/>
    <x v="4"/>
    <x v="15"/>
  </r>
  <r>
    <n v="691"/>
    <s v="NL22RABO0381604934"/>
    <m/>
    <x v="1"/>
    <x v="3"/>
    <d v="2017-10-31T00:00:00"/>
    <d v="2017-10-31T00:00:00"/>
    <n v="-1.99"/>
    <n v="1.99"/>
    <m/>
    <s v="Action 1072 Stadskanaal"/>
    <x v="1"/>
    <x v="4"/>
    <x v="15"/>
  </r>
  <r>
    <n v="694"/>
    <s v="NL22RABO0381604934"/>
    <m/>
    <x v="1"/>
    <x v="3"/>
    <d v="2017-10-31T00:00:00"/>
    <d v="2017-10-31T00:00:00"/>
    <n v="-13.99"/>
    <n v="13.99"/>
    <m/>
    <s v="bol.com b.v."/>
    <x v="1"/>
    <x v="4"/>
    <x v="22"/>
  </r>
  <r>
    <n v="700"/>
    <s v="NL22RABO0381604934"/>
    <m/>
    <x v="1"/>
    <x v="4"/>
    <d v="2017-11-03T00:00:00"/>
    <d v="2017-11-03T00:00:00"/>
    <n v="-15.12"/>
    <n v="15.12"/>
    <m/>
    <s v="PATHE THEATRES BV"/>
    <x v="1"/>
    <x v="4"/>
    <x v="24"/>
  </r>
  <r>
    <n v="705"/>
    <s v="NL22RABO0381604934"/>
    <m/>
    <x v="1"/>
    <x v="4"/>
    <d v="2017-11-24T00:00:00"/>
    <d v="2017-11-24T00:00:00"/>
    <n v="1"/>
    <n v="1"/>
    <m/>
    <s v="BOL.COM BV"/>
    <x v="1"/>
    <x v="4"/>
    <x v="22"/>
  </r>
  <r>
    <n v="708"/>
    <s v="NL22RABO0381604934"/>
    <m/>
    <x v="1"/>
    <x v="5"/>
    <d v="2017-12-05T00:00:00"/>
    <d v="2017-12-05T00:00:00"/>
    <n v="-0.17"/>
    <n v="0.17"/>
    <m/>
    <s v="Debetrente"/>
    <x v="1"/>
    <x v="4"/>
    <x v="23"/>
  </r>
  <r>
    <n v="711"/>
    <s v="NL22RABO0381604934"/>
    <m/>
    <x v="1"/>
    <x v="5"/>
    <d v="2017-12-19T00:00:00"/>
    <d v="2017-12-19T00:00:00"/>
    <n v="8.25"/>
    <n v="8.25"/>
    <m/>
    <s v="Ait Amirat Anais"/>
    <x v="1"/>
    <x v="4"/>
    <x v="15"/>
  </r>
  <r>
    <n v="713"/>
    <s v="NL22RABO0381604934"/>
    <m/>
    <x v="1"/>
    <x v="5"/>
    <d v="2017-12-22T00:00:00"/>
    <d v="2017-12-22T00:00:00"/>
    <n v="-5"/>
    <n v="5"/>
    <m/>
    <s v="STICHTING J O H O"/>
    <x v="1"/>
    <x v="4"/>
    <x v="15"/>
  </r>
  <r>
    <n v="716"/>
    <s v="RABO GOLD CARD"/>
    <m/>
    <x v="1"/>
    <x v="44"/>
    <d v="2017-04-18T00:00:00"/>
    <d v="2017-04-18T00:00:00"/>
    <n v="0.99"/>
    <n v="0.99"/>
    <m/>
    <s v="ITUNES.COM/BILL ITUNES.COM IRL"/>
    <x v="1"/>
    <x v="4"/>
    <x v="18"/>
  </r>
  <r>
    <n v="722"/>
    <s v="BNPPARIBAS"/>
    <m/>
    <x v="2"/>
    <x v="6"/>
    <d v="2018-01-02T00:00:00"/>
    <d v="2018-01-02T00:00:00"/>
    <n v="-2.08"/>
    <n v="2.08"/>
    <m/>
    <s v="PRLV SEPA PAYPAL EUROPE S.A.R.L. ET CIE S.C.A ECH/"/>
    <x v="1"/>
    <x v="4"/>
    <x v="15"/>
  </r>
  <r>
    <n v="725"/>
    <s v="BNPPARIBAS"/>
    <m/>
    <x v="2"/>
    <x v="6"/>
    <d v="2018-01-03T00:00:00"/>
    <d v="2018-01-03T00:00:00"/>
    <n v="-0.99"/>
    <n v="0.99"/>
    <m/>
    <s v="FACTURE CARTE DU 020118 ITUNES.COM/BILL CARTE 4974XXXX"/>
    <x v="1"/>
    <x v="4"/>
    <x v="18"/>
  </r>
  <r>
    <n v="732"/>
    <s v="BNPPARIBAS"/>
    <m/>
    <x v="2"/>
    <x v="9"/>
    <d v="2018-02-05T00:00:00"/>
    <d v="2018-02-05T00:00:00"/>
    <n v="-0.99"/>
    <n v="0.99"/>
    <m/>
    <s v="FACTURE CARTE DU 020218 ITUNES.COM/BILL CARTE 4974XXXX"/>
    <x v="1"/>
    <x v="4"/>
    <x v="18"/>
  </r>
  <r>
    <n v="739"/>
    <s v="BNPPARIBAS"/>
    <m/>
    <x v="2"/>
    <x v="10"/>
    <d v="2018-03-05T00:00:00"/>
    <d v="2018-03-05T00:00:00"/>
    <n v="-5.44"/>
    <n v="5.44"/>
    <m/>
    <s v="PRLV SEPA PAYPAL EUROPE S.A.R.L. ET CIE S.C.A ECH/"/>
    <x v="1"/>
    <x v="4"/>
    <x v="15"/>
  </r>
  <r>
    <n v="740"/>
    <s v="BNPPARIBAS"/>
    <m/>
    <x v="2"/>
    <x v="10"/>
    <d v="2018-03-05T00:00:00"/>
    <d v="2018-03-05T00:00:00"/>
    <n v="-0.99"/>
    <n v="0.99"/>
    <m/>
    <s v="FACTURE CARTE DU 020318 ITUNES.COM/BILL CARTE 4974XXXX"/>
    <x v="1"/>
    <x v="4"/>
    <x v="18"/>
  </r>
  <r>
    <n v="746"/>
    <s v="BNPPARIBAS"/>
    <m/>
    <x v="2"/>
    <x v="49"/>
    <d v="2018-04-15T00:00:00"/>
    <d v="2018-04-15T00:00:00"/>
    <n v="-0.99"/>
    <n v="0.99"/>
    <m/>
    <s v="itunes"/>
    <x v="1"/>
    <x v="4"/>
    <x v="18"/>
  </r>
  <r>
    <n v="751"/>
    <s v="BNPPARIBAS"/>
    <m/>
    <x v="2"/>
    <x v="50"/>
    <d v="2018-05-15T00:00:00"/>
    <d v="2018-05-15T00:00:00"/>
    <n v="-0.99"/>
    <n v="0.99"/>
    <m/>
    <s v="itunes"/>
    <x v="1"/>
    <x v="4"/>
    <x v="18"/>
  </r>
  <r>
    <n v="757"/>
    <s v="BNPPARIBAS"/>
    <m/>
    <x v="2"/>
    <x v="51"/>
    <d v="2018-06-15T00:00:00"/>
    <d v="2018-06-15T00:00:00"/>
    <n v="-0.99"/>
    <n v="0.99"/>
    <m/>
    <s v="itunes"/>
    <x v="1"/>
    <x v="4"/>
    <x v="18"/>
  </r>
  <r>
    <n v="762"/>
    <s v="BNPPARIBAS"/>
    <m/>
    <x v="2"/>
    <x v="52"/>
    <d v="2018-07-15T00:00:00"/>
    <d v="2018-07-15T00:00:00"/>
    <n v="-0.99"/>
    <n v="0.99"/>
    <m/>
    <s v="itunes"/>
    <x v="1"/>
    <x v="4"/>
    <x v="18"/>
  </r>
  <r>
    <n v="769"/>
    <s v="BNPPARIBAS"/>
    <m/>
    <x v="2"/>
    <x v="37"/>
    <d v="2018-08-15T00:00:00"/>
    <d v="2018-08-15T00:00:00"/>
    <n v="0.99"/>
    <n v="0.99"/>
    <m/>
    <s v="itunes"/>
    <x v="1"/>
    <x v="4"/>
    <x v="18"/>
  </r>
  <r>
    <n v="786"/>
    <s v="BNPPARIBAS"/>
    <m/>
    <x v="2"/>
    <x v="7"/>
    <d v="2018-11-01T00:00:00"/>
    <d v="2018-11-01T00:00:00"/>
    <n v="-3"/>
    <n v="3"/>
    <m/>
    <s v="relay"/>
    <x v="1"/>
    <x v="4"/>
    <x v="25"/>
  </r>
  <r>
    <n v="787"/>
    <s v="BNPPARIBAS"/>
    <m/>
    <x v="2"/>
    <x v="7"/>
    <d v="2018-11-01T00:00:00"/>
    <d v="2018-11-01T00:00:00"/>
    <n v="-7.6"/>
    <n v="7.6"/>
    <m/>
    <s v="ratp"/>
    <x v="1"/>
    <x v="4"/>
    <x v="25"/>
  </r>
  <r>
    <n v="788"/>
    <s v="BNPPARIBAS"/>
    <m/>
    <x v="2"/>
    <x v="7"/>
    <d v="2018-11-01T00:00:00"/>
    <d v="2018-11-01T00:00:00"/>
    <n v="-1.95"/>
    <n v="1.95"/>
    <m/>
    <s v="rapt"/>
    <x v="1"/>
    <x v="4"/>
    <x v="25"/>
  </r>
  <r>
    <n v="789"/>
    <s v="BNPPARIBAS"/>
    <m/>
    <x v="2"/>
    <x v="7"/>
    <d v="2018-11-01T00:00:00"/>
    <d v="2018-11-01T00:00:00"/>
    <n v="-10.3"/>
    <n v="10.3"/>
    <m/>
    <s v="rapt"/>
    <x v="1"/>
    <x v="4"/>
    <x v="25"/>
  </r>
  <r>
    <n v="790"/>
    <s v="BNPPARIBAS"/>
    <m/>
    <x v="2"/>
    <x v="7"/>
    <d v="2018-11-01T00:00:00"/>
    <d v="2018-11-01T00:00:00"/>
    <n v="-4"/>
    <n v="4"/>
    <m/>
    <s v="food"/>
    <x v="1"/>
    <x v="4"/>
    <x v="25"/>
  </r>
  <r>
    <n v="792"/>
    <s v="BNPPARIBAS"/>
    <m/>
    <x v="2"/>
    <x v="7"/>
    <d v="2018-11-01T00:00:00"/>
    <d v="2018-11-01T00:00:00"/>
    <n v="-137.33000000000001"/>
    <n v="137.33000000000001"/>
    <m/>
    <s v="hostel paris"/>
    <x v="1"/>
    <x v="4"/>
    <x v="3"/>
  </r>
  <r>
    <n v="793"/>
    <s v="BNPPARIBAS"/>
    <m/>
    <x v="2"/>
    <x v="7"/>
    <d v="2018-11-01T00:00:00"/>
    <d v="2018-11-01T00:00:00"/>
    <n v="-14.9"/>
    <n v="14.9"/>
    <m/>
    <s v="ratp"/>
    <x v="1"/>
    <x v="4"/>
    <x v="25"/>
  </r>
  <r>
    <n v="794"/>
    <s v="BNPPARIBAS"/>
    <m/>
    <x v="2"/>
    <x v="7"/>
    <d v="2018-11-01T00:00:00"/>
    <d v="2018-11-01T00:00:00"/>
    <n v="-9"/>
    <n v="9"/>
    <m/>
    <s v="hotel food"/>
    <x v="1"/>
    <x v="4"/>
    <x v="25"/>
  </r>
  <r>
    <n v="795"/>
    <s v="BNPPARIBAS"/>
    <m/>
    <x v="2"/>
    <x v="7"/>
    <d v="2018-11-01T00:00:00"/>
    <d v="2018-11-01T00:00:00"/>
    <n v="-5"/>
    <n v="5"/>
    <m/>
    <s v="div parijs"/>
    <x v="1"/>
    <x v="4"/>
    <x v="25"/>
  </r>
  <r>
    <n v="796"/>
    <s v="BNPPARIBAS"/>
    <m/>
    <x v="2"/>
    <x v="7"/>
    <d v="2018-11-01T00:00:00"/>
    <d v="2018-11-01T00:00:00"/>
    <n v="-8"/>
    <n v="8"/>
    <m/>
    <s v="div parijs"/>
    <x v="1"/>
    <x v="4"/>
    <x v="25"/>
  </r>
  <r>
    <n v="797"/>
    <s v="BNPPARIBAS"/>
    <m/>
    <x v="2"/>
    <x v="7"/>
    <d v="2018-11-01T00:00:00"/>
    <d v="2018-11-01T00:00:00"/>
    <n v="-3"/>
    <n v="3"/>
    <m/>
    <s v="div parijs"/>
    <x v="1"/>
    <x v="4"/>
    <x v="25"/>
  </r>
  <r>
    <n v="799"/>
    <s v="BNPPARIBAS"/>
    <m/>
    <x v="2"/>
    <x v="7"/>
    <d v="2018-11-01T00:00:00"/>
    <d v="2018-11-01T00:00:00"/>
    <n v="-16.62"/>
    <n v="16.62"/>
    <m/>
    <s v="amazon book kids yoga"/>
    <x v="1"/>
    <x v="4"/>
    <x v="20"/>
  </r>
  <r>
    <n v="822"/>
    <s v="KAS"/>
    <m/>
    <x v="2"/>
    <x v="9"/>
    <d v="2018-02-21T00:00:00"/>
    <d v="2018-02-21T00:00:00"/>
    <n v="-4.5"/>
    <n v="4.5"/>
    <m/>
    <s v="Postzegel Nicky"/>
    <x v="1"/>
    <x v="4"/>
    <x v="15"/>
  </r>
  <r>
    <n v="826"/>
    <s v="KAS"/>
    <m/>
    <x v="2"/>
    <x v="10"/>
    <d v="2018-03-02T00:00:00"/>
    <d v="2018-03-02T00:00:00"/>
    <n v="-3.3"/>
    <n v="3.3"/>
    <m/>
    <s v="kasverschil"/>
    <x v="1"/>
    <x v="4"/>
    <x v="21"/>
  </r>
  <r>
    <n v="827"/>
    <s v="KAS"/>
    <m/>
    <x v="2"/>
    <x v="10"/>
    <d v="2018-03-02T00:00:00"/>
    <d v="2018-03-02T00:00:00"/>
    <n v="-5"/>
    <n v="5"/>
    <m/>
    <s v="sleutel"/>
    <x v="1"/>
    <x v="4"/>
    <x v="15"/>
  </r>
  <r>
    <n v="828"/>
    <s v="KAS"/>
    <m/>
    <x v="2"/>
    <x v="10"/>
    <d v="2018-03-02T00:00:00"/>
    <d v="2018-03-02T00:00:00"/>
    <n v="-3.6"/>
    <n v="3.6"/>
    <m/>
    <s v="prints en verzenden contract Vacansoleil"/>
    <x v="1"/>
    <x v="4"/>
    <x v="15"/>
  </r>
  <r>
    <n v="829"/>
    <s v="KAS"/>
    <m/>
    <x v="2"/>
    <x v="10"/>
    <d v="2018-03-02T00:00:00"/>
    <d v="2018-03-02T00:00:00"/>
    <n v="-2"/>
    <n v="2"/>
    <m/>
    <s v="keychords"/>
    <x v="1"/>
    <x v="4"/>
    <x v="15"/>
  </r>
  <r>
    <n v="833"/>
    <s v="KAS"/>
    <m/>
    <x v="2"/>
    <x v="10"/>
    <d v="2018-03-02T00:00:00"/>
    <d v="2018-03-02T00:00:00"/>
    <n v="-12"/>
    <n v="12"/>
    <m/>
    <s v="wasmunten + drogen"/>
    <x v="1"/>
    <x v="4"/>
    <x v="15"/>
  </r>
  <r>
    <n v="834"/>
    <s v="KAS"/>
    <m/>
    <x v="2"/>
    <x v="10"/>
    <d v="2018-03-02T00:00:00"/>
    <d v="2018-03-02T00:00:00"/>
    <n v="-0.7"/>
    <n v="0.7"/>
    <m/>
    <s v="plectrum"/>
    <x v="1"/>
    <x v="4"/>
    <x v="15"/>
  </r>
  <r>
    <n v="835"/>
    <s v="KAS"/>
    <m/>
    <x v="2"/>
    <x v="10"/>
    <d v="2018-03-09T00:00:00"/>
    <d v="2018-03-09T00:00:00"/>
    <n v="-0.2"/>
    <n v="0.2"/>
    <m/>
    <s v="kasverschil"/>
    <x v="1"/>
    <x v="4"/>
    <x v="21"/>
  </r>
  <r>
    <n v="841"/>
    <s v="KAS"/>
    <m/>
    <x v="2"/>
    <x v="10"/>
    <d v="2018-03-09T00:00:00"/>
    <d v="2018-03-09T00:00:00"/>
    <n v="-1"/>
    <n v="1"/>
    <m/>
    <s v="sponsjes"/>
    <x v="1"/>
    <x v="4"/>
    <x v="15"/>
  </r>
  <r>
    <n v="846"/>
    <s v="KAS"/>
    <m/>
    <x v="2"/>
    <x v="10"/>
    <d v="2018-03-09T00:00:00"/>
    <d v="2018-03-09T00:00:00"/>
    <n v="-1.31"/>
    <n v="1.31"/>
    <m/>
    <s v="kasverschil"/>
    <x v="1"/>
    <x v="4"/>
    <x v="21"/>
  </r>
  <r>
    <n v="850"/>
    <s v="KAS"/>
    <m/>
    <x v="2"/>
    <x v="10"/>
    <d v="2018-03-31T00:00:00"/>
    <d v="2018-03-31T00:00:00"/>
    <n v="-19.100000000000001"/>
    <n v="19.100000000000001"/>
    <m/>
    <s v="kasverschil 6 dgn wisselgeld supermarkt???"/>
    <x v="1"/>
    <x v="4"/>
    <x v="21"/>
  </r>
  <r>
    <n v="854"/>
    <s v="KAS"/>
    <m/>
    <x v="2"/>
    <x v="49"/>
    <d v="2018-04-15T00:00:00"/>
    <d v="2018-04-15T00:00:00"/>
    <n v="-12"/>
    <n v="12"/>
    <m/>
    <s v="kasverschil vs"/>
    <x v="1"/>
    <x v="4"/>
    <x v="21"/>
  </r>
  <r>
    <n v="856"/>
    <s v="KAS"/>
    <m/>
    <x v="2"/>
    <x v="49"/>
    <d v="2018-04-15T00:00:00"/>
    <d v="2018-04-15T00:00:00"/>
    <n v="-1"/>
    <n v="1"/>
    <m/>
    <s v="sleutel fiji8"/>
    <x v="1"/>
    <x v="4"/>
    <x v="15"/>
  </r>
  <r>
    <n v="862"/>
    <s v="KAS"/>
    <m/>
    <x v="2"/>
    <x v="49"/>
    <d v="2018-04-15T00:00:00"/>
    <d v="2018-04-15T00:00:00"/>
    <n v="-12.5"/>
    <n v="12.5"/>
    <m/>
    <s v="waskaart"/>
    <x v="1"/>
    <x v="4"/>
    <x v="15"/>
  </r>
  <r>
    <n v="863"/>
    <s v="KAS"/>
    <m/>
    <x v="2"/>
    <x v="49"/>
    <d v="2018-04-15T00:00:00"/>
    <d v="2018-04-15T00:00:00"/>
    <n v="-10"/>
    <n v="10"/>
    <m/>
    <s v="borg waskaart"/>
    <x v="1"/>
    <x v="4"/>
    <x v="15"/>
  </r>
  <r>
    <n v="868"/>
    <s v="KAS"/>
    <m/>
    <x v="2"/>
    <x v="49"/>
    <d v="2018-04-15T00:00:00"/>
    <d v="2018-04-15T00:00:00"/>
    <n v="-2.9"/>
    <n v="2.9"/>
    <m/>
    <s v="bakjes KASsa"/>
    <x v="1"/>
    <x v="4"/>
    <x v="15"/>
  </r>
  <r>
    <n v="877"/>
    <s v="KAS"/>
    <m/>
    <x v="2"/>
    <x v="49"/>
    <d v="2018-04-15T00:00:00"/>
    <d v="2018-04-15T00:00:00"/>
    <n v="-1"/>
    <n v="1"/>
    <m/>
    <s v="kasverschilvs"/>
    <x v="1"/>
    <x v="4"/>
    <x v="21"/>
  </r>
  <r>
    <n v="885"/>
    <s v="KAS"/>
    <m/>
    <x v="2"/>
    <x v="49"/>
    <d v="2018-04-15T00:00:00"/>
    <d v="2018-04-15T00:00:00"/>
    <n v="-1.47"/>
    <n v="1.47"/>
    <m/>
    <s v="kasverschil"/>
    <x v="1"/>
    <x v="4"/>
    <x v="21"/>
  </r>
  <r>
    <n v="888"/>
    <s v="KAS"/>
    <m/>
    <x v="2"/>
    <x v="49"/>
    <d v="2018-04-15T00:00:00"/>
    <d v="2018-04-15T00:00:00"/>
    <n v="-5"/>
    <n v="5"/>
    <m/>
    <s v="selfiestick"/>
    <x v="1"/>
    <x v="4"/>
    <x v="15"/>
  </r>
  <r>
    <n v="891"/>
    <s v="KAS"/>
    <m/>
    <x v="2"/>
    <x v="49"/>
    <d v="2018-04-15T00:00:00"/>
    <d v="2018-04-15T00:00:00"/>
    <n v="-1.8"/>
    <n v="1.8"/>
    <m/>
    <s v="vanity fair francesca"/>
    <x v="1"/>
    <x v="4"/>
    <x v="15"/>
  </r>
  <r>
    <n v="899"/>
    <s v="KAS"/>
    <m/>
    <x v="2"/>
    <x v="49"/>
    <d v="2018-04-15T00:00:00"/>
    <d v="2018-04-15T00:00:00"/>
    <n v="-2"/>
    <n v="2"/>
    <m/>
    <s v="chinesewinkel"/>
    <x v="1"/>
    <x v="4"/>
    <x v="15"/>
  </r>
  <r>
    <n v="901"/>
    <s v="KAS"/>
    <m/>
    <x v="2"/>
    <x v="49"/>
    <d v="2018-04-15T00:00:00"/>
    <d v="2018-04-15T00:00:00"/>
    <n v="-7.03"/>
    <n v="7.03"/>
    <m/>
    <s v="kasverschil"/>
    <x v="1"/>
    <x v="4"/>
    <x v="21"/>
  </r>
  <r>
    <n v="903"/>
    <s v="KAS"/>
    <m/>
    <x v="2"/>
    <x v="50"/>
    <d v="2018-05-15T00:00:00"/>
    <d v="2018-05-15T00:00:00"/>
    <n v="-3"/>
    <n v="3"/>
    <m/>
    <s v="sleutels"/>
    <x v="1"/>
    <x v="4"/>
    <x v="15"/>
  </r>
  <r>
    <n v="912"/>
    <s v="KAS"/>
    <m/>
    <x v="2"/>
    <x v="50"/>
    <d v="2018-05-15T00:00:00"/>
    <d v="2018-05-15T00:00:00"/>
    <n v="-8"/>
    <n v="8"/>
    <m/>
    <s v="tripod"/>
    <x v="1"/>
    <x v="4"/>
    <x v="15"/>
  </r>
  <r>
    <n v="919"/>
    <s v="KAS"/>
    <m/>
    <x v="2"/>
    <x v="50"/>
    <d v="2018-05-15T00:00:00"/>
    <d v="2018-05-15T00:00:00"/>
    <n v="-2"/>
    <n v="2"/>
    <m/>
    <s v="tiger"/>
    <x v="1"/>
    <x v="4"/>
    <x v="15"/>
  </r>
  <r>
    <n v="923"/>
    <s v="KAS"/>
    <m/>
    <x v="2"/>
    <x v="50"/>
    <d v="2018-05-15T00:00:00"/>
    <d v="2018-05-15T00:00:00"/>
    <n v="-1.81"/>
    <n v="1.81"/>
    <m/>
    <s v="kasverschil"/>
    <x v="1"/>
    <x v="4"/>
    <x v="21"/>
  </r>
  <r>
    <n v="926"/>
    <s v="KAS"/>
    <m/>
    <x v="2"/>
    <x v="50"/>
    <d v="2018-05-15T00:00:00"/>
    <d v="2018-05-15T00:00:00"/>
    <n v="-8"/>
    <n v="8"/>
    <m/>
    <s v="iphone cable"/>
    <x v="1"/>
    <x v="4"/>
    <x v="15"/>
  </r>
  <r>
    <n v="929"/>
    <s v="KAS"/>
    <m/>
    <x v="2"/>
    <x v="50"/>
    <d v="2018-05-15T00:00:00"/>
    <d v="2018-05-15T00:00:00"/>
    <n v="1.27"/>
    <n v="1.27"/>
    <m/>
    <s v="kasverschil"/>
    <x v="1"/>
    <x v="4"/>
    <x v="21"/>
  </r>
  <r>
    <n v="933"/>
    <s v="KAS"/>
    <m/>
    <x v="2"/>
    <x v="50"/>
    <d v="2018-05-15T00:00:00"/>
    <d v="2018-05-15T00:00:00"/>
    <n v="-1.5"/>
    <n v="1.5"/>
    <m/>
    <s v="veters+naaigerei"/>
    <x v="1"/>
    <x v="4"/>
    <x v="15"/>
  </r>
  <r>
    <n v="937"/>
    <s v="KAS"/>
    <m/>
    <x v="2"/>
    <x v="50"/>
    <d v="2018-05-15T00:00:00"/>
    <d v="2018-05-15T00:00:00"/>
    <n v="-0.8"/>
    <n v="0.8"/>
    <m/>
    <s v="kasverschil 8 dgn"/>
    <x v="1"/>
    <x v="4"/>
    <x v="21"/>
  </r>
  <r>
    <n v="939"/>
    <s v="KAS"/>
    <m/>
    <x v="2"/>
    <x v="50"/>
    <d v="2018-05-15T00:00:00"/>
    <d v="2018-05-15T00:00:00"/>
    <n v="-3"/>
    <n v="3"/>
    <m/>
    <s v="kasverschil  "/>
    <x v="1"/>
    <x v="4"/>
    <x v="21"/>
  </r>
  <r>
    <n v="948"/>
    <s v="KAS"/>
    <m/>
    <x v="2"/>
    <x v="51"/>
    <d v="2018-06-03T00:00:00"/>
    <d v="2018-06-03T00:00:00"/>
    <n v="4.7"/>
    <n v="4.7"/>
    <m/>
    <s v="kasverschil"/>
    <x v="1"/>
    <x v="4"/>
    <x v="21"/>
  </r>
  <r>
    <n v="949"/>
    <s v="KAS"/>
    <m/>
    <x v="2"/>
    <x v="51"/>
    <d v="2018-06-03T00:00:00"/>
    <d v="2018-06-03T00:00:00"/>
    <n v="-2"/>
    <n v="2"/>
    <m/>
    <s v="cheyenne kado"/>
    <x v="1"/>
    <x v="4"/>
    <x v="22"/>
  </r>
  <r>
    <n v="950"/>
    <s v="KAS"/>
    <m/>
    <x v="2"/>
    <x v="51"/>
    <d v="2018-06-03T00:00:00"/>
    <d v="2018-06-03T00:00:00"/>
    <n v="-2"/>
    <n v="2"/>
    <m/>
    <s v="voetbalpool"/>
    <x v="1"/>
    <x v="4"/>
    <x v="15"/>
  </r>
  <r>
    <n v="961"/>
    <s v="KAS"/>
    <m/>
    <x v="2"/>
    <x v="51"/>
    <d v="2018-06-03T00:00:00"/>
    <d v="2018-06-03T00:00:00"/>
    <n v="-11.54"/>
    <n v="11.54"/>
    <m/>
    <s v="kasverschil"/>
    <x v="1"/>
    <x v="4"/>
    <x v="21"/>
  </r>
  <r>
    <n v="972"/>
    <s v="KAS"/>
    <m/>
    <x v="2"/>
    <x v="52"/>
    <d v="2018-07-03T00:00:00"/>
    <d v="2018-07-03T00:00:00"/>
    <n v="-5.65"/>
    <n v="5.65"/>
    <m/>
    <s v="kasverschil"/>
    <x v="1"/>
    <x v="4"/>
    <x v="21"/>
  </r>
  <r>
    <n v="974"/>
    <s v="KAS"/>
    <m/>
    <x v="2"/>
    <x v="52"/>
    <d v="2018-07-03T00:00:00"/>
    <d v="2018-07-03T00:00:00"/>
    <n v="-2"/>
    <n v="2"/>
    <m/>
    <s v="Kado JJoan"/>
    <x v="1"/>
    <x v="4"/>
    <x v="22"/>
  </r>
  <r>
    <n v="982"/>
    <s v="KAS"/>
    <m/>
    <x v="2"/>
    <x v="52"/>
    <d v="2018-07-03T00:00:00"/>
    <d v="2018-07-03T00:00:00"/>
    <n v="8.1300000000000008"/>
    <n v="8.1300000000000008"/>
    <m/>
    <s v="kasverschil 1 dgn"/>
    <x v="1"/>
    <x v="4"/>
    <x v="21"/>
  </r>
  <r>
    <n v="989"/>
    <s v="KAS"/>
    <m/>
    <x v="2"/>
    <x v="52"/>
    <d v="2018-07-03T00:00:00"/>
    <d v="2018-07-03T00:00:00"/>
    <n v="-3.9"/>
    <n v="3.9"/>
    <m/>
    <s v="binnenband"/>
    <x v="1"/>
    <x v="4"/>
    <x v="22"/>
  </r>
  <r>
    <n v="990"/>
    <s v="KAS"/>
    <m/>
    <x v="2"/>
    <x v="52"/>
    <d v="2018-07-03T00:00:00"/>
    <d v="2018-07-03T00:00:00"/>
    <n v="-1"/>
    <n v="1"/>
    <m/>
    <s v="kasverschil"/>
    <x v="1"/>
    <x v="4"/>
    <x v="21"/>
  </r>
  <r>
    <n v="1003"/>
    <s v="KAS"/>
    <m/>
    <x v="2"/>
    <x v="37"/>
    <d v="2018-08-01T00:00:00"/>
    <d v="2018-08-01T00:00:00"/>
    <n v="-4.6900000000000004"/>
    <n v="4.6900000000000004"/>
    <m/>
    <s v="kastekort"/>
    <x v="1"/>
    <x v="4"/>
    <x v="21"/>
  </r>
  <r>
    <n v="1016"/>
    <s v="KAS"/>
    <m/>
    <x v="2"/>
    <x v="37"/>
    <d v="2018-08-01T00:00:00"/>
    <d v="2018-08-01T00:00:00"/>
    <n v="4"/>
    <n v="4"/>
    <m/>
    <s v="kasverschil"/>
    <x v="1"/>
    <x v="4"/>
    <x v="21"/>
  </r>
  <r>
    <n v="1017"/>
    <s v="KAS"/>
    <m/>
    <x v="2"/>
    <x v="37"/>
    <d v="2018-08-01T00:00:00"/>
    <d v="2018-08-01T00:00:00"/>
    <n v="-1"/>
    <n v="1"/>
    <m/>
    <s v="keychain voor poi ballen"/>
    <x v="1"/>
    <x v="4"/>
    <x v="15"/>
  </r>
  <r>
    <n v="1024"/>
    <s v="KAS"/>
    <m/>
    <x v="2"/>
    <x v="37"/>
    <d v="2018-08-01T00:00:00"/>
    <d v="2018-08-01T00:00:00"/>
    <n v="-4"/>
    <n v="4"/>
    <m/>
    <s v="museum 23/78"/>
    <x v="1"/>
    <x v="4"/>
    <x v="15"/>
  </r>
  <r>
    <n v="1027"/>
    <s v="KAS"/>
    <m/>
    <x v="2"/>
    <x v="37"/>
    <d v="2018-08-01T00:00:00"/>
    <d v="2018-08-01T00:00:00"/>
    <n v="-10.02"/>
    <n v="10.02"/>
    <m/>
    <s v="kastekort 15/8-27/8"/>
    <x v="1"/>
    <x v="4"/>
    <x v="21"/>
  </r>
  <r>
    <n v="1028"/>
    <s v="KAS"/>
    <m/>
    <x v="2"/>
    <x v="37"/>
    <d v="2018-08-01T00:00:00"/>
    <d v="2018-08-01T00:00:00"/>
    <n v="-3.5"/>
    <n v="3.5"/>
    <m/>
    <s v="voor monika"/>
    <x v="1"/>
    <x v="4"/>
    <x v="15"/>
  </r>
  <r>
    <n v="1046"/>
    <s v="KAS"/>
    <m/>
    <x v="2"/>
    <x v="12"/>
    <d v="2018-09-01T00:00:00"/>
    <d v="2018-09-01T00:00:00"/>
    <n v="-2.54"/>
    <n v="2.54"/>
    <m/>
    <s v="kastekort"/>
    <x v="1"/>
    <x v="4"/>
    <x v="21"/>
  </r>
  <r>
    <n v="1056"/>
    <s v="KAS"/>
    <m/>
    <x v="2"/>
    <x v="12"/>
    <d v="2018-09-01T00:00:00"/>
    <d v="2018-09-01T00:00:00"/>
    <n v="-8"/>
    <n v="8"/>
    <m/>
    <s v="fietsbanden"/>
    <x v="1"/>
    <x v="4"/>
    <x v="15"/>
  </r>
  <r>
    <n v="1057"/>
    <s v="KAS"/>
    <m/>
    <x v="2"/>
    <x v="12"/>
    <d v="2018-09-01T00:00:00"/>
    <d v="2018-09-01T00:00:00"/>
    <n v="-2.5"/>
    <n v="2.5"/>
    <m/>
    <s v="Plakset"/>
    <x v="1"/>
    <x v="4"/>
    <x v="15"/>
  </r>
  <r>
    <n v="1060"/>
    <s v="KAS"/>
    <m/>
    <x v="2"/>
    <x v="12"/>
    <d v="2018-09-01T00:00:00"/>
    <d v="2018-09-01T00:00:00"/>
    <n v="2.75"/>
    <n v="2.75"/>
    <m/>
    <s v="kasverschil"/>
    <x v="1"/>
    <x v="4"/>
    <x v="21"/>
  </r>
  <r>
    <n v="1069"/>
    <s v="KAS"/>
    <m/>
    <x v="2"/>
    <x v="12"/>
    <d v="2018-09-01T00:00:00"/>
    <d v="2018-09-01T00:00:00"/>
    <n v="-25"/>
    <n v="25"/>
    <m/>
    <s v="shuttle fco"/>
    <x v="1"/>
    <x v="4"/>
    <x v="15"/>
  </r>
  <r>
    <n v="1080"/>
    <s v="KAS"/>
    <m/>
    <x v="2"/>
    <x v="12"/>
    <d v="2018-09-01T00:00:00"/>
    <d v="2018-09-01T00:00:00"/>
    <n v="15.48"/>
    <n v="15.48"/>
    <m/>
    <s v="overschot"/>
    <x v="1"/>
    <x v="4"/>
    <x v="21"/>
  </r>
  <r>
    <n v="1087"/>
    <s v="KAS"/>
    <m/>
    <x v="2"/>
    <x v="11"/>
    <d v="2018-10-01T00:00:00"/>
    <d v="2018-10-01T00:00:00"/>
    <n v="-8.31"/>
    <n v="8.31"/>
    <m/>
    <s v="kastekort"/>
    <x v="1"/>
    <x v="4"/>
    <x v="21"/>
  </r>
  <r>
    <n v="1088"/>
    <s v="KAS"/>
    <m/>
    <x v="2"/>
    <x v="11"/>
    <d v="2018-10-01T00:00:00"/>
    <d v="2018-10-01T00:00:00"/>
    <n v="-50"/>
    <n v="50"/>
    <m/>
    <s v="oplichting 50 euro biljet"/>
    <x v="1"/>
    <x v="4"/>
    <x v="15"/>
  </r>
  <r>
    <n v="1094"/>
    <s v="KAS"/>
    <m/>
    <x v="2"/>
    <x v="11"/>
    <d v="2018-10-01T00:00:00"/>
    <d v="2018-10-01T00:00:00"/>
    <n v="2.65"/>
    <n v="2.65"/>
    <m/>
    <s v="kasoverschot"/>
    <x v="1"/>
    <x v="4"/>
    <x v="21"/>
  </r>
  <r>
    <n v="1096"/>
    <s v="KAS"/>
    <m/>
    <x v="2"/>
    <x v="11"/>
    <d v="2018-10-01T00:00:00"/>
    <d v="2018-10-01T00:00:00"/>
    <n v="-2.5"/>
    <n v="2.5"/>
    <m/>
    <s v="boek"/>
    <x v="1"/>
    <x v="4"/>
    <x v="20"/>
  </r>
  <r>
    <n v="1101"/>
    <s v="KAS"/>
    <m/>
    <x v="2"/>
    <x v="11"/>
    <d v="2018-10-01T00:00:00"/>
    <d v="2018-10-01T00:00:00"/>
    <n v="-6.05"/>
    <n v="6.05"/>
    <m/>
    <s v="kastekort"/>
    <x v="1"/>
    <x v="4"/>
    <x v="21"/>
  </r>
  <r>
    <n v="1105"/>
    <s v="KAS"/>
    <m/>
    <x v="2"/>
    <x v="11"/>
    <d v="2018-10-01T00:00:00"/>
    <d v="2018-10-01T00:00:00"/>
    <n v="7.15"/>
    <n v="7.15"/>
    <m/>
    <s v="kasverschil"/>
    <x v="1"/>
    <x v="4"/>
    <x v="21"/>
  </r>
  <r>
    <n v="1109"/>
    <s v="KAS"/>
    <m/>
    <x v="2"/>
    <x v="11"/>
    <d v="2018-10-01T00:00:00"/>
    <d v="2018-10-01T00:00:00"/>
    <n v="-2.25"/>
    <n v="2.25"/>
    <m/>
    <s v="kastekort"/>
    <x v="1"/>
    <x v="4"/>
    <x v="21"/>
  </r>
  <r>
    <n v="1111"/>
    <s v="KAS"/>
    <m/>
    <x v="2"/>
    <x v="11"/>
    <d v="2018-10-01T00:00:00"/>
    <d v="2018-10-01T00:00:00"/>
    <n v="0.14000000000000001"/>
    <n v="0.14000000000000001"/>
    <m/>
    <s v="kasverschil"/>
    <x v="1"/>
    <x v="4"/>
    <x v="21"/>
  </r>
  <r>
    <n v="1112"/>
    <s v="KAS"/>
    <m/>
    <x v="2"/>
    <x v="7"/>
    <d v="2018-11-04T00:00:00"/>
    <d v="2018-11-04T00:00:00"/>
    <n v="-93.85"/>
    <n v="93.85"/>
    <m/>
    <s v="Parijs Contant"/>
    <x v="1"/>
    <x v="4"/>
    <x v="25"/>
  </r>
  <r>
    <n v="1113"/>
    <s v="KRUIS"/>
    <m/>
    <x v="2"/>
    <x v="11"/>
    <d v="2018-10-24T00:00:00"/>
    <d v="2018-10-24T00:00:00"/>
    <n v="-42"/>
    <n v="42"/>
    <m/>
    <s v="bijdrage woonlasten joost"/>
    <x v="1"/>
    <x v="4"/>
    <x v="26"/>
  </r>
  <r>
    <n v="1135"/>
    <s v="NL22RABO0381604934"/>
    <m/>
    <x v="2"/>
    <x v="9"/>
    <d v="2018-02-28T00:00:00"/>
    <d v="2018-02-28T00:00:00"/>
    <n v="-16.95"/>
    <n v="16.95"/>
    <m/>
    <s v="LOFT ARNHEM"/>
    <x v="1"/>
    <x v="4"/>
    <x v="20"/>
  </r>
  <r>
    <n v="1136"/>
    <s v="NL22RABO0381604934"/>
    <m/>
    <x v="2"/>
    <x v="9"/>
    <d v="2018-02-28T00:00:00"/>
    <d v="2018-02-28T00:00:00"/>
    <n v="-1.44"/>
    <n v="1.44"/>
    <m/>
    <s v="Action 1283 Arnhem"/>
    <x v="1"/>
    <x v="4"/>
    <x v="15"/>
  </r>
  <r>
    <n v="1146"/>
    <s v="NL22RABO0381604934"/>
    <m/>
    <x v="2"/>
    <x v="10"/>
    <d v="2018-03-05T00:00:00"/>
    <d v="2018-03-05T00:00:00"/>
    <n v="-1"/>
    <n v="1"/>
    <m/>
    <s v="Flying Tiger ARNHEM"/>
    <x v="1"/>
    <x v="4"/>
    <x v="15"/>
  </r>
  <r>
    <n v="1147"/>
    <s v="NL22RABO0381604934"/>
    <m/>
    <x v="2"/>
    <x v="10"/>
    <d v="2018-03-06T00:00:00"/>
    <d v="2018-03-06T00:00:00"/>
    <n v="-14.28"/>
    <n v="14.28"/>
    <m/>
    <s v="CCV*Boekenvoordeel B.V ALMERE"/>
    <x v="1"/>
    <x v="4"/>
    <x v="20"/>
  </r>
  <r>
    <n v="1148"/>
    <s v="NL22RABO0381604934"/>
    <m/>
    <x v="2"/>
    <x v="10"/>
    <d v="2018-03-06T00:00:00"/>
    <d v="2018-03-06T00:00:00"/>
    <n v="-4.2699999999999996"/>
    <n v="4.2699999999999996"/>
    <m/>
    <s v="Action 1283 Arnhem"/>
    <x v="1"/>
    <x v="4"/>
    <x v="15"/>
  </r>
  <r>
    <n v="1156"/>
    <s v="NL22RABO0381604934"/>
    <m/>
    <x v="2"/>
    <x v="10"/>
    <d v="2018-03-10T00:00:00"/>
    <d v="2018-03-10T00:00:00"/>
    <n v="-20"/>
    <n v="20"/>
    <m/>
    <s v="Lubee Pinverhuur ZWIJNDRECHT"/>
    <x v="1"/>
    <x v="4"/>
    <x v="20"/>
  </r>
  <r>
    <n v="1176"/>
    <s v="NL22RABO0381604934"/>
    <m/>
    <x v="2"/>
    <x v="10"/>
    <d v="2018-03-20T00:00:00"/>
    <d v="2018-03-20T00:00:00"/>
    <n v="-1.66"/>
    <n v="1.66"/>
    <m/>
    <s v="The Read Shop STADSKANAAL"/>
    <x v="1"/>
    <x v="4"/>
    <x v="15"/>
  </r>
  <r>
    <n v="1177"/>
    <s v="NL22RABO0381604934"/>
    <m/>
    <x v="2"/>
    <x v="10"/>
    <d v="2018-03-22T00:00:00"/>
    <d v="2018-03-22T00:00:00"/>
    <n v="-1"/>
    <n v="1"/>
    <m/>
    <s v="Blokker333 Stadskana STADSKANAAL"/>
    <x v="1"/>
    <x v="4"/>
    <x v="15"/>
  </r>
  <r>
    <n v="1178"/>
    <s v="NL22RABO0381604934"/>
    <m/>
    <x v="2"/>
    <x v="10"/>
    <d v="2018-03-22T00:00:00"/>
    <d v="2018-03-22T00:00:00"/>
    <n v="-1.99"/>
    <n v="1.99"/>
    <m/>
    <s v="Xenos ST.KANAAL 167 STADSKANAAL"/>
    <x v="1"/>
    <x v="4"/>
    <x v="15"/>
  </r>
  <r>
    <n v="1179"/>
    <s v="NL22RABO0381604934"/>
    <m/>
    <x v="2"/>
    <x v="10"/>
    <d v="2018-03-22T00:00:00"/>
    <d v="2018-03-22T00:00:00"/>
    <n v="-12.5"/>
    <n v="12.5"/>
    <m/>
    <s v="SumUp  *Computer Repar Stadskanaal"/>
    <x v="1"/>
    <x v="4"/>
    <x v="15"/>
  </r>
  <r>
    <n v="1215"/>
    <s v="NL22RABO0381604934"/>
    <m/>
    <x v="2"/>
    <x v="50"/>
    <d v="2018-05-15T00:00:00"/>
    <d v="2018-05-15T00:00:00"/>
    <n v="-4.9000000000000004"/>
    <n v="4.9000000000000004"/>
    <m/>
    <s v="cadootje karolina"/>
    <x v="1"/>
    <x v="4"/>
    <x v="22"/>
  </r>
  <r>
    <n v="1224"/>
    <s v="NL22RABO0381604934"/>
    <m/>
    <x v="2"/>
    <x v="50"/>
    <d v="2018-05-15T00:00:00"/>
    <d v="2018-05-15T00:00:00"/>
    <n v="-0.03"/>
    <n v="0.03"/>
    <m/>
    <s v="Debetrente"/>
    <x v="1"/>
    <x v="4"/>
    <x v="23"/>
  </r>
  <r>
    <n v="1232"/>
    <s v="NL22RABO0381604934"/>
    <m/>
    <x v="2"/>
    <x v="51"/>
    <d v="2018-06-13T00:00:00"/>
    <d v="2018-06-13T00:00:00"/>
    <n v="-4"/>
    <n v="4"/>
    <m/>
    <s v="SUPERMERCATO DUE P 201 ROMA ITA kado poppy"/>
    <x v="1"/>
    <x v="4"/>
    <x v="22"/>
  </r>
  <r>
    <n v="1247"/>
    <s v="NL22RABO0381604934"/>
    <m/>
    <x v="2"/>
    <x v="52"/>
    <d v="2018-07-10T00:00:00"/>
    <d v="2018-07-10T00:00:00"/>
    <n v="-4"/>
    <n v="4"/>
    <m/>
    <s v="TIGER ITALY 2 ROMA ITA"/>
    <x v="1"/>
    <x v="4"/>
    <x v="15"/>
  </r>
  <r>
    <n v="1254"/>
    <s v="NL22RABO0381604934"/>
    <m/>
    <x v="2"/>
    <x v="52"/>
    <d v="2018-07-26T00:00:00"/>
    <d v="2018-07-26T00:00:00"/>
    <n v="-35"/>
    <n v="35"/>
    <m/>
    <s v="Ingenico ticket thalys"/>
    <x v="1"/>
    <x v="4"/>
    <x v="25"/>
  </r>
  <r>
    <n v="1257"/>
    <s v="NL22RABO0381604934"/>
    <m/>
    <x v="2"/>
    <x v="52"/>
    <d v="2018-07-31T00:00:00"/>
    <d v="2018-07-31T00:00:00"/>
    <n v="-6"/>
    <n v="6"/>
    <m/>
    <s v="TIGER BOLOGNA ITA"/>
    <x v="1"/>
    <x v="4"/>
    <x v="15"/>
  </r>
  <r>
    <n v="1277"/>
    <s v="NL22RABO0381604934"/>
    <m/>
    <x v="2"/>
    <x v="12"/>
    <d v="2018-09-22T00:00:00"/>
    <d v="2018-09-22T00:00:00"/>
    <n v="-5"/>
    <n v="5"/>
    <m/>
    <s v="TIGER 4 ROMA       RM ITA"/>
    <x v="1"/>
    <x v="4"/>
    <x v="15"/>
  </r>
  <r>
    <n v="1289"/>
    <s v="NL22RABO0381604934"/>
    <m/>
    <x v="2"/>
    <x v="11"/>
    <d v="2018-10-03T00:00:00"/>
    <d v="2018-10-03T00:00:00"/>
    <n v="-449"/>
    <n v="449"/>
    <m/>
    <s v="Coolblue computer"/>
    <x v="1"/>
    <x v="4"/>
    <x v="27"/>
  </r>
  <r>
    <n v="1290"/>
    <s v="NL22RABO0381604934"/>
    <m/>
    <x v="2"/>
    <x v="11"/>
    <d v="2018-10-03T00:00:00"/>
    <d v="2018-10-03T00:00:00"/>
    <n v="-4.28"/>
    <n v="4.28"/>
    <m/>
    <s v="Action 1072 Stadskanaal"/>
    <x v="1"/>
    <x v="4"/>
    <x v="15"/>
  </r>
  <r>
    <n v="1291"/>
    <s v="NL22RABO0381604934"/>
    <m/>
    <x v="2"/>
    <x v="11"/>
    <d v="2018-10-04T00:00:00"/>
    <d v="2018-10-04T00:00:00"/>
    <n v="-3.49"/>
    <n v="3.49"/>
    <m/>
    <s v="CCV*PRIMERA MUSSELKANA MUSSELKANAAL"/>
    <x v="1"/>
    <x v="4"/>
    <x v="15"/>
  </r>
  <r>
    <n v="1313"/>
    <s v="NL22RABO0381604934"/>
    <m/>
    <x v="2"/>
    <x v="11"/>
    <d v="2018-10-18T00:00:00"/>
    <d v="2018-10-18T00:00:00"/>
    <n v="-8.93"/>
    <n v="8.93"/>
    <m/>
    <s v="So-Low Arnhem ARNHEM"/>
    <x v="1"/>
    <x v="4"/>
    <x v="15"/>
  </r>
  <r>
    <n v="1315"/>
    <s v="NL22RABO0381604934"/>
    <m/>
    <x v="2"/>
    <x v="11"/>
    <d v="2018-10-18T00:00:00"/>
    <d v="2018-10-18T00:00:00"/>
    <n v="-8.3000000000000007"/>
    <n v="8.3000000000000007"/>
    <m/>
    <s v="Primera steenstraat ARNHEM"/>
    <x v="1"/>
    <x v="4"/>
    <x v="15"/>
  </r>
  <r>
    <n v="1316"/>
    <s v="NL22RABO0381604934"/>
    <m/>
    <x v="2"/>
    <x v="11"/>
    <d v="2018-10-18T00:00:00"/>
    <d v="2018-10-18T00:00:00"/>
    <n v="-3"/>
    <n v="3"/>
    <m/>
    <s v="Flying Tiger ARNHEM"/>
    <x v="1"/>
    <x v="4"/>
    <x v="15"/>
  </r>
  <r>
    <n v="1347"/>
    <s v="NL22RABO0381604934"/>
    <m/>
    <x v="2"/>
    <x v="7"/>
    <d v="2018-11-02T00:00:00"/>
    <d v="2018-11-02T00:00:00"/>
    <n v="-0.7"/>
    <n v="0.7"/>
    <m/>
    <s v="SANIFAIR ROTTERDAM ROTTERDAM"/>
    <x v="1"/>
    <x v="4"/>
    <x v="15"/>
  </r>
  <r>
    <n v="1349"/>
    <s v="NL22RABO0381604934"/>
    <m/>
    <x v="2"/>
    <x v="7"/>
    <d v="2018-11-05T00:00:00"/>
    <d v="2018-11-05T00:00:00"/>
    <n v="-7.1"/>
    <n v="7.1"/>
    <m/>
    <s v="SNCF PARIS 10 FRA"/>
    <x v="1"/>
    <x v="4"/>
    <x v="25"/>
  </r>
  <r>
    <n v="1357"/>
    <s v="NL22RABO0381604934"/>
    <m/>
    <x v="2"/>
    <x v="7"/>
    <d v="2018-11-30T00:00:00"/>
    <d v="2018-11-30T00:00:00"/>
    <n v="-0.99"/>
    <n v="0.99"/>
    <m/>
    <s v="Adyen"/>
    <x v="1"/>
    <x v="4"/>
    <x v="15"/>
  </r>
  <r>
    <n v="1363"/>
    <s v="NL22RABO0381604934"/>
    <m/>
    <x v="2"/>
    <x v="8"/>
    <d v="2018-12-24T00:00:00"/>
    <d v="2018-12-24T00:00:00"/>
    <n v="-5"/>
    <n v="5"/>
    <m/>
    <s v="STICHTING J O H O"/>
    <x v="1"/>
    <x v="4"/>
    <x v="15"/>
  </r>
  <r>
    <n v="1366"/>
    <s v="POSTEPAY"/>
    <m/>
    <x v="2"/>
    <x v="52"/>
    <d v="2018-07-10T00:00:00"/>
    <d v="2018-07-10T00:00:00"/>
    <n v="-32.5"/>
    <n v="32.5"/>
    <m/>
    <s v="PAGAMENTO ON LINE 07/07/2018 19.26 Eventim / TicketOne Amsterdam NLD N. 632743"/>
    <x v="1"/>
    <x v="4"/>
    <x v="19"/>
  </r>
  <r>
    <n v="1381"/>
    <s v="BNPPARIBAS"/>
    <m/>
    <x v="3"/>
    <x v="13"/>
    <d v="2019-01-03T00:00:00"/>
    <d v="2019-01-03T00:00:00"/>
    <n v="-0.99"/>
    <n v="0.99"/>
    <m/>
    <s v="FACTURE CARTE DU 020119 ITUNES.COM/BILL CARTE 4974XXXX"/>
    <x v="1"/>
    <x v="4"/>
    <x v="18"/>
  </r>
  <r>
    <n v="1389"/>
    <s v="BNPPARIBAS"/>
    <m/>
    <x v="3"/>
    <x v="15"/>
    <d v="2019-02-04T00:00:00"/>
    <d v="2019-02-04T00:00:00"/>
    <n v="-0.99"/>
    <n v="0.99"/>
    <m/>
    <s v="FACTURE CARTE DU 020219 ITUNES.COM/BILL CARTE   4974XXXXXXXX8716                IRL     0,99EUR"/>
    <x v="1"/>
    <x v="4"/>
    <x v="18"/>
  </r>
  <r>
    <n v="1396"/>
    <s v="BNPPARIBAS"/>
    <m/>
    <x v="3"/>
    <x v="14"/>
    <d v="2019-03-04T00:00:00"/>
    <d v="2019-03-04T00:00:00"/>
    <n v="-0.99"/>
    <n v="0.99"/>
    <m/>
    <s v="FACTURE CARTE DU 020319 ITUNES.COM/BILL CARTE 4974XXXXXXXX8716 IRL 0,99EUR"/>
    <x v="1"/>
    <x v="4"/>
    <x v="18"/>
  </r>
  <r>
    <n v="1405"/>
    <s v="BNPPARIBAS"/>
    <m/>
    <x v="3"/>
    <x v="53"/>
    <d v="2019-04-03T00:00:00"/>
    <d v="2019-04-03T00:00:00"/>
    <n v="-0.99"/>
    <n v="0.99"/>
    <m/>
    <s v="FACTURE CARTE DU 020419 ITUNES.COM/BILL CARTE   4974XXXXXXXX8716                IRL     0,99EUR"/>
    <x v="1"/>
    <x v="4"/>
    <x v="18"/>
  </r>
  <r>
    <n v="1407"/>
    <s v="BNPPARIBAS"/>
    <m/>
    <x v="3"/>
    <x v="53"/>
    <d v="2019-04-08T00:00:00"/>
    <d v="2019-04-08T00:00:00"/>
    <n v="-2.39"/>
    <n v="2.39"/>
    <m/>
    <s v="PRLV SEPA PAYPAL EUROPE S.A.R.L. ET CIE S.C.A ECH/080419 ID EMETTEUR/LU96ZZZ0000000000000000058 MDT/5HBJ224MREGGA REF/1005326637011 PAYPAL VIREMENT LIB/1005326637011 PAYPAL"/>
    <x v="1"/>
    <x v="4"/>
    <x v="19"/>
  </r>
  <r>
    <n v="1409"/>
    <s v="BNPPARIBAS"/>
    <m/>
    <x v="3"/>
    <x v="53"/>
    <d v="2019-04-10T00:00:00"/>
    <d v="2019-04-10T00:00:00"/>
    <n v="-20"/>
    <n v="20"/>
    <m/>
    <s v="FACTURE CARTE DU 080419 FBFUNDRAISER    CARTE   4974XXXXXXXX8716                IRL    20,00EUR"/>
    <x v="1"/>
    <x v="4"/>
    <x v="22"/>
  </r>
  <r>
    <n v="1413"/>
    <s v="BNPPARIBAS"/>
    <m/>
    <x v="3"/>
    <x v="54"/>
    <d v="2019-05-03T00:00:00"/>
    <d v="2019-05-03T00:00:00"/>
    <n v="-0.99"/>
    <n v="0.99"/>
    <m/>
    <s v="FACTURE CARTE DU 020519 ITUNES.COM/BILL CARTE   4974XXXXXXXX8716                IRL     0,99EUR"/>
    <x v="1"/>
    <x v="4"/>
    <x v="18"/>
  </r>
  <r>
    <n v="1420"/>
    <s v="BNPPARIBAS"/>
    <m/>
    <x v="3"/>
    <x v="55"/>
    <d v="2019-06-03T00:00:00"/>
    <d v="2019-06-03T00:00:00"/>
    <n v="-0.99"/>
    <n v="0.99"/>
    <m/>
    <s v="FACTURE CARTE DU 020619 ITUNES.COM/BILL CARTE   4974XXXXXXXX8716                IRL     0,99EUR"/>
    <x v="1"/>
    <x v="4"/>
    <x v="18"/>
  </r>
  <r>
    <n v="1429"/>
    <s v="BNPPARIBAS"/>
    <m/>
    <x v="3"/>
    <x v="38"/>
    <d v="2019-07-03T00:00:00"/>
    <d v="2019-07-03T00:00:00"/>
    <n v="-0.99"/>
    <n v="0.99"/>
    <m/>
    <s v="FACTURE CARTE DU 020719 ITUNES.COM/BILL CARTE   4974XXXXXXXX8716                IRL     0,99EUR"/>
    <x v="1"/>
    <x v="4"/>
    <x v="18"/>
  </r>
  <r>
    <n v="1439"/>
    <s v="BNPPARIBAS"/>
    <m/>
    <x v="3"/>
    <x v="41"/>
    <d v="2019-08-05T00:00:00"/>
    <d v="2019-08-05T00:00:00"/>
    <n v="-0.99"/>
    <n v="0.99"/>
    <m/>
    <s v="PAIEMENT CARTE DU 020819 ITUNES.COM/BILL CARTE   4974XXXXXXXX8716                IRL     0,99EUR"/>
    <x v="1"/>
    <x v="4"/>
    <x v="18"/>
  </r>
  <r>
    <n v="1440"/>
    <s v="BNPPARIBAS"/>
    <m/>
    <x v="3"/>
    <x v="41"/>
    <d v="2019-08-08T00:00:00"/>
    <d v="2019-08-08T00:00:00"/>
    <n v="-3.49"/>
    <n v="3.49"/>
    <m/>
    <s v="PAYPAL SchaaktrainerPRO"/>
    <x v="1"/>
    <x v="4"/>
    <x v="28"/>
  </r>
  <r>
    <n v="1446"/>
    <s v="BNPPARIBAS"/>
    <m/>
    <x v="3"/>
    <x v="18"/>
    <d v="2019-09-03T00:00:00"/>
    <d v="2019-09-03T00:00:00"/>
    <n v="-0.99"/>
    <n v="0.99"/>
    <m/>
    <s v="PAIEMENT CARTE DU 020919 ITUNES.COM/BILL CARTE   4974XXXXXXXX8716                IRL     0,99EUR"/>
    <x v="1"/>
    <x v="4"/>
    <x v="18"/>
  </r>
  <r>
    <n v="1449"/>
    <s v="BNPPARIBAS"/>
    <m/>
    <x v="3"/>
    <x v="18"/>
    <d v="2019-09-23T00:00:00"/>
    <d v="2019-09-23T00:00:00"/>
    <n v="-3.99"/>
    <n v="3.99"/>
    <m/>
    <s v="Paypall happycow"/>
    <x v="1"/>
    <x v="4"/>
    <x v="28"/>
  </r>
  <r>
    <n v="1450"/>
    <s v="BNPPARIBAS"/>
    <m/>
    <x v="3"/>
    <x v="18"/>
    <d v="2019-09-24T00:00:00"/>
    <d v="2019-09-24T00:00:00"/>
    <n v="-17.46"/>
    <n v="17.46"/>
    <m/>
    <s v="PRELEVEMENT PAYPAL EUROPE S.A.R.L. ET CIE S.C.A ECH/240919 ID EMETTEUR/LU96ZZZ0000000000000000058 MDT/5HBJ224MREGGA REF/1006668876392 PAYPAL VIREMENT LIB/1006668876392 PAYPAL"/>
    <x v="1"/>
    <x v="4"/>
    <x v="29"/>
  </r>
  <r>
    <n v="1453"/>
    <s v="BNPPARIBAS"/>
    <m/>
    <x v="3"/>
    <x v="18"/>
    <d v="2019-09-26T00:00:00"/>
    <d v="2019-09-26T00:00:00"/>
    <n v="-1.5"/>
    <n v="1.5"/>
    <m/>
    <s v="Chrisklomp"/>
    <x v="1"/>
    <x v="4"/>
    <x v="15"/>
  </r>
  <r>
    <n v="1455"/>
    <s v="BNPPARIBAS"/>
    <m/>
    <x v="3"/>
    <x v="39"/>
    <d v="2019-10-31T00:00:00"/>
    <d v="2019-10-31T00:00:00"/>
    <n v="-0.99"/>
    <n v="0.99"/>
    <m/>
    <s v="itunes"/>
    <x v="1"/>
    <x v="4"/>
    <x v="18"/>
  </r>
  <r>
    <n v="1460"/>
    <s v="BNPPARIBAS"/>
    <m/>
    <x v="3"/>
    <x v="39"/>
    <d v="2019-10-31T00:00:00"/>
    <d v="2019-10-31T00:00:00"/>
    <n v="-1.5"/>
    <n v="1.5"/>
    <m/>
    <s v="paypal chris klomp"/>
    <x v="1"/>
    <x v="4"/>
    <x v="15"/>
  </r>
  <r>
    <n v="1461"/>
    <s v="BNPPARIBAS"/>
    <m/>
    <x v="3"/>
    <x v="39"/>
    <d v="2019-10-31T00:00:00"/>
    <d v="2019-10-31T00:00:00"/>
    <n v="-1.99"/>
    <n v="1.99"/>
    <m/>
    <s v="paypall google"/>
    <x v="1"/>
    <x v="4"/>
    <x v="28"/>
  </r>
  <r>
    <n v="1462"/>
    <s v="BNPPARIBAS"/>
    <m/>
    <x v="3"/>
    <x v="39"/>
    <d v="2019-10-31T00:00:00"/>
    <d v="2019-10-31T00:00:00"/>
    <n v="-4.5"/>
    <n v="4.5"/>
    <m/>
    <s v="paypal hema appeltaart"/>
    <x v="1"/>
    <x v="4"/>
    <x v="22"/>
  </r>
  <r>
    <n v="1466"/>
    <s v="BNPPARIBAS"/>
    <m/>
    <x v="3"/>
    <x v="16"/>
    <d v="2019-11-05T00:00:00"/>
    <d v="2019-11-05T00:00:00"/>
    <n v="-1.59"/>
    <n v="1.59"/>
    <m/>
    <s v="PRELEVEMENT PAYPAL EUROPE S.A.R.L. ET CIE S.C.A ECH/051119 ID EMETTEUR/LU96ZZZ0000000000000000058 MDT/5HBJ224MREGGA REF/1007044606957 PAYPAL VIREMENT LIB/1007044606957 PAYPAL SKRWT"/>
    <x v="1"/>
    <x v="4"/>
    <x v="28"/>
  </r>
  <r>
    <n v="1485"/>
    <s v="KAS"/>
    <m/>
    <x v="3"/>
    <x v="14"/>
    <d v="2019-03-01T00:00:00"/>
    <d v="2019-03-01T00:00:00"/>
    <n v="6"/>
    <n v="6"/>
    <m/>
    <s v="retour ouders"/>
    <x v="1"/>
    <x v="4"/>
    <x v="15"/>
  </r>
  <r>
    <n v="1488"/>
    <s v="KAS"/>
    <m/>
    <x v="3"/>
    <x v="14"/>
    <n v="43538"/>
    <n v="43538"/>
    <n v="-22.5"/>
    <n v="22.5"/>
    <m/>
    <s v="reanimatie cursus"/>
    <x v="1"/>
    <x v="4"/>
    <x v="15"/>
  </r>
  <r>
    <n v="1490"/>
    <s v="KAS"/>
    <m/>
    <x v="3"/>
    <x v="14"/>
    <n v="43542"/>
    <n v="43542"/>
    <n v="-2"/>
    <n v="2"/>
    <m/>
    <s v="sponsen"/>
    <x v="1"/>
    <x v="4"/>
    <x v="15"/>
  </r>
  <r>
    <n v="1492"/>
    <s v="KAS"/>
    <m/>
    <x v="3"/>
    <x v="14"/>
    <n v="43544"/>
    <n v="43544"/>
    <n v="-0.85"/>
    <n v="0.85"/>
    <m/>
    <s v="tekort"/>
    <x v="1"/>
    <x v="4"/>
    <x v="21"/>
  </r>
  <r>
    <n v="1494"/>
    <s v="KAS"/>
    <m/>
    <x v="3"/>
    <x v="53"/>
    <d v="2019-04-01T00:00:00"/>
    <d v="2019-04-01T00:00:00"/>
    <n v="-20"/>
    <n v="20"/>
    <m/>
    <s v="borg sleutel"/>
    <x v="1"/>
    <x v="4"/>
    <x v="30"/>
  </r>
  <r>
    <n v="1500"/>
    <s v="KAS"/>
    <m/>
    <x v="3"/>
    <x v="53"/>
    <d v="2019-04-01T00:00:00"/>
    <d v="2019-04-01T00:00:00"/>
    <n v="-1"/>
    <n v="1"/>
    <m/>
    <s v="opvangdingetje wasbak"/>
    <x v="1"/>
    <x v="4"/>
    <x v="15"/>
  </r>
  <r>
    <n v="1504"/>
    <s v="KAS"/>
    <m/>
    <x v="3"/>
    <x v="53"/>
    <d v="2019-04-01T00:00:00"/>
    <d v="2019-04-01T00:00:00"/>
    <n v="-5"/>
    <n v="5"/>
    <m/>
    <s v="kastekort infopoint"/>
    <x v="1"/>
    <x v="4"/>
    <x v="31"/>
  </r>
  <r>
    <n v="1512"/>
    <s v="KAS"/>
    <m/>
    <x v="3"/>
    <x v="53"/>
    <d v="2019-04-01T00:00:00"/>
    <d v="2019-04-01T00:00:00"/>
    <n v="-9.0500000000000007"/>
    <n v="9.0500000000000007"/>
    <m/>
    <s v="kastekort 8 dgn"/>
    <x v="1"/>
    <x v="4"/>
    <x v="31"/>
  </r>
  <r>
    <n v="1514"/>
    <s v="KAS"/>
    <m/>
    <x v="3"/>
    <x v="53"/>
    <d v="2019-04-01T00:00:00"/>
    <d v="2019-04-01T00:00:00"/>
    <n v="-2"/>
    <n v="2"/>
    <m/>
    <s v="E"/>
    <x v="1"/>
    <x v="4"/>
    <x v="19"/>
  </r>
  <r>
    <n v="1515"/>
    <s v="KAS"/>
    <m/>
    <x v="3"/>
    <x v="53"/>
    <d v="2019-04-01T00:00:00"/>
    <d v="2019-04-01T00:00:00"/>
    <n v="-1.8"/>
    <n v="1.8"/>
    <m/>
    <s v="aanzetmes"/>
    <x v="1"/>
    <x v="4"/>
    <x v="15"/>
  </r>
  <r>
    <n v="1516"/>
    <s v="KAS"/>
    <m/>
    <x v="3"/>
    <x v="53"/>
    <d v="2019-04-01T00:00:00"/>
    <d v="2019-04-01T00:00:00"/>
    <n v="-3"/>
    <n v="3"/>
    <m/>
    <s v="kastekort infopoint"/>
    <x v="1"/>
    <x v="4"/>
    <x v="31"/>
  </r>
  <r>
    <n v="1517"/>
    <s v="KAS"/>
    <m/>
    <x v="3"/>
    <x v="53"/>
    <d v="2019-04-01T00:00:00"/>
    <d v="2019-04-01T00:00:00"/>
    <n v="-1.5"/>
    <n v="1.5"/>
    <m/>
    <s v="batterijen weegschaal"/>
    <x v="1"/>
    <x v="4"/>
    <x v="15"/>
  </r>
  <r>
    <n v="1520"/>
    <s v="KAS"/>
    <m/>
    <x v="3"/>
    <x v="53"/>
    <d v="2019-04-01T00:00:00"/>
    <d v="2019-04-01T00:00:00"/>
    <n v="-1.8"/>
    <n v="1.8"/>
    <m/>
    <s v="chinees ??"/>
    <x v="1"/>
    <x v="4"/>
    <x v="15"/>
  </r>
  <r>
    <n v="1530"/>
    <s v="KAS"/>
    <m/>
    <x v="3"/>
    <x v="54"/>
    <d v="2019-05-01T00:00:00"/>
    <d v="2019-05-01T00:00:00"/>
    <n v="-0.75"/>
    <n v="0.75"/>
    <m/>
    <s v="kastekort 10 dgn"/>
    <x v="1"/>
    <x v="4"/>
    <x v="21"/>
  </r>
  <r>
    <n v="1539"/>
    <s v="KAS"/>
    <m/>
    <x v="3"/>
    <x v="54"/>
    <d v="2019-05-01T00:00:00"/>
    <d v="2019-05-01T00:00:00"/>
    <n v="-17.5"/>
    <n v="17.5"/>
    <m/>
    <s v="tekort infopoint 16/5"/>
    <x v="1"/>
    <x v="4"/>
    <x v="31"/>
  </r>
  <r>
    <n v="1541"/>
    <s v="KAS"/>
    <m/>
    <x v="3"/>
    <x v="54"/>
    <d v="2019-05-01T00:00:00"/>
    <d v="2019-05-01T00:00:00"/>
    <n v="-0.95"/>
    <n v="0.95"/>
    <m/>
    <s v="kastekort"/>
    <x v="1"/>
    <x v="4"/>
    <x v="21"/>
  </r>
  <r>
    <n v="1546"/>
    <s v="KAS"/>
    <m/>
    <x v="3"/>
    <x v="54"/>
    <d v="2019-05-01T00:00:00"/>
    <d v="2019-05-01T00:00:00"/>
    <n v="-3.4"/>
    <n v="3.4"/>
    <m/>
    <s v="haakjes/mengbeker"/>
    <x v="1"/>
    <x v="4"/>
    <x v="15"/>
  </r>
  <r>
    <n v="1548"/>
    <s v="KAS"/>
    <m/>
    <x v="3"/>
    <x v="54"/>
    <d v="2019-05-01T00:00:00"/>
    <d v="2019-05-01T00:00:00"/>
    <n v="7.5"/>
    <n v="7.5"/>
    <m/>
    <s v="retour kado fra 17/5"/>
    <x v="1"/>
    <x v="4"/>
    <x v="22"/>
  </r>
  <r>
    <n v="1551"/>
    <s v="KAS"/>
    <m/>
    <x v="3"/>
    <x v="54"/>
    <d v="2019-05-01T00:00:00"/>
    <d v="2019-05-01T00:00:00"/>
    <n v="-5.0999999999999996"/>
    <n v="5.0999999999999996"/>
    <m/>
    <s v="kastekort"/>
    <x v="1"/>
    <x v="4"/>
    <x v="21"/>
  </r>
  <r>
    <n v="1555"/>
    <s v="KAS"/>
    <m/>
    <x v="3"/>
    <x v="54"/>
    <d v="2019-05-01T00:00:00"/>
    <d v="2019-05-01T00:00:00"/>
    <n v="1"/>
    <n v="1"/>
    <m/>
    <s v="retour sla"/>
    <x v="1"/>
    <x v="4"/>
    <x v="15"/>
  </r>
  <r>
    <n v="1564"/>
    <s v="KAS"/>
    <m/>
    <x v="3"/>
    <x v="55"/>
    <d v="2019-06-01T00:00:00"/>
    <d v="2019-06-01T00:00:00"/>
    <n v="-5"/>
    <n v="5"/>
    <m/>
    <s v="tekort infopoint 10/6"/>
    <x v="1"/>
    <x v="4"/>
    <x v="31"/>
  </r>
  <r>
    <n v="1574"/>
    <s v="KAS"/>
    <m/>
    <x v="3"/>
    <x v="55"/>
    <n v="43630"/>
    <n v="43630"/>
    <n v="-6.6"/>
    <n v="6.6"/>
    <m/>
    <s v="kastekort"/>
    <x v="1"/>
    <x v="4"/>
    <x v="21"/>
  </r>
  <r>
    <n v="1575"/>
    <s v="KAS"/>
    <m/>
    <x v="3"/>
    <x v="55"/>
    <n v="43637"/>
    <n v="43637"/>
    <n v="-1"/>
    <n v="1"/>
    <m/>
    <s v="kastekort infopoint"/>
    <x v="1"/>
    <x v="4"/>
    <x v="31"/>
  </r>
  <r>
    <n v="1579"/>
    <s v="KAS"/>
    <m/>
    <x v="3"/>
    <x v="38"/>
    <d v="2019-07-01T00:00:00"/>
    <d v="2019-07-01T00:00:00"/>
    <n v="-5.5"/>
    <n v="5.5"/>
    <m/>
    <s v="zwembril"/>
    <x v="1"/>
    <x v="4"/>
    <x v="15"/>
  </r>
  <r>
    <n v="1586"/>
    <s v="KAS"/>
    <m/>
    <x v="3"/>
    <x v="38"/>
    <d v="2019-07-01T00:00:00"/>
    <d v="2019-07-01T00:00:00"/>
    <n v="-1.5"/>
    <n v="1.5"/>
    <m/>
    <s v="kastekort infopoint"/>
    <x v="1"/>
    <x v="4"/>
    <x v="31"/>
  </r>
  <r>
    <n v="1587"/>
    <s v="KAS"/>
    <m/>
    <x v="3"/>
    <x v="38"/>
    <d v="2019-07-01T00:00:00"/>
    <d v="2019-07-01T00:00:00"/>
    <n v="-1"/>
    <n v="1"/>
    <m/>
    <s v="tiger 23/7"/>
    <x v="1"/>
    <x v="4"/>
    <x v="15"/>
  </r>
  <r>
    <n v="1588"/>
    <s v="KAS"/>
    <m/>
    <x v="3"/>
    <x v="38"/>
    <d v="2019-07-01T00:00:00"/>
    <d v="2019-07-01T00:00:00"/>
    <n v="-1"/>
    <n v="1"/>
    <m/>
    <s v="chinese winkel schuurspons"/>
    <x v="1"/>
    <x v="4"/>
    <x v="15"/>
  </r>
  <r>
    <n v="1602"/>
    <s v="KAS"/>
    <m/>
    <x v="3"/>
    <x v="41"/>
    <d v="2019-08-12T00:00:00"/>
    <d v="2019-08-12T00:00:00"/>
    <n v="-1.29"/>
    <n v="1.29"/>
    <m/>
    <s v="kastekort"/>
    <x v="1"/>
    <x v="4"/>
    <x v="21"/>
  </r>
  <r>
    <n v="1607"/>
    <s v="KAS"/>
    <m/>
    <x v="3"/>
    <x v="41"/>
    <d v="2019-08-12T00:00:00"/>
    <d v="2019-08-12T00:00:00"/>
    <n v="6.5"/>
    <n v="6.5"/>
    <m/>
    <s v="kasoverschot"/>
    <x v="1"/>
    <x v="4"/>
    <x v="21"/>
  </r>
  <r>
    <n v="1615"/>
    <s v="KAS"/>
    <m/>
    <x v="3"/>
    <x v="18"/>
    <d v="2019-09-06T00:00:00"/>
    <d v="2019-09-06T00:00:00"/>
    <n v="-11"/>
    <n v="11"/>
    <m/>
    <s v="ukelele + nootjes"/>
    <x v="1"/>
    <x v="4"/>
    <x v="15"/>
  </r>
  <r>
    <n v="1619"/>
    <s v="KAS"/>
    <m/>
    <x v="3"/>
    <x v="18"/>
    <d v="2019-09-06T00:00:00"/>
    <d v="2019-09-06T00:00:00"/>
    <n v="-4.5"/>
    <n v="4.5"/>
    <m/>
    <s v="kastekort / capp"/>
    <x v="1"/>
    <x v="4"/>
    <x v="21"/>
  </r>
  <r>
    <n v="1629"/>
    <s v="KAS"/>
    <m/>
    <x v="3"/>
    <x v="39"/>
    <d v="2019-10-31T00:00:00"/>
    <d v="2019-10-31T00:00:00"/>
    <n v="-7"/>
    <n v="7"/>
    <m/>
    <s v="USB stick"/>
    <x v="1"/>
    <x v="4"/>
    <x v="15"/>
  </r>
  <r>
    <n v="1631"/>
    <s v="KAS"/>
    <m/>
    <x v="3"/>
    <x v="39"/>
    <d v="2019-10-31T00:00:00"/>
    <d v="2019-10-31T00:00:00"/>
    <n v="3.28"/>
    <n v="3.28"/>
    <m/>
    <s v="kasoverschot"/>
    <x v="1"/>
    <x v="4"/>
    <x v="21"/>
  </r>
  <r>
    <n v="1632"/>
    <s v="KAS"/>
    <m/>
    <x v="3"/>
    <x v="39"/>
    <d v="2019-10-31T00:00:00"/>
    <d v="2019-10-31T00:00:00"/>
    <n v="-3.9"/>
    <n v="3.9"/>
    <m/>
    <s v="kastekort"/>
    <x v="1"/>
    <x v="4"/>
    <x v="21"/>
  </r>
  <r>
    <n v="1634"/>
    <s v="KAS"/>
    <m/>
    <x v="3"/>
    <x v="39"/>
    <d v="2019-10-31T00:00:00"/>
    <d v="2019-10-31T00:00:00"/>
    <n v="-6"/>
    <n v="6"/>
    <m/>
    <s v="sleutel Joost"/>
    <x v="1"/>
    <x v="4"/>
    <x v="15"/>
  </r>
  <r>
    <n v="1635"/>
    <s v="KAS"/>
    <m/>
    <x v="3"/>
    <x v="39"/>
    <d v="2019-10-31T00:00:00"/>
    <d v="2019-10-31T00:00:00"/>
    <n v="-14"/>
    <n v="14"/>
    <m/>
    <s v="gegeven aan Joost"/>
    <x v="1"/>
    <x v="4"/>
    <x v="26"/>
  </r>
  <r>
    <n v="1638"/>
    <s v="KAS"/>
    <m/>
    <x v="3"/>
    <x v="39"/>
    <d v="2019-10-31T00:00:00"/>
    <d v="2019-10-31T00:00:00"/>
    <n v="-10.55"/>
    <n v="10.55"/>
    <m/>
    <s v="Joost"/>
    <x v="1"/>
    <x v="4"/>
    <x v="26"/>
  </r>
  <r>
    <n v="1639"/>
    <s v="KAS"/>
    <m/>
    <x v="3"/>
    <x v="39"/>
    <d v="2019-10-31T00:00:00"/>
    <d v="2019-10-31T00:00:00"/>
    <n v="-4.42"/>
    <n v="4.42"/>
    <m/>
    <s v="Joost"/>
    <x v="1"/>
    <x v="4"/>
    <x v="26"/>
  </r>
  <r>
    <n v="1643"/>
    <s v="KAS"/>
    <m/>
    <x v="3"/>
    <x v="39"/>
    <d v="2019-10-31T00:00:00"/>
    <d v="2019-10-31T00:00:00"/>
    <n v="-0.2"/>
    <n v="0.2"/>
    <m/>
    <s v="kastekort"/>
    <x v="1"/>
    <x v="4"/>
    <x v="21"/>
  </r>
  <r>
    <n v="1646"/>
    <s v="KAS"/>
    <m/>
    <x v="3"/>
    <x v="39"/>
    <d v="2019-10-31T00:00:00"/>
    <d v="2019-10-31T00:00:00"/>
    <n v="-2.5"/>
    <n v="2.5"/>
    <m/>
    <s v="kastekort"/>
    <x v="1"/>
    <x v="4"/>
    <x v="21"/>
  </r>
  <r>
    <n v="1653"/>
    <s v="KRUIS"/>
    <m/>
    <x v="3"/>
    <x v="39"/>
    <d v="2019-10-31T00:00:00"/>
    <d v="2019-10-31T00:00:00"/>
    <n v="-67.63"/>
    <n v="67.63"/>
    <m/>
    <s v="Joost gegeven boodsch"/>
    <x v="1"/>
    <x v="4"/>
    <x v="26"/>
  </r>
  <r>
    <n v="1655"/>
    <s v="KRUIS"/>
    <m/>
    <x v="3"/>
    <x v="39"/>
    <d v="2019-10-31T00:00:00"/>
    <d v="2019-10-31T00:00:00"/>
    <n v="-16.38"/>
    <n v="16.38"/>
    <m/>
    <s v="Joost gegeven horeca"/>
    <x v="1"/>
    <x v="4"/>
    <x v="26"/>
  </r>
  <r>
    <n v="1658"/>
    <s v="KRUIS"/>
    <m/>
    <x v="3"/>
    <x v="39"/>
    <d v="2019-10-31T00:00:00"/>
    <d v="2019-10-31T00:00:00"/>
    <n v="7.02"/>
    <n v="7.02"/>
    <m/>
    <s v="betaald door joost boodsch"/>
    <x v="1"/>
    <x v="4"/>
    <x v="26"/>
  </r>
  <r>
    <n v="1659"/>
    <s v="KRUIS"/>
    <m/>
    <x v="3"/>
    <x v="39"/>
    <d v="2019-10-31T00:00:00"/>
    <d v="2019-10-31T00:00:00"/>
    <n v="12.15"/>
    <n v="12.15"/>
    <m/>
    <s v="betaald door joost horeca"/>
    <x v="1"/>
    <x v="4"/>
    <x v="26"/>
  </r>
  <r>
    <n v="1661"/>
    <s v="KRUIS"/>
    <m/>
    <x v="3"/>
    <x v="39"/>
    <d v="2019-10-31T00:00:00"/>
    <d v="2019-10-31T00:00:00"/>
    <n v="-24"/>
    <n v="24"/>
    <m/>
    <s v="Konijnenvoer Joost"/>
    <x v="1"/>
    <x v="4"/>
    <x v="26"/>
  </r>
  <r>
    <n v="1689"/>
    <s v="NL22RABO0381604934"/>
    <m/>
    <x v="3"/>
    <x v="15"/>
    <d v="2019-02-28T00:00:00"/>
    <d v="2019-02-28T00:00:00"/>
    <n v="-60"/>
    <n v="60"/>
    <m/>
    <s v="RL Smit"/>
    <x v="1"/>
    <x v="4"/>
    <x v="22"/>
  </r>
  <r>
    <n v="1702"/>
    <s v="NL22RABO0381604934"/>
    <m/>
    <x v="3"/>
    <x v="14"/>
    <d v="2019-03-08T00:00:00"/>
    <d v="2019-03-08T00:00:00"/>
    <n v="180"/>
    <n v="180"/>
    <m/>
    <s v="Mevr J M C Meulenbroek"/>
    <x v="1"/>
    <x v="4"/>
    <x v="26"/>
  </r>
  <r>
    <n v="1708"/>
    <s v="NL22RABO0381604934"/>
    <m/>
    <x v="3"/>
    <x v="14"/>
    <d v="2019-03-13T00:00:00"/>
    <d v="2019-03-13T00:00:00"/>
    <n v="-7.37"/>
    <n v="7.37"/>
    <m/>
    <s v="Action 1283 Arnhem"/>
    <x v="1"/>
    <x v="4"/>
    <x v="15"/>
  </r>
  <r>
    <n v="1712"/>
    <s v="NL22RABO0381604934"/>
    <m/>
    <x v="3"/>
    <x v="14"/>
    <d v="2019-03-14T00:00:00"/>
    <d v="2019-03-14T00:00:00"/>
    <n v="-616.47"/>
    <n v="616.47"/>
    <m/>
    <s v="Portaal"/>
    <x v="1"/>
    <x v="4"/>
    <x v="26"/>
  </r>
  <r>
    <n v="1714"/>
    <s v="NL22RABO0381604934"/>
    <m/>
    <x v="3"/>
    <x v="14"/>
    <d v="2019-03-14T00:00:00"/>
    <d v="2019-03-14T00:00:00"/>
    <n v="350"/>
    <n v="350"/>
    <m/>
    <s v="TEUNISSEN J B P"/>
    <x v="1"/>
    <x v="4"/>
    <x v="26"/>
  </r>
  <r>
    <n v="1726"/>
    <s v="NL22RABO0381604934"/>
    <m/>
    <x v="3"/>
    <x v="14"/>
    <n v="43542"/>
    <n v="43542"/>
    <n v="-3.09"/>
    <n v="3.09"/>
    <m/>
    <s v="kado Jeroen siecker"/>
    <x v="1"/>
    <x v="4"/>
    <x v="22"/>
  </r>
  <r>
    <n v="1727"/>
    <s v="NL22RABO0381604934"/>
    <m/>
    <x v="3"/>
    <x v="14"/>
    <d v="2019-03-19T00:00:00"/>
    <d v="2019-03-19T00:00:00"/>
    <n v="-11"/>
    <n v="11"/>
    <m/>
    <s v="CCV*BOEKHANDEL HIJMAN ARNHEM"/>
    <x v="1"/>
    <x v="4"/>
    <x v="20"/>
  </r>
  <r>
    <n v="1728"/>
    <s v="NL22RABO0381604934"/>
    <m/>
    <x v="3"/>
    <x v="14"/>
    <d v="2019-03-19T00:00:00"/>
    <d v="2019-03-19T00:00:00"/>
    <n v="-3.9"/>
    <n v="3.9"/>
    <m/>
    <s v="Waar de Vries Arnhem ARNHEM"/>
    <x v="1"/>
    <x v="4"/>
    <x v="15"/>
  </r>
  <r>
    <n v="1746"/>
    <s v="NL22RABO0381604934"/>
    <m/>
    <x v="3"/>
    <x v="14"/>
    <d v="2019-03-24T00:00:00"/>
    <d v="2019-03-24T00:00:00"/>
    <n v="-1.71"/>
    <n v="1.71"/>
    <m/>
    <s v="Action 1283 Arnhem"/>
    <x v="1"/>
    <x v="4"/>
    <x v="15"/>
  </r>
  <r>
    <n v="1749"/>
    <s v="NL22RABO0381604934"/>
    <m/>
    <x v="3"/>
    <x v="14"/>
    <d v="2019-03-25T00:00:00"/>
    <d v="2019-03-25T00:00:00"/>
    <n v="-258"/>
    <n v="258"/>
    <m/>
    <s v="Coolblue telefoon samsung"/>
    <x v="1"/>
    <x v="4"/>
    <x v="27"/>
  </r>
  <r>
    <n v="1753"/>
    <s v="NL22RABO0381604934"/>
    <m/>
    <x v="3"/>
    <x v="14"/>
    <d v="2019-03-26T00:00:00"/>
    <d v="2019-03-26T00:00:00"/>
    <n v="-14.99"/>
    <n v="14.99"/>
    <m/>
    <s v="Direct Fix Phone ARNHEM"/>
    <x v="1"/>
    <x v="4"/>
    <x v="27"/>
  </r>
  <r>
    <n v="1767"/>
    <s v="NL22RABO0381604934"/>
    <m/>
    <x v="3"/>
    <x v="14"/>
    <d v="2019-03-27T00:00:00"/>
    <d v="2019-03-27T00:00:00"/>
    <n v="-2.98"/>
    <n v="2.98"/>
    <m/>
    <s v="Action 1283 Arnhem"/>
    <x v="1"/>
    <x v="4"/>
    <x v="15"/>
  </r>
  <r>
    <n v="1770"/>
    <s v="NL22RABO0381604934"/>
    <m/>
    <x v="3"/>
    <x v="14"/>
    <d v="2019-03-28T00:00:00"/>
    <d v="2019-03-28T00:00:00"/>
    <n v="-4.5"/>
    <n v="4.5"/>
    <m/>
    <s v="HEMA EV021 ARNHEM-C ARNHEM"/>
    <x v="1"/>
    <x v="4"/>
    <x v="15"/>
  </r>
  <r>
    <n v="1771"/>
    <s v="NL22RABO0381604934"/>
    <m/>
    <x v="3"/>
    <x v="14"/>
    <d v="2019-03-29T00:00:00"/>
    <d v="2019-03-29T00:00:00"/>
    <n v="-6"/>
    <n v="6"/>
    <m/>
    <s v="Flying Tiger ARNHEM"/>
    <x v="1"/>
    <x v="4"/>
    <x v="15"/>
  </r>
  <r>
    <n v="1782"/>
    <s v="NL22RABO0381604934"/>
    <m/>
    <x v="3"/>
    <x v="53"/>
    <d v="2019-04-02T00:00:00"/>
    <d v="2019-04-02T00:00:00"/>
    <n v="-7.77"/>
    <n v="7.77"/>
    <m/>
    <s v="Action 1072 Stadskanaal"/>
    <x v="1"/>
    <x v="4"/>
    <x v="15"/>
  </r>
  <r>
    <n v="1788"/>
    <s v="NL22RABO0381604934"/>
    <m/>
    <x v="3"/>
    <x v="53"/>
    <d v="2019-04-09T00:00:00"/>
    <d v="2019-04-09T00:00:00"/>
    <n v="-2.79"/>
    <n v="2.79"/>
    <m/>
    <s v="Action 1072 Stadskanaal"/>
    <x v="1"/>
    <x v="4"/>
    <x v="15"/>
  </r>
  <r>
    <n v="1792"/>
    <s v="NL22RABO0381604934"/>
    <m/>
    <x v="3"/>
    <x v="53"/>
    <d v="2019-04-12T00:00:00"/>
    <d v="2019-04-12T00:00:00"/>
    <n v="-3.5"/>
    <n v="3.5"/>
    <m/>
    <s v="TIGER ROMA       RM ITA"/>
    <x v="1"/>
    <x v="4"/>
    <x v="15"/>
  </r>
  <r>
    <n v="1795"/>
    <s v="NL22RABO0381604934"/>
    <m/>
    <x v="3"/>
    <x v="53"/>
    <d v="2019-04-16T00:00:00"/>
    <d v="2019-04-16T00:00:00"/>
    <n v="30"/>
    <n v="30"/>
    <m/>
    <s v="DESK SERVICES BV retour telefoon"/>
    <x v="1"/>
    <x v="4"/>
    <x v="27"/>
  </r>
  <r>
    <n v="1796"/>
    <s v="NL22RABO0381604934"/>
    <m/>
    <x v="3"/>
    <x v="53"/>
    <d v="2019-04-18T00:00:00"/>
    <d v="2019-04-18T00:00:00"/>
    <n v="-14.5"/>
    <n v="14.5"/>
    <m/>
    <s v="MILLE BOLLE DI JIANG Q ROMA ITA schoenen + blokfluit + folie"/>
    <x v="1"/>
    <x v="4"/>
    <x v="15"/>
  </r>
  <r>
    <n v="1800"/>
    <s v="NL22RABO0381604934"/>
    <m/>
    <x v="3"/>
    <x v="53"/>
    <d v="2019-04-23T00:00:00"/>
    <d v="2019-04-23T00:00:00"/>
    <n v="-119"/>
    <n v="119"/>
    <m/>
    <s v="PAM SUPERSTORE ACILIA ITA"/>
    <x v="1"/>
    <x v="4"/>
    <x v="32"/>
  </r>
  <r>
    <n v="1809"/>
    <s v="NL22RABO0381604934"/>
    <m/>
    <x v="3"/>
    <x v="54"/>
    <d v="2019-05-01T00:00:00"/>
    <d v="2019-05-01T00:00:00"/>
    <n v="-10"/>
    <n v="10"/>
    <m/>
    <s v="staafmixer 22/5"/>
    <x v="1"/>
    <x v="4"/>
    <x v="15"/>
  </r>
  <r>
    <n v="1828"/>
    <s v="NL22RABO0381604934"/>
    <m/>
    <x v="3"/>
    <x v="54"/>
    <d v="2019-05-29T00:00:00"/>
    <d v="2019-05-29T00:00:00"/>
    <n v="0"/>
    <n v="0"/>
    <m/>
    <s v="RABOBANK NEDERLAND"/>
    <x v="1"/>
    <x v="4"/>
    <x v="19"/>
  </r>
  <r>
    <n v="1857"/>
    <s v="NL22RABO0381604934"/>
    <m/>
    <x v="3"/>
    <x v="38"/>
    <d v="2019-07-15T00:00:00"/>
    <d v="2019-07-15T00:00:00"/>
    <n v="-13"/>
    <n v="13"/>
    <m/>
    <s v="W Smit"/>
    <x v="1"/>
    <x v="4"/>
    <x v="15"/>
  </r>
  <r>
    <n v="1913"/>
    <s v="NL22RABO0381604934"/>
    <m/>
    <x v="3"/>
    <x v="39"/>
    <d v="2019-10-09T00:00:00"/>
    <d v="2019-10-09T00:00:00"/>
    <n v="-3.29"/>
    <n v="3.29"/>
    <m/>
    <s v="BIGBAZAR1913STADSKAN STADSKANAAL"/>
    <x v="1"/>
    <x v="4"/>
    <x v="15"/>
  </r>
  <r>
    <n v="1922"/>
    <s v="NL22RABO0381604934"/>
    <m/>
    <x v="3"/>
    <x v="39"/>
    <d v="2019-10-14T00:00:00"/>
    <d v="2019-10-14T00:00:00"/>
    <n v="-5.52"/>
    <n v="5.52"/>
    <m/>
    <s v="Action 1283 Arnhem"/>
    <x v="1"/>
    <x v="4"/>
    <x v="15"/>
  </r>
  <r>
    <n v="1927"/>
    <s v="NL22RABO0381604934"/>
    <m/>
    <x v="3"/>
    <x v="39"/>
    <d v="2019-10-15T00:00:00"/>
    <d v="2019-10-15T00:00:00"/>
    <n v="-13"/>
    <n v="13"/>
    <m/>
    <s v="SHZ ZUTPHEN"/>
    <x v="1"/>
    <x v="4"/>
    <x v="33"/>
  </r>
  <r>
    <n v="1929"/>
    <s v="NL22RABO0381604934"/>
    <m/>
    <x v="3"/>
    <x v="39"/>
    <d v="2019-10-16T00:00:00"/>
    <d v="2019-10-16T00:00:00"/>
    <n v="-1.5"/>
    <n v="1.5"/>
    <m/>
    <s v="So-Low ARNHEM"/>
    <x v="1"/>
    <x v="4"/>
    <x v="15"/>
  </r>
  <r>
    <n v="1939"/>
    <s v="NL22RABO0381604934"/>
    <m/>
    <x v="3"/>
    <x v="39"/>
    <d v="2019-10-21T00:00:00"/>
    <d v="2019-10-21T00:00:00"/>
    <n v="-7.5"/>
    <n v="7.5"/>
    <m/>
    <s v="FOTO VIDEO SMITS BV ARNHEM"/>
    <x v="1"/>
    <x v="4"/>
    <x v="15"/>
  </r>
  <r>
    <n v="1940"/>
    <s v="NL22RABO0381604934"/>
    <m/>
    <x v="3"/>
    <x v="39"/>
    <d v="2019-10-21T00:00:00"/>
    <d v="2019-10-21T00:00:00"/>
    <n v="-0.95"/>
    <n v="0.95"/>
    <m/>
    <s v="PostMasters Arnhem ARNHEM"/>
    <x v="1"/>
    <x v="4"/>
    <x v="15"/>
  </r>
  <r>
    <n v="1941"/>
    <s v="NL22RABO0381604934"/>
    <m/>
    <x v="3"/>
    <x v="39"/>
    <d v="2019-10-21T00:00:00"/>
    <d v="2019-10-21T00:00:00"/>
    <n v="-7.5"/>
    <n v="7.5"/>
    <m/>
    <s v="Prijsmepper 6265 ARNHEM externe batterijen"/>
    <x v="1"/>
    <x v="4"/>
    <x v="15"/>
  </r>
  <r>
    <n v="1946"/>
    <s v="NL22RABO0381604934"/>
    <m/>
    <x v="3"/>
    <x v="39"/>
    <d v="2019-10-22T00:00:00"/>
    <d v="2019-10-22T00:00:00"/>
    <n v="-10.41"/>
    <n v="10.41"/>
    <m/>
    <s v="Blendle B.V."/>
    <x v="1"/>
    <x v="4"/>
    <x v="15"/>
  </r>
  <r>
    <n v="1955"/>
    <s v="NL22RABO0381604934"/>
    <m/>
    <x v="3"/>
    <x v="39"/>
    <d v="2019-10-24T00:00:00"/>
    <d v="2019-10-24T00:00:00"/>
    <n v="-12.5"/>
    <n v="12.5"/>
    <m/>
    <s v="Museum MORE Ruurlo RUURLO"/>
    <x v="1"/>
    <x v="4"/>
    <x v="15"/>
  </r>
  <r>
    <n v="1957"/>
    <s v="NL22RABO0381604934"/>
    <m/>
    <x v="3"/>
    <x v="39"/>
    <d v="2019-10-24T00:00:00"/>
    <d v="2019-10-24T00:00:00"/>
    <n v="-10"/>
    <n v="10"/>
    <m/>
    <s v="Het Edelstenenwinkel ZUTPHEN"/>
    <x v="1"/>
    <x v="4"/>
    <x v="34"/>
  </r>
  <r>
    <n v="1961"/>
    <s v="NL22RABO0381604934"/>
    <m/>
    <x v="3"/>
    <x v="39"/>
    <d v="2019-10-25T00:00:00"/>
    <d v="2019-10-25T00:00:00"/>
    <n v="-0.7"/>
    <n v="0.7"/>
    <m/>
    <s v="Sanifair WC Anlage Utrecht"/>
    <x v="1"/>
    <x v="4"/>
    <x v="15"/>
  </r>
  <r>
    <n v="1964"/>
    <s v="NL22RABO0381604934"/>
    <m/>
    <x v="3"/>
    <x v="39"/>
    <d v="2019-10-25T00:00:00"/>
    <d v="2019-10-25T00:00:00"/>
    <n v="-0.7"/>
    <n v="0.7"/>
    <m/>
    <s v="Amsterdam West 4208-11 Amsterdam"/>
    <x v="1"/>
    <x v="4"/>
    <x v="15"/>
  </r>
  <r>
    <n v="1980"/>
    <s v="NL22RABO0381604934"/>
    <m/>
    <x v="3"/>
    <x v="39"/>
    <d v="2019-10-31T00:00:00"/>
    <d v="2019-10-31T00:00:00"/>
    <n v="-17.5"/>
    <n v="17.5"/>
    <m/>
    <s v="boek schaken"/>
    <x v="1"/>
    <x v="4"/>
    <x v="20"/>
  </r>
  <r>
    <n v="1985"/>
    <s v="NL22RABO0381604934"/>
    <m/>
    <x v="3"/>
    <x v="16"/>
    <d v="2019-11-01T00:00:00"/>
    <d v="2019-11-01T00:00:00"/>
    <n v="-7.9"/>
    <n v="7.9"/>
    <m/>
    <s v="CCV*HET COLOFON ARNHEM"/>
    <x v="1"/>
    <x v="4"/>
    <x v="20"/>
  </r>
  <r>
    <n v="1996"/>
    <s v="NL22RABO0381604934"/>
    <m/>
    <x v="3"/>
    <x v="16"/>
    <d v="2019-11-05T00:00:00"/>
    <d v="2019-11-05T00:00:00"/>
    <n v="-8.49"/>
    <n v="8.49"/>
    <m/>
    <s v="Action 1072 Stadskanaal"/>
    <x v="1"/>
    <x v="4"/>
    <x v="15"/>
  </r>
  <r>
    <n v="1997"/>
    <s v="NL22RABO0381604934"/>
    <m/>
    <x v="3"/>
    <x v="16"/>
    <d v="2019-11-05T00:00:00"/>
    <d v="2019-11-05T00:00:00"/>
    <n v="-22.5"/>
    <n v="22.5"/>
    <m/>
    <s v="The Read Shop STADSKANAAL"/>
    <x v="1"/>
    <x v="4"/>
    <x v="20"/>
  </r>
  <r>
    <n v="2003"/>
    <s v="NL22RABO0381604934"/>
    <m/>
    <x v="3"/>
    <x v="16"/>
    <d v="2019-11-09T00:00:00"/>
    <d v="2019-11-09T00:00:00"/>
    <n v="-5.28"/>
    <n v="5.28"/>
    <m/>
    <s v="CCV*OP IS OP STADSKANA STADSKANAAL"/>
    <x v="1"/>
    <x v="4"/>
    <x v="15"/>
  </r>
  <r>
    <n v="2005"/>
    <s v="NL22RABO0381604934"/>
    <m/>
    <x v="3"/>
    <x v="16"/>
    <d v="2019-11-11T00:00:00"/>
    <d v="2019-11-11T00:00:00"/>
    <n v="-11.95"/>
    <n v="11.95"/>
    <m/>
    <s v="B.V. Servicepoint SP DRUTEN"/>
    <x v="1"/>
    <x v="4"/>
    <x v="19"/>
  </r>
  <r>
    <n v="2028"/>
    <s v="NL22RABO0381604934"/>
    <m/>
    <x v="3"/>
    <x v="17"/>
    <d v="2019-12-20T00:00:00"/>
    <d v="2019-12-20T00:00:00"/>
    <n v="-5"/>
    <n v="5"/>
    <m/>
    <s v="STICHTING J O H O"/>
    <x v="1"/>
    <x v="4"/>
    <x v="15"/>
  </r>
  <r>
    <n v="2029"/>
    <s v="NL22RABO0381604934"/>
    <m/>
    <x v="3"/>
    <x v="17"/>
    <d v="2019-12-25T00:00:00"/>
    <d v="2019-12-25T00:00:00"/>
    <n v="-40"/>
    <n v="40"/>
    <m/>
    <s v="RL Smit"/>
    <x v="1"/>
    <x v="4"/>
    <x v="22"/>
  </r>
  <r>
    <n v="2040"/>
    <s v="RABO GOLD CARD"/>
    <m/>
    <x v="3"/>
    <x v="54"/>
    <d v="2019-05-18T00:00:00"/>
    <d v="2019-05-18T00:00:00"/>
    <n v="-15"/>
    <n v="15"/>
    <m/>
    <s v="WWW.EURONICS.IT MILANO ITA"/>
    <x v="1"/>
    <x v="4"/>
    <x v="22"/>
  </r>
  <r>
    <n v="2045"/>
    <s v="RABO GOLD CARD"/>
    <m/>
    <x v="3"/>
    <x v="38"/>
    <d v="2019-07-30T00:00:00"/>
    <d v="2019-07-30T00:00:00"/>
    <n v="-15.16"/>
    <n v="15.16"/>
    <m/>
    <s v="LAZADA"/>
    <x v="1"/>
    <x v="4"/>
    <x v="22"/>
  </r>
  <r>
    <n v="2047"/>
    <s v="RABO GOLD CARD"/>
    <m/>
    <x v="3"/>
    <x v="17"/>
    <d v="2019-12-01T00:00:00"/>
    <d v="2019-12-01T00:00:00"/>
    <n v="-16.61"/>
    <n v="16.61"/>
    <m/>
    <s v="GEN REGISTER OFFICE SOUTHPORT GBR"/>
    <x v="1"/>
    <x v="4"/>
    <x v="26"/>
  </r>
  <r>
    <n v="2064"/>
    <s v="BNPPARIBAS"/>
    <m/>
    <x v="4"/>
    <x v="21"/>
    <d v="2020-03-09T00:00:00"/>
    <d v="2020-03-09T00:00:00"/>
    <n v="-4.12"/>
    <n v="4.12"/>
    <m/>
    <s v="PAIEMENT CARTE DU 060320 FINPAY*MY TELKO CARTE   4974XXXXXXXX8716                IDN 50000,00IDR+COMMISSION : 0,99"/>
    <x v="1"/>
    <x v="4"/>
    <x v="15"/>
  </r>
  <r>
    <n v="2067"/>
    <s v="BNPPARIBAS"/>
    <m/>
    <x v="4"/>
    <x v="21"/>
    <d v="2020-03-16T00:00:00"/>
    <d v="2020-03-16T00:00:00"/>
    <n v="-4.0599999999999996"/>
    <n v="4.0599999999999996"/>
    <m/>
    <s v="PAIEMENT CARTE DU 120320 FINPAY*MY TELKO CARTE   4974XXXXXXXX8716                IDN 50000,00IDR+COMMISSION : 0,98"/>
    <x v="1"/>
    <x v="4"/>
    <x v="15"/>
  </r>
  <r>
    <n v="2078"/>
    <s v="BNPPARIBAS"/>
    <m/>
    <x v="4"/>
    <x v="23"/>
    <d v="2020-05-19T00:00:00"/>
    <d v="2020-05-19T00:00:00"/>
    <n v="-16"/>
    <n v="16"/>
    <m/>
    <s v="PRELEVEMENT PAYPAL EUROPE S.A.R.L Goodsouls food project"/>
    <x v="1"/>
    <x v="4"/>
    <x v="22"/>
  </r>
  <r>
    <n v="2080"/>
    <s v="BNPPARIBAS"/>
    <m/>
    <x v="4"/>
    <x v="23"/>
    <d v="2020-05-26T00:00:00"/>
    <d v="2020-05-26T00:00:00"/>
    <n v="-3.09"/>
    <n v="3.09"/>
    <m/>
    <s v="PRELEVEMENT PAYPAL EUROPE S.A.R.L. Come closer app"/>
    <x v="1"/>
    <x v="4"/>
    <x v="28"/>
  </r>
  <r>
    <n v="2085"/>
    <s v="BNPPARIBAS"/>
    <m/>
    <x v="4"/>
    <x v="23"/>
    <d v="2020-06-04T00:00:00"/>
    <d v="2020-06-04T00:00:00"/>
    <n v="-4.08"/>
    <n v="4.08"/>
    <m/>
    <s v="PRELEVEMENT PAYPAL EUROPE S.A.R.L. Coaching book mindvalley"/>
    <x v="1"/>
    <x v="4"/>
    <x v="20"/>
  </r>
  <r>
    <n v="2091"/>
    <s v="BNPPARIBAS"/>
    <m/>
    <x v="4"/>
    <x v="56"/>
    <d v="2020-07-02T00:00:00"/>
    <d v="2020-07-02T00:00:00"/>
    <n v="-11.5"/>
    <n v="11.5"/>
    <m/>
    <s v="PAIEMENT CARTE DU 010720 FNAC.COM        IVRY SUR SEIN   CARTE   4974XXXXXXXX8716"/>
    <x v="1"/>
    <x v="4"/>
    <x v="15"/>
  </r>
  <r>
    <n v="2094"/>
    <s v="BNPPARIBAS"/>
    <m/>
    <x v="4"/>
    <x v="56"/>
    <d v="2020-07-15T00:00:00"/>
    <d v="2020-07-15T00:00:00"/>
    <n v="-2.35"/>
    <n v="2.35"/>
    <m/>
    <s v="PRELEVEMENT PAYPAL EUROPE S.A.R.Lwikimedia"/>
    <x v="1"/>
    <x v="4"/>
    <x v="15"/>
  </r>
  <r>
    <n v="2104"/>
    <s v="KAS"/>
    <m/>
    <x v="4"/>
    <x v="60"/>
    <d v="2020-08-23T00:00:00"/>
    <d v="2020-08-23T00:00:00"/>
    <n v="-6.1"/>
    <n v="6.1"/>
    <m/>
    <s v="kastekort"/>
    <x v="1"/>
    <x v="4"/>
    <x v="21"/>
  </r>
  <r>
    <n v="2108"/>
    <s v="KAS"/>
    <m/>
    <x v="4"/>
    <x v="58"/>
    <d v="2020-12-31T00:00:00"/>
    <d v="2020-12-31T00:00:00"/>
    <n v="-5.0999999999999996"/>
    <n v="5.0999999999999996"/>
    <m/>
    <s v="kasverschil"/>
    <x v="1"/>
    <x v="4"/>
    <x v="21"/>
  </r>
  <r>
    <n v="2139"/>
    <s v="KRUIS"/>
    <m/>
    <x v="4"/>
    <x v="57"/>
    <d v="2020-10-22T00:00:00"/>
    <d v="2020-10-22T00:00:00"/>
    <n v="-8.19"/>
    <n v="8.19"/>
    <m/>
    <s v="correctie boodschappen"/>
    <x v="1"/>
    <x v="4"/>
    <x v="26"/>
  </r>
  <r>
    <n v="2140"/>
    <s v="KRUIS"/>
    <m/>
    <x v="4"/>
    <x v="58"/>
    <d v="2020-10-22T00:00:00"/>
    <d v="2020-10-22T00:00:00"/>
    <n v="-13"/>
    <n v="13"/>
    <m/>
    <s v="correctie boodschappen"/>
    <x v="1"/>
    <x v="4"/>
    <x v="26"/>
  </r>
  <r>
    <n v="2142"/>
    <s v="KRUIS"/>
    <m/>
    <x v="4"/>
    <x v="59"/>
    <d v="2020-11-21T00:00:00"/>
    <d v="2020-11-21T00:00:00"/>
    <n v="-30.86"/>
    <n v="30.86"/>
    <m/>
    <s v="correctie boodschappen"/>
    <x v="1"/>
    <x v="4"/>
    <x v="26"/>
  </r>
  <r>
    <n v="2147"/>
    <s v="NL22RABO0381604934"/>
    <m/>
    <x v="4"/>
    <x v="20"/>
    <d v="2020-01-21T00:00:00"/>
    <d v="2020-01-21T00:00:00"/>
    <n v="-10"/>
    <n v="10"/>
    <m/>
    <s v="Chiara Branca"/>
    <x v="1"/>
    <x v="4"/>
    <x v="22"/>
  </r>
  <r>
    <n v="2201"/>
    <s v="NL22RABO0381604934"/>
    <m/>
    <x v="4"/>
    <x v="56"/>
    <d v="2020-07-01T00:00:00"/>
    <d v="2020-07-01T00:00:00"/>
    <n v="-13.78"/>
    <n v="13.78"/>
    <m/>
    <s v="Kruidvat 6224 MUSSELKANAAL"/>
    <x v="1"/>
    <x v="4"/>
    <x v="15"/>
  </r>
  <r>
    <n v="2206"/>
    <s v="NL22RABO0381604934"/>
    <m/>
    <x v="4"/>
    <x v="56"/>
    <d v="2020-07-03T00:00:00"/>
    <d v="2020-07-03T00:00:00"/>
    <n v="-4.99"/>
    <n v="4.99"/>
    <m/>
    <s v="Blokker554 Musselkan MUSSELKANAAL"/>
    <x v="1"/>
    <x v="4"/>
    <x v="15"/>
  </r>
  <r>
    <n v="2207"/>
    <s v="NL22RABO0381604934"/>
    <m/>
    <x v="4"/>
    <x v="56"/>
    <d v="2020-07-03T00:00:00"/>
    <d v="2020-07-03T00:00:00"/>
    <n v="-7"/>
    <n v="7"/>
    <m/>
    <s v="Books and More STADSKANAAL"/>
    <x v="1"/>
    <x v="4"/>
    <x v="20"/>
  </r>
  <r>
    <n v="2208"/>
    <s v="NL22RABO0381604934"/>
    <m/>
    <x v="4"/>
    <x v="56"/>
    <d v="2020-07-03T00:00:00"/>
    <d v="2020-07-03T00:00:00"/>
    <n v="-2"/>
    <n v="2"/>
    <m/>
    <s v="SumUp  *Trilejo Books Stadskanaal"/>
    <x v="1"/>
    <x v="4"/>
    <x v="20"/>
  </r>
  <r>
    <n v="2210"/>
    <s v="NL22RABO0381604934"/>
    <m/>
    <x v="4"/>
    <x v="56"/>
    <d v="2020-07-06T00:00:00"/>
    <d v="2020-07-06T00:00:00"/>
    <n v="-9.59"/>
    <n v="9.59"/>
    <m/>
    <s v="bol.com b.v."/>
    <x v="1"/>
    <x v="4"/>
    <x v="15"/>
  </r>
  <r>
    <n v="2215"/>
    <s v="NL22RABO0381604934"/>
    <m/>
    <x v="4"/>
    <x v="56"/>
    <d v="2020-07-09T00:00:00"/>
    <d v="2020-07-09T00:00:00"/>
    <n v="-6.48"/>
    <n v="6.48"/>
    <m/>
    <s v="Action 1283 Arnhem"/>
    <x v="1"/>
    <x v="4"/>
    <x v="15"/>
  </r>
  <r>
    <n v="2216"/>
    <s v="NL22RABO0381604934"/>
    <m/>
    <x v="4"/>
    <x v="56"/>
    <d v="2020-07-09T00:00:00"/>
    <d v="2020-07-09T00:00:00"/>
    <n v="-1"/>
    <n v="1"/>
    <m/>
    <s v="Flying Tiger ARNHEM"/>
    <x v="1"/>
    <x v="4"/>
    <x v="15"/>
  </r>
  <r>
    <n v="2221"/>
    <s v="NL22RABO0381604934"/>
    <m/>
    <x v="4"/>
    <x v="56"/>
    <d v="2020-07-11T00:00:00"/>
    <d v="2020-07-11T00:00:00"/>
    <n v="-5.89"/>
    <n v="5.89"/>
    <m/>
    <s v="Kruidvat 7082 ARNHEM"/>
    <x v="1"/>
    <x v="4"/>
    <x v="15"/>
  </r>
  <r>
    <n v="2223"/>
    <s v="NL22RABO0381604934"/>
    <m/>
    <x v="4"/>
    <x v="56"/>
    <d v="2020-07-12T00:00:00"/>
    <d v="2020-07-12T00:00:00"/>
    <n v="-0.99"/>
    <n v="0.99"/>
    <m/>
    <s v="Prijsmepper 6265 ARNHEM"/>
    <x v="1"/>
    <x v="4"/>
    <x v="20"/>
  </r>
  <r>
    <n v="2224"/>
    <s v="NL22RABO0381604934"/>
    <m/>
    <x v="4"/>
    <x v="56"/>
    <d v="2020-07-12T00:00:00"/>
    <d v="2020-07-12T00:00:00"/>
    <n v="-4.79"/>
    <n v="4.79"/>
    <m/>
    <s v="Action 1283 Arnhem"/>
    <x v="1"/>
    <x v="4"/>
    <x v="15"/>
  </r>
  <r>
    <n v="2227"/>
    <s v="NL22RABO0381604934"/>
    <m/>
    <x v="4"/>
    <x v="56"/>
    <d v="2020-07-13T00:00:00"/>
    <d v="2020-07-13T00:00:00"/>
    <n v="-12.3"/>
    <n v="12.3"/>
    <m/>
    <s v="Primera steenstraat ARNHEM"/>
    <x v="1"/>
    <x v="4"/>
    <x v="15"/>
  </r>
  <r>
    <n v="2232"/>
    <s v="NL22RABO0381604934"/>
    <m/>
    <x v="4"/>
    <x v="56"/>
    <d v="2020-07-17T00:00:00"/>
    <d v="2020-07-17T00:00:00"/>
    <n v="-9.4700000000000006"/>
    <n v="9.4700000000000006"/>
    <m/>
    <s v="Action 1283 Arnhem"/>
    <x v="1"/>
    <x v="4"/>
    <x v="15"/>
  </r>
  <r>
    <n v="2233"/>
    <s v="NL22RABO0381604934"/>
    <m/>
    <x v="4"/>
    <x v="56"/>
    <d v="2020-07-17T00:00:00"/>
    <d v="2020-07-17T00:00:00"/>
    <n v="-2.5"/>
    <n v="2.5"/>
    <m/>
    <s v="Mimint ARNHEM"/>
    <x v="1"/>
    <x v="4"/>
    <x v="15"/>
  </r>
  <r>
    <n v="2234"/>
    <s v="NL22RABO0381604934"/>
    <m/>
    <x v="4"/>
    <x v="56"/>
    <d v="2020-07-17T00:00:00"/>
    <d v="2020-07-17T00:00:00"/>
    <n v="-10"/>
    <n v="10"/>
    <m/>
    <s v="HEMA EV021 ARNHEM-C ARNHEM"/>
    <x v="1"/>
    <x v="4"/>
    <x v="15"/>
  </r>
  <r>
    <n v="2235"/>
    <s v="NL22RABO0381604934"/>
    <m/>
    <x v="4"/>
    <x v="56"/>
    <d v="2020-07-17T00:00:00"/>
    <d v="2020-07-17T00:00:00"/>
    <n v="-1.75"/>
    <n v="1.75"/>
    <m/>
    <s v="HEMA EV021 ARNHEM-C ARNHEM"/>
    <x v="1"/>
    <x v="4"/>
    <x v="15"/>
  </r>
  <r>
    <n v="2236"/>
    <s v="NL22RABO0381604934"/>
    <m/>
    <x v="4"/>
    <x v="56"/>
    <d v="2020-07-17T00:00:00"/>
    <d v="2020-07-17T00:00:00"/>
    <n v="-0.25"/>
    <n v="0.25"/>
    <m/>
    <s v="HEMA EV021 ARNHEM-C ARNHEM"/>
    <x v="1"/>
    <x v="4"/>
    <x v="15"/>
  </r>
  <r>
    <n v="2243"/>
    <s v="NL22RABO0381604934"/>
    <m/>
    <x v="4"/>
    <x v="56"/>
    <d v="2020-07-19T00:00:00"/>
    <d v="2020-07-19T00:00:00"/>
    <n v="-5.31"/>
    <n v="5.31"/>
    <m/>
    <s v="Action 1283 Arnhem"/>
    <x v="1"/>
    <x v="4"/>
    <x v="15"/>
  </r>
  <r>
    <n v="2244"/>
    <s v="NL22RABO0381604934"/>
    <m/>
    <x v="4"/>
    <x v="56"/>
    <d v="2020-07-19T00:00:00"/>
    <d v="2020-07-19T00:00:00"/>
    <n v="-2.12"/>
    <n v="2.12"/>
    <m/>
    <s v="Kruidvat 0256 ARNHEM"/>
    <x v="1"/>
    <x v="4"/>
    <x v="15"/>
  </r>
  <r>
    <n v="2251"/>
    <s v="NL22RABO0381604934"/>
    <m/>
    <x v="4"/>
    <x v="56"/>
    <d v="2020-07-21T00:00:00"/>
    <d v="2020-07-21T00:00:00"/>
    <n v="-1.5"/>
    <n v="1.5"/>
    <m/>
    <s v="Stichting Aktief WINTERSWIJK"/>
    <x v="1"/>
    <x v="4"/>
    <x v="20"/>
  </r>
  <r>
    <n v="2252"/>
    <s v="NL22RABO0381604934"/>
    <m/>
    <x v="4"/>
    <x v="56"/>
    <d v="2020-07-21T00:00:00"/>
    <d v="2020-07-21T00:00:00"/>
    <n v="-9.7100000000000009"/>
    <n v="9.7100000000000009"/>
    <m/>
    <s v="Action 1138 Winterswijk"/>
    <x v="1"/>
    <x v="4"/>
    <x v="15"/>
  </r>
  <r>
    <n v="2257"/>
    <s v="NL22RABO0381604934"/>
    <m/>
    <x v="4"/>
    <x v="56"/>
    <d v="2020-07-22T00:00:00"/>
    <d v="2020-07-22T00:00:00"/>
    <n v="-5.78"/>
    <n v="5.78"/>
    <m/>
    <s v="Action 1138 Winterswijk"/>
    <x v="1"/>
    <x v="4"/>
    <x v="15"/>
  </r>
  <r>
    <n v="2267"/>
    <s v="NL22RABO0381604934"/>
    <m/>
    <x v="4"/>
    <x v="56"/>
    <d v="2020-07-27T00:00:00"/>
    <d v="2020-07-27T00:00:00"/>
    <n v="-2.58"/>
    <n v="2.58"/>
    <m/>
    <s v="Action 1138 Winterswijk"/>
    <x v="1"/>
    <x v="4"/>
    <x v="15"/>
  </r>
  <r>
    <n v="2269"/>
    <s v="NL22RABO0381604934"/>
    <m/>
    <x v="4"/>
    <x v="56"/>
    <d v="2020-07-28T00:00:00"/>
    <d v="2020-07-28T00:00:00"/>
    <n v="-22.83"/>
    <n v="22.83"/>
    <m/>
    <s v="Action 1199 Aalten"/>
    <x v="1"/>
    <x v="4"/>
    <x v="15"/>
  </r>
  <r>
    <n v="2275"/>
    <s v="NL22RABO0381604934"/>
    <m/>
    <x v="4"/>
    <x v="56"/>
    <d v="2020-07-31T00:00:00"/>
    <d v="2020-07-31T00:00:00"/>
    <n v="-4.6900000000000004"/>
    <n v="4.6900000000000004"/>
    <m/>
    <s v="Xenos Wint.wijk 165 WINTERSWIJK"/>
    <x v="1"/>
    <x v="4"/>
    <x v="15"/>
  </r>
  <r>
    <n v="2291"/>
    <s v="NL22RABO0381604934"/>
    <m/>
    <x v="4"/>
    <x v="60"/>
    <d v="2020-08-04T00:00:00"/>
    <d v="2020-08-04T00:00:00"/>
    <n v="-18.66"/>
    <n v="18.66"/>
    <m/>
    <s v="Action 1283 Arnhem"/>
    <x v="1"/>
    <x v="4"/>
    <x v="15"/>
  </r>
  <r>
    <n v="2309"/>
    <s v="NL22RABO0381604934"/>
    <m/>
    <x v="4"/>
    <x v="60"/>
    <d v="2020-08-11T00:00:00"/>
    <d v="2020-08-11T00:00:00"/>
    <n v="-4.5"/>
    <n v="4.5"/>
    <m/>
    <s v="Stenen Museum Winkel BREDEVOORT"/>
    <x v="1"/>
    <x v="4"/>
    <x v="34"/>
  </r>
  <r>
    <n v="2313"/>
    <s v="NL22RABO0381604934"/>
    <m/>
    <x v="4"/>
    <x v="60"/>
    <d v="2020-08-12T00:00:00"/>
    <d v="2020-08-12T00:00:00"/>
    <n v="-5"/>
    <n v="5"/>
    <m/>
    <s v="IZ *ABC Libertas ARNHEM"/>
    <x v="1"/>
    <x v="4"/>
    <x v="20"/>
  </r>
  <r>
    <n v="2318"/>
    <s v="NL22RABO0381604934"/>
    <m/>
    <x v="4"/>
    <x v="60"/>
    <d v="2020-08-13T00:00:00"/>
    <d v="2020-08-13T00:00:00"/>
    <n v="-23.99"/>
    <n v="23.99"/>
    <s v="NL27INGB0000026500"/>
    <s v="bol.com b.v."/>
    <x v="1"/>
    <x v="4"/>
    <x v="15"/>
  </r>
  <r>
    <n v="2319"/>
    <s v="NL22RABO0381604934"/>
    <m/>
    <x v="4"/>
    <x v="60"/>
    <d v="2020-08-14T00:00:00"/>
    <d v="2020-08-14T00:00:00"/>
    <n v="-1"/>
    <n v="1"/>
    <m/>
    <s v="Stichting Aktief WINTERSWIJK"/>
    <x v="1"/>
    <x v="4"/>
    <x v="15"/>
  </r>
  <r>
    <n v="2320"/>
    <s v="NL22RABO0381604934"/>
    <m/>
    <x v="4"/>
    <x v="60"/>
    <d v="2020-08-14T00:00:00"/>
    <d v="2020-08-14T00:00:00"/>
    <n v="-10.39"/>
    <n v="10.39"/>
    <m/>
    <s v="Action 1138 Winterswijk"/>
    <x v="1"/>
    <x v="4"/>
    <x v="15"/>
  </r>
  <r>
    <n v="2325"/>
    <s v="NL22RABO0381604934"/>
    <m/>
    <x v="4"/>
    <x v="60"/>
    <d v="2020-08-18T00:00:00"/>
    <d v="2020-08-18T00:00:00"/>
    <n v="-10.94"/>
    <n v="10.94"/>
    <m/>
    <s v="Action 1199 Aalten"/>
    <x v="1"/>
    <x v="4"/>
    <x v="15"/>
  </r>
  <r>
    <n v="2330"/>
    <s v="NL22RABO0381604934"/>
    <m/>
    <x v="4"/>
    <x v="60"/>
    <d v="2020-08-19T00:00:00"/>
    <d v="2020-08-19T00:00:00"/>
    <n v="-1.25"/>
    <n v="1.25"/>
    <m/>
    <s v="So-Low ARNHEM"/>
    <x v="1"/>
    <x v="4"/>
    <x v="15"/>
  </r>
  <r>
    <n v="2331"/>
    <s v="NL22RABO0381604934"/>
    <m/>
    <x v="4"/>
    <x v="60"/>
    <d v="2020-08-19T00:00:00"/>
    <d v="2020-08-19T00:00:00"/>
    <n v="-7"/>
    <n v="7"/>
    <m/>
    <s v="IZ *ABC Libertas ARNHEM"/>
    <x v="1"/>
    <x v="4"/>
    <x v="20"/>
  </r>
  <r>
    <n v="2333"/>
    <s v="NL22RABO0381604934"/>
    <m/>
    <x v="4"/>
    <x v="60"/>
    <d v="2020-08-19T00:00:00"/>
    <d v="2020-08-19T00:00:00"/>
    <n v="25"/>
    <n v="25"/>
    <s v="NL10RBRB0948370114"/>
    <s v="SMIT W en/of SMIT-BRANDS W R F"/>
    <x v="1"/>
    <x v="4"/>
    <x v="15"/>
  </r>
  <r>
    <n v="2342"/>
    <s v="NL22RABO0381604934"/>
    <m/>
    <x v="4"/>
    <x v="60"/>
    <d v="2020-08-22T00:00:00"/>
    <d v="2020-08-22T00:00:00"/>
    <n v="-1.96"/>
    <n v="1.96"/>
    <m/>
    <s v="Action 1138 Winterswijk"/>
    <x v="1"/>
    <x v="4"/>
    <x v="15"/>
  </r>
  <r>
    <n v="2358"/>
    <s v="NL22RABO0381604934"/>
    <m/>
    <x v="4"/>
    <x v="60"/>
    <d v="2020-08-27T00:00:00"/>
    <d v="2020-08-27T00:00:00"/>
    <n v="-0.91"/>
    <n v="0.91"/>
    <s v="NL39RABO0301242844"/>
    <s v="Ingenico"/>
    <x v="1"/>
    <x v="4"/>
    <x v="15"/>
  </r>
  <r>
    <n v="2360"/>
    <s v="NL22RABO0381604934"/>
    <m/>
    <x v="4"/>
    <x v="60"/>
    <d v="2020-08-28T00:00:00"/>
    <d v="2020-08-28T00:00:00"/>
    <n v="-3.95"/>
    <n v="3.95"/>
    <m/>
    <s v="Action 1138 Winterswijk"/>
    <x v="1"/>
    <x v="4"/>
    <x v="15"/>
  </r>
  <r>
    <n v="2364"/>
    <s v="NL22RABO0381604934"/>
    <m/>
    <x v="4"/>
    <x v="60"/>
    <d v="2020-08-29T00:00:00"/>
    <d v="2020-08-29T00:00:00"/>
    <n v="-31.35"/>
    <n v="31.35"/>
    <m/>
    <s v="Stenen Museum Winkel BREDEVOORT"/>
    <x v="1"/>
    <x v="4"/>
    <x v="34"/>
  </r>
  <r>
    <n v="2372"/>
    <s v="NL22RABO0381604934"/>
    <m/>
    <x v="4"/>
    <x v="61"/>
    <d v="2020-09-01T00:00:00"/>
    <d v="2020-09-01T00:00:00"/>
    <n v="-1.1499999999999999"/>
    <n v="1.1499999999999999"/>
    <m/>
    <s v="Action 1325 Panningen"/>
    <x v="1"/>
    <x v="4"/>
    <x v="15"/>
  </r>
  <r>
    <n v="2380"/>
    <s v="NL22RABO0381604934"/>
    <m/>
    <x v="4"/>
    <x v="61"/>
    <d v="2020-09-05T00:00:00"/>
    <d v="2020-09-05T00:00:00"/>
    <n v="-3.78"/>
    <n v="3.78"/>
    <m/>
    <s v="Wibra Venlo VENLO"/>
    <x v="1"/>
    <x v="4"/>
    <x v="15"/>
  </r>
  <r>
    <n v="2385"/>
    <s v="NL22RABO0381604934"/>
    <m/>
    <x v="4"/>
    <x v="61"/>
    <d v="2020-09-08T00:00:00"/>
    <d v="2020-09-08T00:00:00"/>
    <n v="-1.49"/>
    <n v="1.49"/>
    <m/>
    <s v="ZEEMAN PANINGEN PANNINGEN"/>
    <x v="1"/>
    <x v="4"/>
    <x v="15"/>
  </r>
  <r>
    <n v="2400"/>
    <s v="NL22RABO0381604934"/>
    <m/>
    <x v="4"/>
    <x v="61"/>
    <d v="2020-09-15T00:00:00"/>
    <d v="2020-09-15T00:00:00"/>
    <n v="-5.09"/>
    <n v="5.09"/>
    <m/>
    <s v="Action 1102 Venlo"/>
    <x v="1"/>
    <x v="4"/>
    <x v="15"/>
  </r>
  <r>
    <n v="2406"/>
    <s v="NL22RABO0381604934"/>
    <m/>
    <x v="4"/>
    <x v="61"/>
    <d v="2020-09-17T00:00:00"/>
    <d v="2020-09-17T00:00:00"/>
    <n v="-0.46"/>
    <n v="0.46"/>
    <m/>
    <s v="Action 1152 Sevenum"/>
    <x v="1"/>
    <x v="4"/>
    <x v="15"/>
  </r>
  <r>
    <n v="2420"/>
    <s v="NL22RABO0381604934"/>
    <m/>
    <x v="4"/>
    <x v="61"/>
    <d v="2020-09-29T00:00:00"/>
    <d v="2020-09-29T00:00:00"/>
    <n v="-0.46"/>
    <n v="0.46"/>
    <m/>
    <s v="Action 1152 Sevenum"/>
    <x v="1"/>
    <x v="4"/>
    <x v="15"/>
  </r>
  <r>
    <n v="2421"/>
    <s v="NL22RABO0381604934"/>
    <m/>
    <x v="4"/>
    <x v="61"/>
    <d v="2020-09-29T00:00:00"/>
    <d v="2020-09-29T00:00:00"/>
    <n v="-1.5"/>
    <n v="1.5"/>
    <m/>
    <s v="kringlp oud en nieuw SEVENUM"/>
    <x v="1"/>
    <x v="4"/>
    <x v="15"/>
  </r>
  <r>
    <n v="2427"/>
    <s v="NL22RABO0381604934"/>
    <m/>
    <x v="4"/>
    <x v="57"/>
    <d v="2020-10-01T00:00:00"/>
    <d v="2020-10-01T00:00:00"/>
    <n v="-11.99"/>
    <n v="11.99"/>
    <m/>
    <s v="113  DIO-Readshop MUSSELKANAAL"/>
    <x v="1"/>
    <x v="4"/>
    <x v="15"/>
  </r>
  <r>
    <n v="2429"/>
    <s v="NL22RABO0381604934"/>
    <m/>
    <x v="4"/>
    <x v="57"/>
    <d v="2020-10-01T00:00:00"/>
    <d v="2020-10-01T00:00:00"/>
    <n v="11.99"/>
    <n v="11.99"/>
    <s v="NL10RBRB0948370114"/>
    <s v="SMIT W en/of SMIT-BRANDS W R F"/>
    <x v="1"/>
    <x v="4"/>
    <x v="15"/>
  </r>
  <r>
    <n v="2434"/>
    <s v="NL22RABO0381604934"/>
    <m/>
    <x v="4"/>
    <x v="57"/>
    <d v="2020-10-08T00:00:00"/>
    <d v="2020-10-08T00:00:00"/>
    <n v="-7.15"/>
    <n v="7.15"/>
    <s v="NL60INGB0004899768"/>
    <s v="A bos"/>
    <x v="1"/>
    <x v="4"/>
    <x v="35"/>
  </r>
  <r>
    <n v="2435"/>
    <s v="NL22RABO0381604934"/>
    <m/>
    <x v="4"/>
    <x v="57"/>
    <d v="2020-10-08T00:00:00"/>
    <d v="2020-10-08T00:00:00"/>
    <n v="-3"/>
    <n v="3"/>
    <s v="NL17ABNA0846590743"/>
    <s v="T postma"/>
    <x v="1"/>
    <x v="4"/>
    <x v="35"/>
  </r>
  <r>
    <n v="2442"/>
    <s v="NL22RABO0381604934"/>
    <m/>
    <x v="4"/>
    <x v="57"/>
    <d v="2020-10-12T00:00:00"/>
    <d v="2020-10-12T00:00:00"/>
    <n v="-2.5"/>
    <n v="2.5"/>
    <m/>
    <s v="Rozet 02 ARNHEM"/>
    <x v="1"/>
    <x v="4"/>
    <x v="15"/>
  </r>
  <r>
    <n v="2443"/>
    <s v="NL22RABO0381604934"/>
    <m/>
    <x v="4"/>
    <x v="57"/>
    <d v="2020-10-12T00:00:00"/>
    <d v="2020-10-12T00:00:00"/>
    <n v="-13.93"/>
    <n v="13.93"/>
    <m/>
    <s v="Action 1283 Arnhem"/>
    <x v="1"/>
    <x v="4"/>
    <x v="15"/>
  </r>
  <r>
    <n v="2445"/>
    <s v="NL22RABO0381604934"/>
    <m/>
    <x v="4"/>
    <x v="57"/>
    <d v="2020-10-13T00:00:00"/>
    <d v="2020-10-13T00:00:00"/>
    <n v="-1"/>
    <n v="1"/>
    <m/>
    <s v="Flying Tiger ARNHEM"/>
    <x v="1"/>
    <x v="4"/>
    <x v="15"/>
  </r>
  <r>
    <n v="2453"/>
    <s v="NL22RABO0381604934"/>
    <m/>
    <x v="4"/>
    <x v="57"/>
    <d v="2020-10-15T00:00:00"/>
    <d v="2020-10-15T00:00:00"/>
    <n v="-3.57"/>
    <n v="3.57"/>
    <s v="NL08INGB0792590562"/>
    <s v="P van der schief"/>
    <x v="1"/>
    <x v="4"/>
    <x v="35"/>
  </r>
  <r>
    <n v="2456"/>
    <s v="NL22RABO0381604934"/>
    <m/>
    <x v="4"/>
    <x v="57"/>
    <d v="2020-10-16T00:00:00"/>
    <d v="2020-10-16T00:00:00"/>
    <n v="-5"/>
    <n v="5"/>
    <m/>
    <s v="Rozet 01 ARNHEM"/>
    <x v="1"/>
    <x v="4"/>
    <x v="15"/>
  </r>
  <r>
    <n v="2457"/>
    <s v="NL22RABO0381604934"/>
    <m/>
    <x v="4"/>
    <x v="57"/>
    <d v="2020-10-16T00:00:00"/>
    <d v="2020-10-16T00:00:00"/>
    <n v="-3.87"/>
    <n v="3.87"/>
    <m/>
    <s v="Action 1283 Arnhem"/>
    <x v="1"/>
    <x v="4"/>
    <x v="15"/>
  </r>
  <r>
    <n v="2466"/>
    <s v="NL22RABO0381604934"/>
    <m/>
    <x v="4"/>
    <x v="57"/>
    <d v="2020-10-20T00:00:00"/>
    <d v="2020-10-20T00:00:00"/>
    <n v="-2"/>
    <n v="2"/>
    <m/>
    <s v="Flying Tiger ARNHEM"/>
    <x v="1"/>
    <x v="4"/>
    <x v="15"/>
  </r>
  <r>
    <n v="2473"/>
    <s v="NL22RABO0381604934"/>
    <m/>
    <x v="4"/>
    <x v="57"/>
    <d v="2020-10-22T00:00:00"/>
    <d v="2020-10-22T00:00:00"/>
    <n v="-4.96"/>
    <n v="4.96"/>
    <m/>
    <s v="Prijsmepper 6265 ARNHEM"/>
    <x v="1"/>
    <x v="4"/>
    <x v="15"/>
  </r>
  <r>
    <n v="2474"/>
    <s v="NL22RABO0381604934"/>
    <m/>
    <x v="4"/>
    <x v="57"/>
    <d v="2020-10-22T00:00:00"/>
    <d v="2020-10-22T00:00:00"/>
    <n v="-2"/>
    <n v="2"/>
    <m/>
    <s v="Medikam die Grenze ARNHEM"/>
    <x v="1"/>
    <x v="4"/>
    <x v="15"/>
  </r>
  <r>
    <n v="2478"/>
    <s v="NL22RABO0381604934"/>
    <m/>
    <x v="4"/>
    <x v="57"/>
    <d v="2020-10-24T00:00:00"/>
    <d v="2020-10-24T00:00:00"/>
    <n v="-24.99"/>
    <n v="24.99"/>
    <m/>
    <s v="Boekhandel ONGERIJMD ARNHEM"/>
    <x v="1"/>
    <x v="4"/>
    <x v="20"/>
  </r>
  <r>
    <n v="2481"/>
    <s v="NL22RABO0381604934"/>
    <m/>
    <x v="4"/>
    <x v="57"/>
    <d v="2020-10-25T00:00:00"/>
    <d v="2020-10-25T00:00:00"/>
    <n v="-0.89"/>
    <n v="0.89"/>
    <m/>
    <s v="So-Low Arnhem ARNHEM"/>
    <x v="1"/>
    <x v="4"/>
    <x v="15"/>
  </r>
  <r>
    <n v="2482"/>
    <s v="NL22RABO0381604934"/>
    <m/>
    <x v="4"/>
    <x v="57"/>
    <d v="2020-10-26T00:00:00"/>
    <d v="2020-10-26T00:00:00"/>
    <n v="3.91"/>
    <n v="3.91"/>
    <s v="FR7630004023210000047150210"/>
    <s v="SMIT RENE"/>
    <x v="1"/>
    <x v="4"/>
    <x v="15"/>
  </r>
  <r>
    <n v="2496"/>
    <s v="NL22RABO0381604934"/>
    <m/>
    <x v="4"/>
    <x v="59"/>
    <d v="2020-11-07T00:00:00"/>
    <d v="2020-11-07T00:00:00"/>
    <n v="-1.99"/>
    <n v="1.99"/>
    <m/>
    <s v="Action 1283 Arnhem"/>
    <x v="1"/>
    <x v="4"/>
    <x v="15"/>
  </r>
  <r>
    <n v="2501"/>
    <s v="NL22RABO0381604934"/>
    <m/>
    <x v="4"/>
    <x v="59"/>
    <d v="2020-11-09T00:00:00"/>
    <d v="2020-11-09T00:00:00"/>
    <n v="-1.37"/>
    <n v="1.37"/>
    <m/>
    <s v="BIGBAZAR-ARNHEM ARNHEM"/>
    <x v="1"/>
    <x v="4"/>
    <x v="15"/>
  </r>
  <r>
    <n v="2512"/>
    <s v="NL22RABO0381604934"/>
    <m/>
    <x v="4"/>
    <x v="59"/>
    <d v="2020-11-15T00:00:00"/>
    <d v="2020-11-15T00:00:00"/>
    <n v="-4.92"/>
    <n v="4.92"/>
    <m/>
    <s v="Action 1283 Arnhem"/>
    <x v="1"/>
    <x v="4"/>
    <x v="15"/>
  </r>
  <r>
    <n v="2525"/>
    <s v="NL22RABO0381604934"/>
    <m/>
    <x v="4"/>
    <x v="59"/>
    <d v="2020-11-20T00:00:00"/>
    <d v="2020-11-20T00:00:00"/>
    <n v="-6.36"/>
    <n v="6.36"/>
    <m/>
    <s v="Action 1283 Arnhem"/>
    <x v="1"/>
    <x v="4"/>
    <x v="15"/>
  </r>
  <r>
    <n v="2526"/>
    <s v="NL22RABO0381604934"/>
    <m/>
    <x v="4"/>
    <x v="59"/>
    <d v="2020-11-21T00:00:00"/>
    <d v="2020-11-21T00:00:00"/>
    <n v="-27.95"/>
    <n v="27.95"/>
    <m/>
    <s v="CCV*BOEKHANDEL HIJMAN ARNHEM"/>
    <x v="1"/>
    <x v="4"/>
    <x v="20"/>
  </r>
  <r>
    <n v="2541"/>
    <s v="NL22RABO0381604934"/>
    <m/>
    <x v="4"/>
    <x v="58"/>
    <d v="2020-12-07T00:00:00"/>
    <d v="2020-12-07T00:00:00"/>
    <n v="-0.5"/>
    <n v="0.5"/>
    <m/>
    <s v="Emmen Toilet 1 EMMEN"/>
    <x v="1"/>
    <x v="4"/>
    <x v="15"/>
  </r>
  <r>
    <n v="2547"/>
    <s v="NL22RABO0381604934"/>
    <m/>
    <x v="4"/>
    <x v="58"/>
    <d v="2020-12-09T00:00:00"/>
    <d v="2020-12-09T00:00:00"/>
    <n v="-0.56999999999999995"/>
    <n v="0.56999999999999995"/>
    <m/>
    <s v="Action 1283 Arnhem"/>
    <x v="1"/>
    <x v="4"/>
    <x v="15"/>
  </r>
  <r>
    <n v="2550"/>
    <s v="NL22RABO0381604934"/>
    <m/>
    <x v="4"/>
    <x v="58"/>
    <d v="2020-12-12T00:00:00"/>
    <d v="2020-12-12T00:00:00"/>
    <n v="-1.49"/>
    <n v="1.49"/>
    <m/>
    <s v="Prijsmepper 6265 ARNHEM"/>
    <x v="1"/>
    <x v="4"/>
    <x v="15"/>
  </r>
  <r>
    <n v="2554"/>
    <s v="NL22RABO0381604934"/>
    <m/>
    <x v="4"/>
    <x v="58"/>
    <d v="2020-12-14T00:00:00"/>
    <d v="2020-12-14T00:00:00"/>
    <n v="-12.99"/>
    <n v="12.99"/>
    <m/>
    <s v="Blokker 0586 Arnhem ARNHEM2 TONDUESE"/>
    <x v="1"/>
    <x v="4"/>
    <x v="26"/>
  </r>
  <r>
    <n v="2555"/>
    <s v="NL22RABO0381604934"/>
    <m/>
    <x v="4"/>
    <x v="58"/>
    <d v="2020-12-14T00:00:00"/>
    <d v="2020-12-14T00:00:00"/>
    <n v="-1"/>
    <n v="1"/>
    <m/>
    <s v="Flying Tiger ARNHEM"/>
    <x v="1"/>
    <x v="4"/>
    <x v="15"/>
  </r>
  <r>
    <n v="2556"/>
    <s v="NL22RABO0381604934"/>
    <m/>
    <x v="4"/>
    <x v="58"/>
    <d v="2020-12-14T00:00:00"/>
    <d v="2020-12-14T00:00:00"/>
    <n v="-3.49"/>
    <n v="3.49"/>
    <m/>
    <s v="CCV*Boekenvoordeel B.V ALMERE"/>
    <x v="1"/>
    <x v="4"/>
    <x v="26"/>
  </r>
  <r>
    <n v="2563"/>
    <s v="NL22RABO0381604934"/>
    <m/>
    <x v="4"/>
    <x v="58"/>
    <d v="2020-12-16T00:00:00"/>
    <d v="2020-12-16T00:00:00"/>
    <n v="-0.7"/>
    <n v="0.7"/>
    <m/>
    <s v="Arnhem Arnhem"/>
    <x v="1"/>
    <x v="4"/>
    <x v="15"/>
  </r>
  <r>
    <n v="2568"/>
    <s v="NL22RABO0381604934"/>
    <m/>
    <x v="4"/>
    <x v="58"/>
    <d v="2020-12-19T00:00:00"/>
    <d v="2020-12-19T00:00:00"/>
    <n v="-40"/>
    <n v="40"/>
    <s v="NL27RABO0343552132"/>
    <s v="RL Smit"/>
    <x v="1"/>
    <x v="4"/>
    <x v="22"/>
  </r>
  <r>
    <n v="2591"/>
    <s v="RABO GOLD CARD"/>
    <m/>
    <x v="4"/>
    <x v="20"/>
    <d v="2020-01-09T00:00:00"/>
    <d v="2020-01-09T00:00:00"/>
    <n v="-5.49"/>
    <n v="5.49"/>
    <m/>
    <s v="LAZADA  // PROTECTION SCREEN PHONE"/>
    <x v="1"/>
    <x v="4"/>
    <x v="36"/>
  </r>
  <r>
    <n v="2592"/>
    <s v="RABO GOLD CARD"/>
    <m/>
    <x v="4"/>
    <x v="20"/>
    <d v="2020-01-09T00:00:00"/>
    <d v="2020-01-09T00:00:00"/>
    <n v="-4.34"/>
    <n v="4.34"/>
    <m/>
    <s v="LAZADA   // POI BALLEN"/>
    <x v="1"/>
    <x v="4"/>
    <x v="36"/>
  </r>
  <r>
    <n v="2596"/>
    <s v="RABO GOLD CARD"/>
    <m/>
    <x v="4"/>
    <x v="21"/>
    <d v="2020-03-13T00:00:00"/>
    <d v="2020-03-13T00:00:00"/>
    <n v="-8.85"/>
    <n v="8.85"/>
    <m/>
    <s v="PYRAMIDS OF CHI SHOP H   GIANYAR      IDN"/>
    <x v="1"/>
    <x v="4"/>
    <x v="15"/>
  </r>
  <r>
    <n v="2600"/>
    <s v="RABO GOLD CARD"/>
    <m/>
    <x v="4"/>
    <x v="22"/>
    <d v="2020-04-10T00:00:00"/>
    <d v="2020-04-10T00:00:00"/>
    <n v="-7.74"/>
    <n v="7.74"/>
    <m/>
    <s v="Lazada  // MICROPHONES"/>
    <x v="1"/>
    <x v="4"/>
    <x v="36"/>
  </r>
  <r>
    <n v="2601"/>
    <s v="RABO GOLD CARD"/>
    <m/>
    <x v="4"/>
    <x v="22"/>
    <d v="2020-04-19T00:00:00"/>
    <d v="2020-04-19T00:00:00"/>
    <n v="-10"/>
    <n v="10"/>
    <m/>
    <s v="GFM*GoFndMe* Last hope   Dublin       IRL"/>
    <x v="1"/>
    <x v="4"/>
    <x v="22"/>
  </r>
  <r>
    <n v="2605"/>
    <s v="RABO GOLD CARD"/>
    <m/>
    <x v="4"/>
    <x v="23"/>
    <d v="2020-05-25T00:00:00"/>
    <d v="2020-05-25T00:00:00"/>
    <n v="-3.79"/>
    <n v="3.79"/>
    <m/>
    <s v="tarot kaarten / Lazada BANGKOK THA"/>
    <x v="1"/>
    <x v="4"/>
    <x v="36"/>
  </r>
  <r>
    <n v="2606"/>
    <s v="RABO GOLD CARD"/>
    <m/>
    <x v="4"/>
    <x v="23"/>
    <d v="2020-05-27T00:00:00"/>
    <d v="2020-05-27T00:00:00"/>
    <n v="-3.89"/>
    <n v="3.89"/>
    <m/>
    <s v="gecanceled onbekend / LAZADA BANGKOK THA"/>
    <x v="1"/>
    <x v="4"/>
    <x v="36"/>
  </r>
  <r>
    <n v="2608"/>
    <s v="RABO GOLD CARD"/>
    <m/>
    <x v="4"/>
    <x v="24"/>
    <d v="2020-06-21T00:00:00"/>
    <d v="2020-06-21T00:00:00"/>
    <n v="-2.91"/>
    <n v="2.91"/>
    <m/>
    <s v="usb 2 wifi / LAZADA BANGKOK THA"/>
    <x v="1"/>
    <x v="4"/>
    <x v="36"/>
  </r>
  <r>
    <n v="2609"/>
    <s v="RABO GOLD CARD"/>
    <m/>
    <x v="4"/>
    <x v="24"/>
    <d v="2020-06-22T00:00:00"/>
    <d v="2020-06-22T00:00:00"/>
    <n v="3.8"/>
    <n v="3.8"/>
    <m/>
    <s v="gecanceled onbekend / Lazada BANGKOK THA"/>
    <x v="1"/>
    <x v="4"/>
    <x v="36"/>
  </r>
  <r>
    <n v="2615"/>
    <s v="RABO GOLD CARD"/>
    <m/>
    <x v="4"/>
    <x v="61"/>
    <d v="2020-09-18T00:00:00"/>
    <d v="2020-09-18T00:00:00"/>
    <n v="-1.39"/>
    <n v="1.39"/>
    <m/>
    <s v="PAYPAL *GOOGLE ZORILLA 35314369001 IRL"/>
    <x v="1"/>
    <x v="4"/>
    <x v="28"/>
  </r>
  <r>
    <n v="2619"/>
    <s v="RABO GOLD CARD"/>
    <m/>
    <x v="4"/>
    <x v="57"/>
    <d v="2020-10-08T00:00:00"/>
    <d v="2020-10-08T00:00:00"/>
    <n v="-13.6"/>
    <n v="13.6"/>
    <m/>
    <s v="PAYPAL *FBA BRICKLINK.   35314369001  NLD"/>
    <x v="1"/>
    <x v="4"/>
    <x v="35"/>
  </r>
  <r>
    <n v="2620"/>
    <s v="RABO GOLD CARD"/>
    <m/>
    <x v="4"/>
    <x v="57"/>
    <d v="2020-10-12T00:00:00"/>
    <d v="2020-10-12T00:00:00"/>
    <n v="-0.89"/>
    <n v="0.89"/>
    <m/>
    <s v="PAYPAL *SOCIETY6         4029357733   USACA"/>
    <x v="1"/>
    <x v="4"/>
    <x v="15"/>
  </r>
  <r>
    <n v="2634"/>
    <s v="RABO GOLD CARD"/>
    <m/>
    <x v="4"/>
    <x v="58"/>
    <d v="2020-12-21T00:00:00"/>
    <d v="2020-12-21T00:00:00"/>
    <n v="-7.5"/>
    <n v="7.5"/>
    <m/>
    <s v="Transferwise             London       GBR"/>
    <x v="1"/>
    <x v="4"/>
    <x v="22"/>
  </r>
  <r>
    <n v="2640"/>
    <s v="KAS"/>
    <m/>
    <x v="5"/>
    <x v="63"/>
    <d v="2021-03-18T00:00:00"/>
    <d v="2021-03-18T00:00:00"/>
    <n v="13"/>
    <n v="13"/>
    <m/>
    <s v="Kruidvat 6224 MUSSELKANAAL"/>
    <x v="1"/>
    <x v="4"/>
    <x v="15"/>
  </r>
  <r>
    <n v="2645"/>
    <s v="KRUIS"/>
    <m/>
    <x v="5"/>
    <x v="69"/>
    <d v="2021-07-02T00:00:00"/>
    <d v="2021-07-02T00:00:00"/>
    <n v="4.5"/>
    <n v="4.5"/>
    <m/>
    <s v="Camping Bertrix Bertrix BEL"/>
    <x v="1"/>
    <x v="4"/>
    <x v="15"/>
  </r>
  <r>
    <n v="2646"/>
    <s v="KRUIS"/>
    <m/>
    <x v="5"/>
    <x v="64"/>
    <d v="2021-09-18T00:00:00"/>
    <d v="2021-09-18T00:00:00"/>
    <n v="-15"/>
    <n v="15"/>
    <m/>
    <s v="boodsch naar joost"/>
    <x v="1"/>
    <x v="4"/>
    <x v="26"/>
  </r>
  <r>
    <n v="2648"/>
    <s v="KRUIS"/>
    <m/>
    <x v="5"/>
    <x v="64"/>
    <d v="2021-09-18T00:00:00"/>
    <d v="2021-09-18T00:00:00"/>
    <n v="-10"/>
    <n v="10"/>
    <m/>
    <s v="horeca naar Joost"/>
    <x v="1"/>
    <x v="4"/>
    <x v="26"/>
  </r>
  <r>
    <n v="2652"/>
    <s v="KRUIS"/>
    <m/>
    <x v="5"/>
    <x v="25"/>
    <d v="2021-10-24T00:00:00"/>
    <m/>
    <n v="-11.8"/>
    <n v="11.8"/>
    <m/>
    <s v="pakje shag"/>
    <x v="1"/>
    <x v="4"/>
    <x v="37"/>
  </r>
  <r>
    <n v="2653"/>
    <s v="KRUIS"/>
    <m/>
    <x v="5"/>
    <x v="25"/>
    <d v="2021-10-24T00:00:00"/>
    <m/>
    <n v="11.8"/>
    <n v="11.8"/>
    <m/>
    <s v="pakje shag"/>
    <x v="1"/>
    <x v="4"/>
    <x v="37"/>
  </r>
  <r>
    <n v="2654"/>
    <s v="KRUIS"/>
    <m/>
    <x v="5"/>
    <x v="25"/>
    <d v="2021-10-24T00:00:00"/>
    <m/>
    <n v="-10.38"/>
    <n v="10.38"/>
    <m/>
    <s v="uitgaan joost"/>
    <x v="1"/>
    <x v="4"/>
    <x v="38"/>
  </r>
  <r>
    <n v="2656"/>
    <s v="KRUIS"/>
    <m/>
    <x v="5"/>
    <x v="25"/>
    <d v="2021-10-25T00:00:00"/>
    <m/>
    <n v="-26.85"/>
    <n v="26.85"/>
    <m/>
    <s v="boodsch joost"/>
    <x v="1"/>
    <x v="4"/>
    <x v="38"/>
  </r>
  <r>
    <n v="2706"/>
    <s v="NL22RABO0381604934"/>
    <m/>
    <x v="5"/>
    <x v="62"/>
    <d v="2021-02-27T00:00:00"/>
    <d v="2021-02-27T00:00:00"/>
    <n v="-4.49"/>
    <n v="4.49"/>
    <m/>
    <s v="113  DIO-Readshop MUSSELKANAAL"/>
    <x v="1"/>
    <x v="4"/>
    <x v="20"/>
  </r>
  <r>
    <n v="2717"/>
    <s v="NL22RABO0381604934"/>
    <m/>
    <x v="5"/>
    <x v="63"/>
    <d v="2021-03-18T00:00:00"/>
    <d v="2021-03-18T00:00:00"/>
    <n v="-16.18"/>
    <n v="16.18"/>
    <m/>
    <s v="Kruidvat 6224 MUSSELKANAAL"/>
    <x v="1"/>
    <x v="4"/>
    <x v="15"/>
  </r>
  <r>
    <n v="2720"/>
    <s v="NL22RABO0381604934"/>
    <m/>
    <x v="5"/>
    <x v="63"/>
    <d v="2021-03-20T00:00:00"/>
    <d v="2021-03-20T00:00:00"/>
    <n v="-0.14000000000000001"/>
    <n v="0.14000000000000001"/>
    <m/>
    <s v="113  DIO-Readshop MUSSELKANAAL"/>
    <x v="1"/>
    <x v="4"/>
    <x v="20"/>
  </r>
  <r>
    <n v="2739"/>
    <s v="NL22RABO0381604934"/>
    <m/>
    <x v="5"/>
    <x v="66"/>
    <d v="2021-04-09T00:00:00"/>
    <d v="2021-04-09T00:00:00"/>
    <n v="-10.199999999999999"/>
    <n v="10.199999999999999"/>
    <m/>
    <s v="Action 1325 Panningen"/>
    <x v="1"/>
    <x v="4"/>
    <x v="15"/>
  </r>
  <r>
    <n v="2740"/>
    <s v="NL22RABO0381604934"/>
    <m/>
    <x v="5"/>
    <x v="66"/>
    <d v="2021-04-14T00:00:00"/>
    <d v="2021-04-14T00:00:00"/>
    <n v="-20.94"/>
    <n v="20.94"/>
    <m/>
    <s v="Action 1325 Panningen"/>
    <x v="1"/>
    <x v="4"/>
    <x v="15"/>
  </r>
  <r>
    <n v="2754"/>
    <s v="NL22RABO0381604934"/>
    <m/>
    <x v="5"/>
    <x v="66"/>
    <d v="2021-04-24T00:00:00"/>
    <d v="2021-04-24T00:00:00"/>
    <n v="2.29"/>
    <n v="2.29"/>
    <s v="NL13ABNA0506417344"/>
    <s v="AAB RETAIL INZ TIKKIE"/>
    <x v="1"/>
    <x v="4"/>
    <x v="15"/>
  </r>
  <r>
    <n v="2761"/>
    <s v="NL22RABO0381604934"/>
    <m/>
    <x v="5"/>
    <x v="66"/>
    <d v="2021-04-28T00:00:00"/>
    <d v="2021-04-28T00:00:00"/>
    <n v="-3.77"/>
    <n v="3.77"/>
    <m/>
    <s v="Action 1325 Panningen"/>
    <x v="1"/>
    <x v="4"/>
    <x v="15"/>
  </r>
  <r>
    <n v="2786"/>
    <s v="NL22RABO0381604934"/>
    <m/>
    <x v="5"/>
    <x v="67"/>
    <d v="2021-05-18T00:00:00"/>
    <d v="2021-05-18T00:00:00"/>
    <n v="-14"/>
    <n v="14"/>
    <m/>
    <s v="Action 1152 Sevenum"/>
    <x v="1"/>
    <x v="4"/>
    <x v="15"/>
  </r>
  <r>
    <n v="2794"/>
    <s v="NL22RABO0381604934"/>
    <m/>
    <x v="5"/>
    <x v="67"/>
    <d v="2021-05-20T00:00:00"/>
    <d v="2021-05-20T00:00:00"/>
    <n v="-14.06"/>
    <n v="14.06"/>
    <m/>
    <s v="Action 1325 Panningen"/>
    <x v="1"/>
    <x v="4"/>
    <x v="15"/>
  </r>
  <r>
    <n v="2807"/>
    <s v="NL22RABO0381604934"/>
    <m/>
    <x v="5"/>
    <x v="67"/>
    <d v="2021-05-30T00:00:00"/>
    <d v="2021-05-30T00:00:00"/>
    <n v="-1.59"/>
    <n v="1.59"/>
    <m/>
    <s v="Action 1283 Arnhem"/>
    <x v="1"/>
    <x v="4"/>
    <x v="15"/>
  </r>
  <r>
    <n v="2808"/>
    <s v="NL22RABO0381604934"/>
    <m/>
    <x v="5"/>
    <x v="67"/>
    <d v="2021-05-31T00:00:00"/>
    <d v="2021-05-31T00:00:00"/>
    <n v="-6.46"/>
    <n v="6.46"/>
    <m/>
    <s v="Action 1283 Arnhem"/>
    <x v="1"/>
    <x v="4"/>
    <x v="15"/>
  </r>
  <r>
    <n v="2824"/>
    <s v="NL22RABO0381604934"/>
    <m/>
    <x v="5"/>
    <x v="68"/>
    <d v="2021-06-06T00:00:00"/>
    <d v="2021-06-06T00:00:00"/>
    <n v="-0.96"/>
    <n v="0.96"/>
    <s v="NL39RABO0301242844"/>
    <s v="Koninklijke PostNL via Ingenico"/>
    <x v="1"/>
    <x v="4"/>
    <x v="15"/>
  </r>
  <r>
    <n v="2825"/>
    <s v="NL22RABO0381604934"/>
    <m/>
    <x v="5"/>
    <x v="68"/>
    <d v="2021-06-06T00:00:00"/>
    <d v="2021-06-06T00:00:00"/>
    <n v="-7.6"/>
    <n v="7.6"/>
    <m/>
    <s v="Action 1325 Panningen"/>
    <x v="1"/>
    <x v="4"/>
    <x v="15"/>
  </r>
  <r>
    <n v="2829"/>
    <s v="NL22RABO0381604934"/>
    <m/>
    <x v="5"/>
    <x v="68"/>
    <d v="2021-06-07T00:00:00"/>
    <d v="2021-06-07T00:00:00"/>
    <n v="-19.920000000000002"/>
    <n v="19.920000000000002"/>
    <m/>
    <s v="Action 1325 Panningen"/>
    <x v="1"/>
    <x v="4"/>
    <x v="15"/>
  </r>
  <r>
    <n v="2833"/>
    <s v="NL22RABO0381604934"/>
    <m/>
    <x v="5"/>
    <x v="68"/>
    <d v="2021-06-09T00:00:00"/>
    <d v="2021-06-09T00:00:00"/>
    <n v="-1.49"/>
    <n v="1.49"/>
    <m/>
    <s v="So-Low Arnhem ARNHEM"/>
    <x v="1"/>
    <x v="4"/>
    <x v="15"/>
  </r>
  <r>
    <n v="2838"/>
    <s v="NL22RABO0381604934"/>
    <m/>
    <x v="5"/>
    <x v="68"/>
    <d v="2021-06-10T00:00:00"/>
    <d v="2021-06-10T00:00:00"/>
    <n v="-3.69"/>
    <n v="3.69"/>
    <m/>
    <s v="Xenos Venlo 0029 VENLO"/>
    <x v="1"/>
    <x v="4"/>
    <x v="15"/>
  </r>
  <r>
    <n v="2861"/>
    <s v="NL22RABO0381604934"/>
    <m/>
    <x v="5"/>
    <x v="68"/>
    <d v="2021-06-24T00:00:00"/>
    <d v="2021-06-24T00:00:00"/>
    <n v="-5.85"/>
    <n v="5.85"/>
    <m/>
    <s v="Action 1325 Panningen"/>
    <x v="1"/>
    <x v="4"/>
    <x v="15"/>
  </r>
  <r>
    <n v="2862"/>
    <s v="NL22RABO0381604934"/>
    <m/>
    <x v="5"/>
    <x v="68"/>
    <d v="2021-06-24T00:00:00"/>
    <d v="2021-06-24T00:00:00"/>
    <n v="-2.99"/>
    <n v="2.99"/>
    <m/>
    <s v="Action 1325 Panningen"/>
    <x v="1"/>
    <x v="4"/>
    <x v="15"/>
  </r>
  <r>
    <n v="2869"/>
    <s v="NL22RABO0381604934"/>
    <m/>
    <x v="5"/>
    <x v="68"/>
    <d v="2021-06-28T00:00:00"/>
    <d v="2021-06-28T00:00:00"/>
    <n v="-0.92"/>
    <n v="0.92"/>
    <m/>
    <s v="Action 1325 Panningen"/>
    <x v="1"/>
    <x v="4"/>
    <x v="15"/>
  </r>
  <r>
    <n v="2871"/>
    <s v="NL22RABO0381604934"/>
    <m/>
    <x v="5"/>
    <x v="68"/>
    <d v="2021-06-30T00:00:00"/>
    <d v="2021-06-30T00:00:00"/>
    <n v="-20"/>
    <n v="20"/>
    <s v="NL35RABO0117713678"/>
    <s v="Bitmymoney BV via PAY.nl"/>
    <x v="1"/>
    <x v="4"/>
    <x v="22"/>
  </r>
  <r>
    <n v="2873"/>
    <s v="NL22RABO0381604934"/>
    <m/>
    <x v="5"/>
    <x v="69"/>
    <d v="2021-07-01T00:00:00"/>
    <d v="2021-07-01T00:00:00"/>
    <n v="-0.7"/>
    <n v="0.7"/>
    <m/>
    <s v="Esso Het Anker TOI Roosteren"/>
    <x v="1"/>
    <x v="4"/>
    <x v="15"/>
  </r>
  <r>
    <n v="2878"/>
    <s v="NL22RABO0381604934"/>
    <m/>
    <x v="5"/>
    <x v="69"/>
    <d v="2021-07-02T00:00:00"/>
    <d v="2021-07-02T00:00:00"/>
    <n v="-4.5"/>
    <n v="4.5"/>
    <m/>
    <s v="Camping Bertrix Bertrix BEL"/>
    <x v="1"/>
    <x v="4"/>
    <x v="15"/>
  </r>
  <r>
    <n v="2883"/>
    <s v="NL22RABO0381604934"/>
    <m/>
    <x v="5"/>
    <x v="69"/>
    <d v="2021-07-06T00:00:00"/>
    <d v="2021-07-06T00:00:00"/>
    <n v="-5"/>
    <n v="5"/>
    <m/>
    <s v="Fietswereld Tandem PANNINGEN"/>
    <x v="1"/>
    <x v="4"/>
    <x v="15"/>
  </r>
  <r>
    <n v="2885"/>
    <s v="NL22RABO0381604934"/>
    <m/>
    <x v="5"/>
    <x v="69"/>
    <d v="2021-07-06T00:00:00"/>
    <d v="2021-07-06T00:00:00"/>
    <n v="-18.12"/>
    <n v="18.12"/>
    <m/>
    <s v="Action 1325 Panningen"/>
    <x v="1"/>
    <x v="4"/>
    <x v="15"/>
  </r>
  <r>
    <n v="2894"/>
    <s v="NL22RABO0381604934"/>
    <m/>
    <x v="5"/>
    <x v="69"/>
    <d v="2021-07-15T00:00:00"/>
    <d v="2021-07-15T00:00:00"/>
    <n v="-6.98"/>
    <n v="6.98"/>
    <m/>
    <s v="Action 1102 Venlo"/>
    <x v="1"/>
    <x v="4"/>
    <x v="15"/>
  </r>
  <r>
    <n v="2897"/>
    <s v="NL22RABO0381604934"/>
    <m/>
    <x v="5"/>
    <x v="69"/>
    <d v="2021-07-18T00:00:00"/>
    <d v="2021-07-18T00:00:00"/>
    <n v="-1"/>
    <n v="1"/>
    <m/>
    <s v="CCV*SEVEN TWENTY CABLE SEVENUM"/>
    <x v="1"/>
    <x v="4"/>
    <x v="15"/>
  </r>
  <r>
    <n v="2902"/>
    <s v="NL22RABO0381604934"/>
    <m/>
    <x v="5"/>
    <x v="69"/>
    <d v="2021-07-20T00:00:00"/>
    <d v="2021-07-20T00:00:00"/>
    <n v="-3.43"/>
    <n v="3.43"/>
    <m/>
    <s v="Action 1152 Sevenum"/>
    <x v="1"/>
    <x v="4"/>
    <x v="15"/>
  </r>
  <r>
    <n v="2914"/>
    <s v="NL22RABO0381604934"/>
    <m/>
    <x v="5"/>
    <x v="69"/>
    <d v="2021-07-28T00:00:00"/>
    <d v="2021-07-28T00:00:00"/>
    <n v="-8.91"/>
    <n v="8.91"/>
    <m/>
    <s v="Action 1325 Panningen"/>
    <x v="1"/>
    <x v="4"/>
    <x v="15"/>
  </r>
  <r>
    <n v="2916"/>
    <s v="NL22RABO0381604934"/>
    <m/>
    <x v="5"/>
    <x v="69"/>
    <d v="2021-07-28T00:00:00"/>
    <d v="2021-07-28T00:00:00"/>
    <n v="-0.59"/>
    <n v="0.59"/>
    <m/>
    <s v="vof De Gruntehoof PANNINGEN"/>
    <x v="1"/>
    <x v="4"/>
    <x v="15"/>
  </r>
  <r>
    <n v="2930"/>
    <s v="NL22RABO0381604934"/>
    <m/>
    <x v="5"/>
    <x v="70"/>
    <d v="2021-08-12T00:00:00"/>
    <d v="2021-08-12T00:00:00"/>
    <n v="-4.04"/>
    <n v="4.04"/>
    <m/>
    <s v="Action 1102 Venlo"/>
    <x v="1"/>
    <x v="4"/>
    <x v="15"/>
  </r>
  <r>
    <n v="2933"/>
    <s v="NL22RABO0381604934"/>
    <m/>
    <x v="5"/>
    <x v="70"/>
    <d v="2021-08-15T00:00:00"/>
    <d v="2021-08-15T00:00:00"/>
    <n v="-5.03"/>
    <n v="5.03"/>
    <m/>
    <s v="Action 1325 Panningen"/>
    <x v="1"/>
    <x v="4"/>
    <x v="15"/>
  </r>
  <r>
    <n v="2949"/>
    <s v="NL22RABO0381604934"/>
    <m/>
    <x v="5"/>
    <x v="70"/>
    <d v="2021-08-31T00:00:00"/>
    <d v="2021-08-31T00:00:00"/>
    <n v="-1.75"/>
    <n v="1.75"/>
    <m/>
    <s v="Snuffelshop Gediam PANNINGEN"/>
    <x v="1"/>
    <x v="4"/>
    <x v="15"/>
  </r>
  <r>
    <n v="2963"/>
    <s v="NL22RABO0381604934"/>
    <m/>
    <x v="5"/>
    <x v="64"/>
    <d v="2021-09-15T00:00:00"/>
    <d v="2021-09-15T00:00:00"/>
    <n v="-12"/>
    <n v="12"/>
    <s v="NL07DEUT7026271408"/>
    <s v="petje.af/kukuru via Mollie"/>
    <x v="1"/>
    <x v="4"/>
    <x v="39"/>
  </r>
  <r>
    <n v="2973"/>
    <s v="NL22RABO0381604934"/>
    <m/>
    <x v="5"/>
    <x v="64"/>
    <d v="2021-09-16T00:00:00"/>
    <d v="2021-09-16T00:00:00"/>
    <n v="-0.7"/>
    <n v="0.7"/>
    <m/>
    <s v="Arnhem Arnhem"/>
    <x v="1"/>
    <x v="4"/>
    <x v="15"/>
  </r>
  <r>
    <n v="2982"/>
    <s v="NL22RABO0381604934"/>
    <m/>
    <x v="5"/>
    <x v="64"/>
    <d v="2021-09-21T00:00:00"/>
    <d v="2021-09-21T00:00:00"/>
    <n v="-2.5"/>
    <n v="2.5"/>
    <s v="NL13ABNA0506417344"/>
    <s v="ABN AMRO Bank NV"/>
    <x v="1"/>
    <x v="4"/>
    <x v="22"/>
  </r>
  <r>
    <n v="2983"/>
    <s v="NL22RABO0381604934"/>
    <m/>
    <x v="5"/>
    <x v="64"/>
    <d v="2021-09-21T00:00:00"/>
    <d v="2021-09-21T00:00:00"/>
    <n v="12"/>
    <n v="12"/>
    <s v="NL80ABNA0627562930"/>
    <s v="STG MOLLIE PAYMENTS"/>
    <x v="1"/>
    <x v="4"/>
    <x v="39"/>
  </r>
  <r>
    <n v="2999"/>
    <s v="NL22RABO0381604934"/>
    <m/>
    <x v="5"/>
    <x v="25"/>
    <d v="2021-10-05T00:00:00"/>
    <d v="2021-10-05T00:00:00"/>
    <n v="-1.49"/>
    <n v="1.49"/>
    <m/>
    <s v="Action 1072 Stadskanaal"/>
    <x v="1"/>
    <x v="4"/>
    <x v="15"/>
  </r>
  <r>
    <n v="3005"/>
    <s v="NL22RABO0381604934"/>
    <m/>
    <x v="5"/>
    <x v="25"/>
    <d v="2021-10-08T00:00:00"/>
    <d v="2021-10-08T00:00:00"/>
    <n v="-0.5"/>
    <n v="0.5"/>
    <m/>
    <s v="Emmen Toilet 1 EMMEN"/>
    <x v="1"/>
    <x v="4"/>
    <x v="15"/>
  </r>
  <r>
    <n v="3008"/>
    <s v="NL22RABO0381604934"/>
    <m/>
    <x v="5"/>
    <x v="25"/>
    <d v="2021-10-09T00:00:00"/>
    <d v="2021-10-09T00:00:00"/>
    <n v="-4.99"/>
    <n v="4.99"/>
    <m/>
    <s v="CCV*Boekenvoordeel B.V ALMERE"/>
    <x v="1"/>
    <x v="4"/>
    <x v="22"/>
  </r>
  <r>
    <n v="3011"/>
    <s v="NL22RABO0381604934"/>
    <m/>
    <x v="5"/>
    <x v="25"/>
    <d v="2021-10-10T00:00:00"/>
    <d v="2021-10-10T00:00:00"/>
    <n v="-3.48"/>
    <n v="3.48"/>
    <m/>
    <s v="Action 1283 Arnhem"/>
    <x v="1"/>
    <x v="4"/>
    <x v="15"/>
  </r>
  <r>
    <n v="3020"/>
    <s v="NL22RABO0381604934"/>
    <m/>
    <x v="5"/>
    <x v="25"/>
    <d v="2021-10-14T00:00:00"/>
    <d v="2021-10-14T00:00:00"/>
    <n v="-0.96"/>
    <n v="0.96"/>
    <m/>
    <s v="PRIJSMEPPER 6293 ARNHEM"/>
    <x v="1"/>
    <x v="4"/>
    <x v="26"/>
  </r>
  <r>
    <n v="3021"/>
    <s v="NL22RABO0381604934"/>
    <m/>
    <x v="5"/>
    <x v="25"/>
    <d v="2021-10-14T00:00:00"/>
    <d v="2021-10-14T00:00:00"/>
    <n v="-1.49"/>
    <n v="1.49"/>
    <m/>
    <s v="Action Nederland B.V. Arnhem"/>
    <x v="1"/>
    <x v="4"/>
    <x v="15"/>
  </r>
  <r>
    <n v="3024"/>
    <s v="NL22RABO0381604934"/>
    <m/>
    <x v="5"/>
    <x v="25"/>
    <d v="2021-10-14T00:00:00"/>
    <d v="2021-10-14T00:00:00"/>
    <n v="-0.96"/>
    <n v="0.96"/>
    <m/>
    <s v="PRIJSMEPPER 6293 ARNHEM"/>
    <x v="1"/>
    <x v="4"/>
    <x v="15"/>
  </r>
  <r>
    <n v="3025"/>
    <s v="NL22RABO0381604934"/>
    <m/>
    <x v="5"/>
    <x v="25"/>
    <d v="2021-10-14T00:00:00"/>
    <d v="2021-10-14T00:00:00"/>
    <n v="-1.49"/>
    <n v="1.49"/>
    <m/>
    <s v="Action Nederland B.V. Arnhem"/>
    <x v="1"/>
    <x v="4"/>
    <x v="15"/>
  </r>
  <r>
    <n v="3031"/>
    <s v="NL22RABO0381604934"/>
    <m/>
    <x v="5"/>
    <x v="25"/>
    <d v="2021-10-15T00:00:00"/>
    <d v="2021-10-15T00:00:00"/>
    <n v="-13.99"/>
    <n v="13.99"/>
    <m/>
    <s v="Decathlon Den Haag 'S-GRAVENHAGE"/>
    <x v="1"/>
    <x v="4"/>
    <x v="22"/>
  </r>
  <r>
    <n v="3034"/>
    <s v="NL22RABO0381604934"/>
    <m/>
    <x v="5"/>
    <x v="25"/>
    <d v="2021-10-16T00:00:00"/>
    <d v="2021-10-18T00:00:00"/>
    <n v="-2.5"/>
    <n v="2.5"/>
    <s v="NL13ABNA0506417344"/>
    <s v="ABN AMRO Bank NV"/>
    <x v="1"/>
    <x v="4"/>
    <x v="22"/>
  </r>
  <r>
    <n v="3041"/>
    <s v="NL22RABO0381604934"/>
    <m/>
    <x v="5"/>
    <x v="25"/>
    <d v="2021-10-19T00:00:00"/>
    <d v="2021-10-19T00:00:00"/>
    <n v="-5"/>
    <n v="5"/>
    <m/>
    <s v="OPLADEN OV-CHIPKAART AMERSFOORT"/>
    <x v="1"/>
    <x v="4"/>
    <x v="26"/>
  </r>
  <r>
    <n v="3052"/>
    <s v="NL22RABO0381604934"/>
    <m/>
    <x v="5"/>
    <x v="25"/>
    <d v="2021-10-20T00:00:00"/>
    <d v="2021-10-20T00:00:00"/>
    <n v="-10"/>
    <n v="10"/>
    <m/>
    <s v="Rozet 02 ARNHEM"/>
    <x v="1"/>
    <x v="4"/>
    <x v="15"/>
  </r>
  <r>
    <n v="3055"/>
    <s v="NL22RABO0381604934"/>
    <m/>
    <x v="5"/>
    <x v="25"/>
    <d v="2021-10-21T00:00:00"/>
    <d v="2021-10-21T00:00:00"/>
    <n v="-1.63"/>
    <n v="1.63"/>
    <m/>
    <s v="Action 1283 Arnhem"/>
    <x v="1"/>
    <x v="4"/>
    <x v="15"/>
  </r>
  <r>
    <n v="3091"/>
    <s v="NL22RABO0381604934"/>
    <m/>
    <x v="5"/>
    <x v="26"/>
    <d v="2021-11-02T00:00:00"/>
    <d v="2021-11-02T00:00:00"/>
    <n v="-41"/>
    <n v="41"/>
    <m/>
    <s v="GEMEENTE STADSKANAAL STADSKANAAL"/>
    <x v="1"/>
    <x v="4"/>
    <x v="15"/>
  </r>
  <r>
    <n v="3096"/>
    <s v="NL22RABO0381604934"/>
    <m/>
    <x v="5"/>
    <x v="26"/>
    <d v="2021-11-02T00:00:00"/>
    <d v="2021-11-02T00:00:00"/>
    <n v="-3.25"/>
    <n v="3.25"/>
    <m/>
    <s v="Action 1072 Stadskanaal"/>
    <x v="1"/>
    <x v="4"/>
    <x v="15"/>
  </r>
  <r>
    <n v="3120"/>
    <s v="NL22RABO0381604934"/>
    <m/>
    <x v="5"/>
    <x v="26"/>
    <d v="2021-11-13T00:00:00"/>
    <d v="2021-11-13T00:00:00"/>
    <n v="-4.49"/>
    <n v="4.49"/>
    <m/>
    <s v="Boekhandel Vermeer EMMEN"/>
    <x v="1"/>
    <x v="4"/>
    <x v="20"/>
  </r>
  <r>
    <n v="3122"/>
    <s v="NL22RABO0381604934"/>
    <m/>
    <x v="5"/>
    <x v="26"/>
    <d v="2021-11-13T00:00:00"/>
    <d v="2021-11-13T00:00:00"/>
    <n v="-2.41"/>
    <n v="2.41"/>
    <m/>
    <s v="Kruidvat 6224 MUSSELKANAAL"/>
    <x v="1"/>
    <x v="4"/>
    <x v="22"/>
  </r>
  <r>
    <n v="3197"/>
    <s v="RABO GOLD CARD"/>
    <m/>
    <x v="5"/>
    <x v="68"/>
    <d v="2021-06-28T00:00:00"/>
    <d v="2021-06-28T00:00:00"/>
    <n v="-6.67"/>
    <n v="6.67"/>
    <m/>
    <s v="PAYPAL *WISH COM         35314369001  NLD"/>
    <x v="1"/>
    <x v="4"/>
    <x v="15"/>
  </r>
  <r>
    <n v="3206"/>
    <s v="RABO GOLD CARD"/>
    <m/>
    <x v="5"/>
    <x v="64"/>
    <d v="2021-09-06T00:00:00"/>
    <d v="2021-09-06T00:00:00"/>
    <n v="-1.5"/>
    <n v="1.5"/>
    <m/>
    <s v="PAYPAL *REPORTERSON      35314369001  NLD"/>
    <x v="1"/>
    <x v="4"/>
    <x v="22"/>
  </r>
  <r>
    <n v="3207"/>
    <s v="RABO GOLD CARD"/>
    <m/>
    <x v="5"/>
    <x v="64"/>
    <d v="2021-09-17T00:00:00"/>
    <d v="2021-09-17T00:00:00"/>
    <n v="-21.28"/>
    <n v="21.28"/>
    <m/>
    <s v="GoFundMe Astri s knee treRedwood City USACA"/>
    <x v="1"/>
    <x v="4"/>
    <x v="22"/>
  </r>
  <r>
    <n v="3208"/>
    <s v="RABO GOLD CARD"/>
    <m/>
    <x v="5"/>
    <x v="64"/>
    <d v="2021-09-17T00:00:00"/>
    <d v="2021-09-17T00:00:00"/>
    <n v="-0.43"/>
    <n v="0.43"/>
    <m/>
    <s v="Koersopslag"/>
    <x v="1"/>
    <x v="4"/>
    <x v="40"/>
  </r>
  <r>
    <n v="3214"/>
    <s v="RABO GOLD CARD"/>
    <m/>
    <x v="5"/>
    <x v="25"/>
    <d v="2021-10-07T00:00:00"/>
    <m/>
    <n v="-3.06"/>
    <n v="3.06"/>
    <m/>
    <s v="Koersopslag"/>
    <x v="1"/>
    <x v="4"/>
    <x v="40"/>
  </r>
  <r>
    <n v="3216"/>
    <s v="RABO GOLD CARD"/>
    <m/>
    <x v="5"/>
    <x v="25"/>
    <d v="2021-10-08T00:00:00"/>
    <m/>
    <n v="-0.44"/>
    <n v="0.44"/>
    <m/>
    <s v="Koersopslag"/>
    <x v="1"/>
    <x v="4"/>
    <x v="40"/>
  </r>
  <r>
    <n v="3218"/>
    <s v="RABO GOLD CARD"/>
    <m/>
    <x v="5"/>
    <x v="25"/>
    <d v="2021-10-09T00:00:00"/>
    <m/>
    <n v="-2.68"/>
    <n v="2.68"/>
    <m/>
    <s v="Koersopslag"/>
    <x v="1"/>
    <x v="4"/>
    <x v="40"/>
  </r>
  <r>
    <n v="3229"/>
    <s v="RABO GOLD CARD"/>
    <m/>
    <x v="5"/>
    <x v="26"/>
    <d v="2021-11-27T00:00:00"/>
    <m/>
    <n v="-133.88999999999999"/>
    <n v="133.88999999999999"/>
    <m/>
    <s v="SIMPLEX_PAYBIS           EDINBURGH    GBR"/>
    <x v="1"/>
    <x v="4"/>
    <x v="41"/>
  </r>
  <r>
    <n v="3230"/>
    <s v="RABO GOLD CARD"/>
    <m/>
    <x v="5"/>
    <x v="26"/>
    <d v="2021-11-27T00:00:00"/>
    <m/>
    <n v="-2.68"/>
    <n v="2.68"/>
    <m/>
    <s v="Koersopslag"/>
    <x v="1"/>
    <x v="4"/>
    <x v="40"/>
  </r>
  <r>
    <n v="3231"/>
    <s v="RABO GOLD CARD"/>
    <m/>
    <x v="5"/>
    <x v="26"/>
    <d v="2021-11-30T00:00:00"/>
    <m/>
    <n v="-2.27"/>
    <n v="2.27"/>
    <m/>
    <s v="Lazada                   BANGKOK      THA"/>
    <x v="1"/>
    <x v="4"/>
    <x v="36"/>
  </r>
  <r>
    <n v="3232"/>
    <s v="RABO GOLD CARD"/>
    <m/>
    <x v="5"/>
    <x v="26"/>
    <d v="2021-11-30T00:00:00"/>
    <m/>
    <n v="-0.05"/>
    <n v="0.05"/>
    <m/>
    <s v="Koersopslag"/>
    <x v="1"/>
    <x v="4"/>
    <x v="40"/>
  </r>
  <r>
    <n v="3236"/>
    <s v="RABO GOLD CARD"/>
    <m/>
    <x v="5"/>
    <x v="27"/>
    <d v="2021-12-20T00:00:00"/>
    <m/>
    <n v="-1.85"/>
    <n v="1.85"/>
    <m/>
    <s v="Koersopslag"/>
    <x v="1"/>
    <x v="4"/>
    <x v="40"/>
  </r>
  <r>
    <n v="3243"/>
    <s v="KRUIS"/>
    <m/>
    <x v="6"/>
    <x v="28"/>
    <d v="2022-01-31T00:00:00"/>
    <m/>
    <n v="-166.11111111111111"/>
    <n v="166.11111111111111"/>
    <m/>
    <s v="telefoon"/>
    <x v="1"/>
    <x v="4"/>
    <x v="27"/>
  </r>
  <r>
    <n v="3324"/>
    <s v="NL22RABO0381604934"/>
    <m/>
    <x v="6"/>
    <x v="32"/>
    <d v="2022-05-22T00:00:00"/>
    <d v="2022-05-22T00:00:00"/>
    <n v="-25"/>
    <n v="25"/>
    <s v="NL92RABO0348005008"/>
    <s v="Afdeling Valthe en Omstreken van de Koninklijke Nederlandse Vereniging"/>
    <x v="1"/>
    <x v="4"/>
    <x v="15"/>
  </r>
  <r>
    <n v="3326"/>
    <s v="NL22RABO0381604934"/>
    <m/>
    <x v="6"/>
    <x v="32"/>
    <d v="2022-05-23T00:00:00"/>
    <d v="2022-05-23T00:00:00"/>
    <n v="-6.92"/>
    <n v="6.92"/>
    <m/>
    <s v="Action 1072 Stadskanaal"/>
    <x v="1"/>
    <x v="4"/>
    <x v="15"/>
  </r>
  <r>
    <n v="3327"/>
    <s v="NL22RABO0381604934"/>
    <m/>
    <x v="6"/>
    <x v="32"/>
    <d v="2022-05-23T00:00:00"/>
    <d v="2022-05-23T00:00:00"/>
    <n v="-3.49"/>
    <n v="3.49"/>
    <m/>
    <s v="Blokker554 Musselkan MUSSELKANAAL wereldstekker"/>
    <x v="1"/>
    <x v="4"/>
    <x v="15"/>
  </r>
  <r>
    <n v="3328"/>
    <s v="NL22RABO0381604934"/>
    <m/>
    <x v="6"/>
    <x v="32"/>
    <d v="2022-05-23T00:00:00"/>
    <d v="2022-05-23T00:00:00"/>
    <n v="-9.9499999999999993"/>
    <n v="9.9499999999999993"/>
    <s v="NL27INGB0000026500"/>
    <s v="bol.com b.v."/>
    <x v="1"/>
    <x v="4"/>
    <x v="20"/>
  </r>
  <r>
    <n v="3338"/>
    <s v="RABO GOLD CARD"/>
    <m/>
    <x v="6"/>
    <x v="28"/>
    <d v="2022-01-11T00:00:00"/>
    <m/>
    <n v="-14.68"/>
    <n v="14.68"/>
    <m/>
    <s v="COVID TESTS / WWW.LAZADA.CO.TH         BANGKOK      THA"/>
    <x v="1"/>
    <x v="4"/>
    <x v="36"/>
  </r>
  <r>
    <n v="3339"/>
    <s v="RABO GOLD CARD"/>
    <m/>
    <x v="6"/>
    <x v="28"/>
    <d v="2022-01-11T00:00:00"/>
    <m/>
    <n v="-0.28999999999999998"/>
    <n v="0.28999999999999998"/>
    <m/>
    <s v="Koersopslag"/>
    <x v="1"/>
    <x v="4"/>
    <x v="40"/>
  </r>
  <r>
    <n v="3341"/>
    <s v="RABO GOLD CARD"/>
    <m/>
    <x v="6"/>
    <x v="28"/>
    <d v="2022-01-21T00:00:00"/>
    <m/>
    <n v="-54.99"/>
    <n v="54.99"/>
    <m/>
    <s v="AFFINITY                 NOTTINGHAM   GBR"/>
    <x v="1"/>
    <x v="4"/>
    <x v="15"/>
  </r>
  <r>
    <n v="3342"/>
    <s v="RABO GOLD CARD"/>
    <m/>
    <x v="6"/>
    <x v="28"/>
    <d v="2022-01-23T00:00:00"/>
    <m/>
    <n v="-5.66"/>
    <n v="5.66"/>
    <m/>
    <s v="tarot KAARTEN / WWW.LAZADA.CO.TH         BANGKOK      THA"/>
    <x v="1"/>
    <x v="4"/>
    <x v="36"/>
  </r>
  <r>
    <n v="3343"/>
    <s v="RABO GOLD CARD"/>
    <m/>
    <x v="6"/>
    <x v="28"/>
    <d v="2022-01-23T00:00:00"/>
    <m/>
    <n v="-0.11"/>
    <n v="0.11"/>
    <m/>
    <s v="Koersopslag"/>
    <x v="1"/>
    <x v="4"/>
    <x v="40"/>
  </r>
  <r>
    <n v="3345"/>
    <s v="RABO GOLD CARD"/>
    <m/>
    <x v="6"/>
    <x v="28"/>
    <d v="2022-01-31T00:00:00"/>
    <m/>
    <n v="-3.44"/>
    <n v="3.44"/>
    <m/>
    <s v="midi to computer cable / WWW.LAZADA. 0000000000000BANGKOK      THA"/>
    <x v="1"/>
    <x v="4"/>
    <x v="36"/>
  </r>
  <r>
    <n v="3346"/>
    <s v="RABO GOLD CARD"/>
    <m/>
    <x v="6"/>
    <x v="28"/>
    <d v="2022-01-31T00:00:00"/>
    <m/>
    <n v="-7.0000000000000007E-2"/>
    <n v="7.0000000000000007E-2"/>
    <m/>
    <s v="Koersopslag"/>
    <x v="1"/>
    <x v="4"/>
    <x v="40"/>
  </r>
  <r>
    <n v="3348"/>
    <s v="RABO GOLD CARD"/>
    <m/>
    <x v="6"/>
    <x v="30"/>
    <d v="2022-02-06T00:00:00"/>
    <m/>
    <n v="-16.39"/>
    <n v="16.39"/>
    <m/>
    <s v="covid tests / WWW.LAZADA. 0000000000000BANGKOK      THA"/>
    <x v="1"/>
    <x v="4"/>
    <x v="36"/>
  </r>
  <r>
    <n v="3349"/>
    <s v="RABO GOLD CARD"/>
    <m/>
    <x v="6"/>
    <x v="30"/>
    <d v="2022-02-06T00:00:00"/>
    <m/>
    <n v="-0.33"/>
    <n v="0.33"/>
    <m/>
    <s v="Koersopslag"/>
    <x v="1"/>
    <x v="4"/>
    <x v="40"/>
  </r>
  <r>
    <n v="3352"/>
    <s v="RABO GOLD CARD"/>
    <m/>
    <x v="6"/>
    <x v="30"/>
    <d v="2022-02-26T00:00:00"/>
    <m/>
    <n v="-17.559999999999999"/>
    <n v="17.559999999999999"/>
    <m/>
    <s v="covid tests / WWW.LAZADA.CO.TH         BANGKOK      THA"/>
    <x v="1"/>
    <x v="4"/>
    <x v="36"/>
  </r>
  <r>
    <n v="3353"/>
    <s v="RABO GOLD CARD"/>
    <m/>
    <x v="6"/>
    <x v="30"/>
    <d v="2022-02-26T00:00:00"/>
    <m/>
    <n v="-0.35"/>
    <n v="0.35"/>
    <m/>
    <s v="Koersopslag"/>
    <x v="1"/>
    <x v="4"/>
    <x v="40"/>
  </r>
  <r>
    <n v="3356"/>
    <s v="RABO GOLD CARD"/>
    <m/>
    <x v="6"/>
    <x v="30"/>
    <d v="2022-03-10T00:00:00"/>
    <m/>
    <n v="-225.12"/>
    <n v="225.12"/>
    <m/>
    <s v="computer 1 - retour / WWW.LAZADA.CO.TH         BANGKOK      THA"/>
    <x v="1"/>
    <x v="4"/>
    <x v="36"/>
  </r>
  <r>
    <n v="3357"/>
    <s v="RABO GOLD CARD"/>
    <m/>
    <x v="6"/>
    <x v="30"/>
    <d v="2022-03-10T00:00:00"/>
    <m/>
    <n v="-4.5"/>
    <n v="4.5"/>
    <m/>
    <s v="Koersopslag"/>
    <x v="1"/>
    <x v="4"/>
    <x v="40"/>
  </r>
  <r>
    <n v="3358"/>
    <s v="RABO GOLD CARD"/>
    <m/>
    <x v="6"/>
    <x v="30"/>
    <d v="2022-03-10T00:00:00"/>
    <m/>
    <n v="-4.29"/>
    <n v="4.29"/>
    <m/>
    <s v="harddrive adaptor gecanceled / WWW.LAZADA.CO.TH         BANGKOK      THA"/>
    <x v="1"/>
    <x v="4"/>
    <x v="36"/>
  </r>
  <r>
    <n v="3359"/>
    <s v="RABO GOLD CARD"/>
    <m/>
    <x v="6"/>
    <x v="30"/>
    <d v="2022-03-10T00:00:00"/>
    <m/>
    <n v="-0.09"/>
    <n v="0.09"/>
    <m/>
    <s v="Koersopslag"/>
    <x v="1"/>
    <x v="4"/>
    <x v="40"/>
  </r>
  <r>
    <n v="3360"/>
    <s v="RABO GOLD CARD"/>
    <m/>
    <x v="6"/>
    <x v="30"/>
    <d v="2022-03-10T00:00:00"/>
    <m/>
    <n v="0.09"/>
    <n v="0.09"/>
    <m/>
    <s v="Correctie koersopslag"/>
    <x v="1"/>
    <x v="4"/>
    <x v="40"/>
  </r>
  <r>
    <n v="3361"/>
    <s v="RABO GOLD CARD"/>
    <m/>
    <x v="6"/>
    <x v="30"/>
    <d v="2022-03-10T00:00:00"/>
    <m/>
    <n v="4.26"/>
    <n v="4.26"/>
    <m/>
    <s v="hard drive adaptor .gecanceled / WWW.LAZADA.CO.TH         BANGKOK      THA"/>
    <x v="1"/>
    <x v="4"/>
    <x v="36"/>
  </r>
  <r>
    <n v="3362"/>
    <s v="RABO GOLD CARD"/>
    <m/>
    <x v="6"/>
    <x v="30"/>
    <d v="2022-03-10T00:00:00"/>
    <m/>
    <n v="4.47"/>
    <n v="4.47"/>
    <m/>
    <s v="Correctie koersopslag"/>
    <x v="1"/>
    <x v="4"/>
    <x v="40"/>
  </r>
  <r>
    <n v="3363"/>
    <s v="RABO GOLD CARD"/>
    <m/>
    <x v="6"/>
    <x v="30"/>
    <d v="2022-03-10T00:00:00"/>
    <m/>
    <n v="223.39"/>
    <n v="223.39"/>
    <m/>
    <s v="computer 1  / retour WWW.LAZADA.CO.TH         BANGKOK      THA"/>
    <x v="1"/>
    <x v="4"/>
    <x v="36"/>
  </r>
  <r>
    <n v="3364"/>
    <s v="RABO GOLD CARD"/>
    <m/>
    <x v="6"/>
    <x v="30"/>
    <d v="2022-03-11T00:00:00"/>
    <m/>
    <n v="-371.15"/>
    <n v="371.15"/>
    <m/>
    <s v="computer 2 - gecanceled - WWW.LAZADA. 0000000000000BANGKOK      THA"/>
    <x v="1"/>
    <x v="4"/>
    <x v="36"/>
  </r>
  <r>
    <n v="3365"/>
    <s v="RABO GOLD CARD"/>
    <m/>
    <x v="6"/>
    <x v="30"/>
    <d v="2022-03-11T00:00:00"/>
    <m/>
    <n v="-7.42"/>
    <n v="7.42"/>
    <m/>
    <s v="Koersopslag"/>
    <x v="1"/>
    <x v="4"/>
    <x v="40"/>
  </r>
  <r>
    <n v="3366"/>
    <s v="RABO GOLD CARD"/>
    <m/>
    <x v="6"/>
    <x v="30"/>
    <d v="2022-03-15T00:00:00"/>
    <m/>
    <n v="362"/>
    <n v="362"/>
    <m/>
    <s v="computer 2 - gecanceled - WWW.LAZADA.CO.TH         BANGKOK      THA"/>
    <x v="1"/>
    <x v="4"/>
    <x v="36"/>
  </r>
  <r>
    <n v="3367"/>
    <s v="RABO GOLD CARD"/>
    <m/>
    <x v="6"/>
    <x v="30"/>
    <d v="2022-03-16T00:00:00"/>
    <m/>
    <n v="-317.31"/>
    <n v="317.31"/>
    <m/>
    <s v="COMPUTER --- WWW.LAZADA.CO.TH         BANGKOK      THA"/>
    <x v="1"/>
    <x v="4"/>
    <x v="27"/>
  </r>
  <r>
    <n v="3368"/>
    <s v="RABO GOLD CARD"/>
    <m/>
    <x v="6"/>
    <x v="30"/>
    <d v="2022-03-16T00:00:00"/>
    <m/>
    <n v="-6.35"/>
    <n v="6.35"/>
    <m/>
    <s v="Koersopslag"/>
    <x v="1"/>
    <x v="4"/>
    <x v="40"/>
  </r>
  <r>
    <n v="3370"/>
    <s v="RABO GOLD CARD"/>
    <m/>
    <x v="6"/>
    <x v="30"/>
    <d v="2022-03-21T00:00:00"/>
    <m/>
    <n v="-15.87"/>
    <n v="15.87"/>
    <m/>
    <s v="covid gecanceled -Lazada                   BANGKOK      THA"/>
    <x v="1"/>
    <x v="4"/>
    <x v="27"/>
  </r>
  <r>
    <n v="3371"/>
    <s v="RABO GOLD CARD"/>
    <m/>
    <x v="6"/>
    <x v="30"/>
    <d v="2022-03-21T00:00:00"/>
    <m/>
    <n v="-4.22"/>
    <n v="4.22"/>
    <m/>
    <s v="harddrive adaptor - Lazada                   BANGKOK      THA"/>
    <x v="1"/>
    <x v="4"/>
    <x v="27"/>
  </r>
  <r>
    <n v="3372"/>
    <s v="RABO GOLD CARD"/>
    <m/>
    <x v="6"/>
    <x v="30"/>
    <d v="2022-03-21T00:00:00"/>
    <m/>
    <n v="-0.32"/>
    <n v="0.32"/>
    <m/>
    <s v="Koersopslag"/>
    <x v="1"/>
    <x v="4"/>
    <x v="40"/>
  </r>
  <r>
    <n v="3373"/>
    <s v="RABO GOLD CARD"/>
    <m/>
    <x v="6"/>
    <x v="30"/>
    <d v="2022-03-21T00:00:00"/>
    <m/>
    <n v="-0.08"/>
    <n v="0.08"/>
    <m/>
    <s v="Koersopslag"/>
    <x v="1"/>
    <x v="4"/>
    <x v="40"/>
  </r>
  <r>
    <n v="3376"/>
    <s v="RABO GOLD CARD"/>
    <m/>
    <x v="6"/>
    <x v="30"/>
    <d v="2022-03-29T00:00:00"/>
    <m/>
    <n v="15.42"/>
    <n v="15.42"/>
    <m/>
    <s v="covid tests gecanceled -Lazada                   BANGKOK      THA"/>
    <x v="1"/>
    <x v="4"/>
    <x v="36"/>
  </r>
  <r>
    <n v="3377"/>
    <s v="RABO GOLD CARD"/>
    <m/>
    <x v="6"/>
    <x v="30"/>
    <d v="2022-03-30T00:00:00"/>
    <m/>
    <n v="-11.44"/>
    <n v="11.44"/>
    <m/>
    <s v="covid tests / WWW.LAZADA.CO.TH      000BANGKOK      THA"/>
    <x v="1"/>
    <x v="4"/>
    <x v="36"/>
  </r>
  <r>
    <n v="3378"/>
    <s v="RABO GOLD CARD"/>
    <m/>
    <x v="6"/>
    <x v="30"/>
    <d v="2022-03-30T00:00:00"/>
    <m/>
    <n v="-0.23"/>
    <n v="0.23"/>
    <m/>
    <s v="Koersopslag"/>
    <x v="1"/>
    <x v="4"/>
    <x v="40"/>
  </r>
  <r>
    <n v="3384"/>
    <s v="RABO GOLD CARD"/>
    <m/>
    <x v="6"/>
    <x v="32"/>
    <d v="2022-05-08T00:00:00"/>
    <m/>
    <n v="-4.24"/>
    <n v="4.24"/>
    <m/>
    <s v="bescherming a12 . WWW.LAZADA.CO.TH      000BANGKOK      THA"/>
    <x v="1"/>
    <x v="4"/>
    <x v="36"/>
  </r>
  <r>
    <n v="3385"/>
    <s v="RABO GOLD CARD"/>
    <m/>
    <x v="6"/>
    <x v="32"/>
    <d v="2022-05-08T00:00:00"/>
    <m/>
    <n v="-0.08"/>
    <n v="0.08"/>
    <m/>
    <s v="Koersopslag"/>
    <x v="1"/>
    <x v="4"/>
    <x v="40"/>
  </r>
  <r>
    <n v="3389"/>
    <s v="RABO GOLD CARD"/>
    <m/>
    <x v="6"/>
    <x v="32"/>
    <d v="2022-05-21T00:00:00"/>
    <m/>
    <n v="-0.02"/>
    <n v="0.02"/>
    <m/>
    <s v="Koersopslag"/>
    <x v="1"/>
    <x v="4"/>
    <x v="40"/>
  </r>
  <r>
    <n v="202208013"/>
    <s v="NL22RABO0381604934"/>
    <s v="EUR"/>
    <x v="6"/>
    <x v="71"/>
    <d v="2022-06-04T00:00:00"/>
    <d v="2022-06-04T00:00:00"/>
    <n v="-22.5"/>
    <n v="22.5"/>
    <m/>
    <s v="Bloem en Plant MUSSELKANAAL"/>
    <x v="1"/>
    <x v="4"/>
    <x v="22"/>
  </r>
  <r>
    <n v="202208017"/>
    <s v="NL22RABO0381604934"/>
    <s v="EUR"/>
    <x v="6"/>
    <x v="71"/>
    <d v="2022-06-08T00:00:00"/>
    <d v="2022-06-08T00:00:00"/>
    <n v="-4.5999999999999996"/>
    <n v="4.5999999999999996"/>
    <m/>
    <s v="Primera Arnhem Centr ARNHEM"/>
    <x v="1"/>
    <x v="4"/>
    <x v="15"/>
  </r>
  <r>
    <n v="202208018"/>
    <s v="NL22RABO0381604934"/>
    <s v="EUR"/>
    <x v="6"/>
    <x v="71"/>
    <d v="2022-06-08T00:00:00"/>
    <d v="2022-06-08T00:00:00"/>
    <n v="-8.36"/>
    <n v="8.36"/>
    <m/>
    <s v="Action 1283 Arnhem"/>
    <x v="1"/>
    <x v="4"/>
    <x v="15"/>
  </r>
  <r>
    <n v="202208021"/>
    <s v="NL22RABO0381604934"/>
    <s v="EUR"/>
    <x v="6"/>
    <x v="71"/>
    <d v="2022-06-09T00:00:00"/>
    <d v="2022-06-09T00:00:00"/>
    <n v="-3"/>
    <n v="3"/>
    <m/>
    <s v="Flying Tiger ARNHEM"/>
    <x v="1"/>
    <x v="4"/>
    <x v="15"/>
  </r>
  <r>
    <n v="202208028"/>
    <s v="NL22RABO0381604934"/>
    <s v="EUR"/>
    <x v="6"/>
    <x v="71"/>
    <d v="2022-06-14T00:00:00"/>
    <d v="2022-06-14T00:00:00"/>
    <n v="-1.19"/>
    <n v="1.19"/>
    <m/>
    <s v="So Low Venlo VENLO"/>
    <x v="1"/>
    <x v="4"/>
    <x v="15"/>
  </r>
  <r>
    <n v="202208031"/>
    <s v="NL22RABO0381604934"/>
    <s v="EUR"/>
    <x v="6"/>
    <x v="71"/>
    <d v="2022-06-15T00:00:00"/>
    <d v="2022-06-15T00:00:00"/>
    <n v="-5.91"/>
    <n v="5.91"/>
    <m/>
    <s v="Action 1325 Panningen"/>
    <x v="1"/>
    <x v="4"/>
    <x v="15"/>
  </r>
  <r>
    <n v="202208041"/>
    <s v="NL22RABO0381604934"/>
    <s v="EUR"/>
    <x v="6"/>
    <x v="71"/>
    <d v="2022-06-22T00:00:00"/>
    <d v="2022-06-22T00:00:00"/>
    <n v="-16.89"/>
    <n v="16.89"/>
    <m/>
    <s v="Action 1102 Venlo"/>
    <x v="1"/>
    <x v="4"/>
    <x v="15"/>
  </r>
  <r>
    <n v="202208048"/>
    <s v="NL22RABO0381604934"/>
    <s v="EUR"/>
    <x v="6"/>
    <x v="71"/>
    <d v="2022-06-29T00:00:00"/>
    <d v="2022-06-29T00:00:00"/>
    <n v="-10.4"/>
    <n v="10.4"/>
    <m/>
    <s v="Action 1325 Panningen"/>
    <x v="1"/>
    <x v="4"/>
    <x v="15"/>
  </r>
  <r>
    <n v="202208060"/>
    <s v="NL22RABO0381604934"/>
    <s v="EUR"/>
    <x v="6"/>
    <x v="72"/>
    <d v="2022-07-06T00:00:00"/>
    <d v="2022-07-06T00:00:00"/>
    <n v="-4.04"/>
    <n v="4.04"/>
    <m/>
    <s v="Action 1325 Panningen"/>
    <x v="1"/>
    <x v="4"/>
    <x v="15"/>
  </r>
  <r>
    <n v="202208064"/>
    <s v="NL22RABO0381604934"/>
    <s v="EUR"/>
    <x v="6"/>
    <x v="72"/>
    <d v="2022-07-10T00:00:00"/>
    <d v="2022-07-11T00:00:00"/>
    <n v="-8.4499999999999993"/>
    <n v="8.4499999999999993"/>
    <s v="NL27INGB0000026500"/>
    <s v="bol.com b.v."/>
    <x v="1"/>
    <x v="4"/>
    <x v="20"/>
  </r>
  <r>
    <n v="202208070"/>
    <s v="NL22RABO0381604934"/>
    <s v="EUR"/>
    <x v="6"/>
    <x v="72"/>
    <d v="2022-07-12T00:00:00"/>
    <d v="2022-07-12T00:00:00"/>
    <n v="-6.22"/>
    <n v="6.22"/>
    <m/>
    <s v="Action 1095 Horst"/>
    <x v="1"/>
    <x v="4"/>
    <x v="15"/>
  </r>
  <r>
    <n v="202208071"/>
    <s v="NL22RABO0381604934"/>
    <s v="EUR"/>
    <x v="6"/>
    <x v="72"/>
    <d v="2022-07-12T00:00:00"/>
    <d v="2022-07-12T00:00:00"/>
    <n v="-2.69"/>
    <n v="2.69"/>
    <m/>
    <s v="Xenos Horst 161 HORST"/>
    <x v="1"/>
    <x v="4"/>
    <x v="15"/>
  </r>
  <r>
    <n v="202208072"/>
    <s v="NL22RABO0381604934"/>
    <s v="EUR"/>
    <x v="6"/>
    <x v="72"/>
    <d v="2022-07-12T00:00:00"/>
    <d v="2022-07-12T00:00:00"/>
    <n v="-1"/>
    <n v="1"/>
    <m/>
    <s v="Xenos Horst 161 HORST"/>
    <x v="1"/>
    <x v="4"/>
    <x v="15"/>
  </r>
  <r>
    <n v="202208078"/>
    <s v="NL22RABO0381604934"/>
    <s v="EUR"/>
    <x v="6"/>
    <x v="72"/>
    <d v="2022-07-14T00:00:00"/>
    <d v="2022-07-14T00:00:00"/>
    <n v="-0.99"/>
    <n v="0.99"/>
    <m/>
    <s v="Action 1325 Panningen"/>
    <x v="1"/>
    <x v="4"/>
    <x v="15"/>
  </r>
  <r>
    <n v="202208080"/>
    <s v="NL22RABO0381604934"/>
    <s v="EUR"/>
    <x v="6"/>
    <x v="72"/>
    <d v="2022-07-17T00:00:00"/>
    <d v="2022-07-17T00:00:00"/>
    <n v="-10"/>
    <n v="10"/>
    <s v="NL68RABO0140802673"/>
    <s v="Rabo Betaalverzoek"/>
    <x v="1"/>
    <x v="4"/>
    <x v="15"/>
  </r>
  <r>
    <n v="202208084"/>
    <s v="NL22RABO0381604934"/>
    <s v="EUR"/>
    <x v="6"/>
    <x v="72"/>
    <d v="2022-07-20T00:00:00"/>
    <d v="2022-07-20T00:00:00"/>
    <n v="-0.46"/>
    <n v="0.46"/>
    <m/>
    <s v="Action 1325 Panningen"/>
    <x v="1"/>
    <x v="4"/>
    <x v="15"/>
  </r>
  <r>
    <n v="202208086"/>
    <s v="NL22RABO0381604934"/>
    <s v="EUR"/>
    <x v="6"/>
    <x v="72"/>
    <d v="2022-07-20T00:00:00"/>
    <d v="2022-07-20T00:00:00"/>
    <n v="-3.58"/>
    <n v="3.58"/>
    <m/>
    <s v="Action 1325 Panningen"/>
    <x v="1"/>
    <x v="4"/>
    <x v="15"/>
  </r>
  <r>
    <n v="202208089"/>
    <s v="NL22RABO0381604934"/>
    <s v="EUR"/>
    <x v="6"/>
    <x v="72"/>
    <d v="2022-07-21T00:00:00"/>
    <d v="2022-07-21T00:00:00"/>
    <n v="-0.01"/>
    <n v="0.01"/>
    <s v="NL56RABO0347848516"/>
    <s v="Online Payments Foundation"/>
    <x v="1"/>
    <x v="4"/>
    <x v="15"/>
  </r>
  <r>
    <n v="202208091"/>
    <s v="NL22RABO0381604934"/>
    <s v="EUR"/>
    <x v="6"/>
    <x v="72"/>
    <d v="2022-07-23T00:00:00"/>
    <d v="2022-07-23T00:00:00"/>
    <n v="-8"/>
    <n v="8"/>
    <m/>
    <s v="Partycentrum SEVENUM"/>
    <x v="1"/>
    <x v="4"/>
    <x v="22"/>
  </r>
  <r>
    <n v="202208097"/>
    <s v="NL22RABO0381604934"/>
    <s v="EUR"/>
    <x v="6"/>
    <x v="72"/>
    <d v="2022-07-26T00:00:00"/>
    <d v="2022-07-26T00:00:00"/>
    <n v="-4.24"/>
    <n v="4.24"/>
    <m/>
    <s v="Action 1325 Panningen"/>
    <x v="1"/>
    <x v="4"/>
    <x v="15"/>
  </r>
  <r>
    <n v="202208101"/>
    <s v="NL22RABO0381604934"/>
    <s v="EUR"/>
    <x v="6"/>
    <x v="72"/>
    <d v="2022-07-28T00:00:00"/>
    <d v="2022-07-28T00:00:00"/>
    <n v="-1"/>
    <n v="1"/>
    <m/>
    <s v="TMC*P - VENLO - 8000 VENLO"/>
    <x v="1"/>
    <x v="4"/>
    <x v="15"/>
  </r>
  <r>
    <n v="202208102"/>
    <s v="NL22RABO0381604934"/>
    <s v="EUR"/>
    <x v="6"/>
    <x v="72"/>
    <d v="2022-07-28T00:00:00"/>
    <d v="2022-07-28T00:00:00"/>
    <n v="-7.5"/>
    <n v="7.5"/>
    <m/>
    <s v="Kruidvat 7456 VENLO covid testss"/>
    <x v="1"/>
    <x v="4"/>
    <x v="42"/>
  </r>
  <r>
    <n v="202208105"/>
    <s v="NL22RABO0381604934"/>
    <s v="EUR"/>
    <x v="6"/>
    <x v="72"/>
    <d v="2022-07-28T00:00:00"/>
    <d v="2022-07-28T00:00:00"/>
    <n v="-3.78"/>
    <n v="3.78"/>
    <m/>
    <s v="Action 1102 Venlo"/>
    <x v="1"/>
    <x v="4"/>
    <x v="15"/>
  </r>
  <r>
    <n v="202208106"/>
    <s v="NL22RABO0381604934"/>
    <s v="EUR"/>
    <x v="6"/>
    <x v="72"/>
    <d v="2022-07-28T00:00:00"/>
    <d v="2022-07-28T00:00:00"/>
    <n v="-0.59"/>
    <n v="0.59"/>
    <m/>
    <s v="Action 1102 Venlo"/>
    <x v="1"/>
    <x v="4"/>
    <x v="15"/>
  </r>
  <r>
    <n v="202208111"/>
    <s v="NL22RABO0381604934"/>
    <s v="EUR"/>
    <x v="6"/>
    <x v="72"/>
    <d v="2022-07-29T00:00:00"/>
    <d v="2022-07-29T00:00:00"/>
    <n v="3.78"/>
    <n v="3.78"/>
    <s v="NL13ABNA0506417344"/>
    <s v="AAB INZ TIKKIE stickerverwijderaar + ontstopper"/>
    <x v="1"/>
    <x v="4"/>
    <x v="15"/>
  </r>
  <r>
    <n v="202208122"/>
    <s v="NL22RABO0381604934"/>
    <s v="EUR"/>
    <x v="6"/>
    <x v="40"/>
    <d v="2022-08-03T00:00:00"/>
    <d v="2022-08-03T00:00:00"/>
    <n v="-2.68"/>
    <n v="2.68"/>
    <m/>
    <s v="Action 1325 Panningen"/>
    <x v="1"/>
    <x v="4"/>
    <x v="15"/>
  </r>
  <r>
    <n v="202208124"/>
    <s v="NL22RABO0381604934"/>
    <s v="EUR"/>
    <x v="6"/>
    <x v="40"/>
    <d v="2022-08-03T00:00:00"/>
    <d v="2022-08-03T00:00:00"/>
    <n v="-0.63"/>
    <n v="0.63"/>
    <m/>
    <s v="vof De Gruntehoof PANNINGEN"/>
    <x v="1"/>
    <x v="4"/>
    <x v="15"/>
  </r>
  <r>
    <n v="202208144"/>
    <s v="NL22RABO0381604934"/>
    <s v="EUR"/>
    <x v="6"/>
    <x v="40"/>
    <d v="2022-08-11T00:00:00"/>
    <d v="2022-08-11T00:00:00"/>
    <n v="-16.43"/>
    <n v="16.43"/>
    <m/>
    <s v="Action 1325 Panningen"/>
    <x v="1"/>
    <x v="4"/>
    <x v="15"/>
  </r>
  <r>
    <n v="202208155"/>
    <s v="NL22RABO0381604934"/>
    <s v="EUR"/>
    <x v="6"/>
    <x v="40"/>
    <d v="2022-08-21T00:00:00"/>
    <d v="2022-08-21T00:00:00"/>
    <n v="-5.96"/>
    <n v="5.96"/>
    <m/>
    <s v="Action 1325 Panningen"/>
    <x v="1"/>
    <x v="4"/>
    <x v="15"/>
  </r>
  <r>
    <n v="202208156"/>
    <s v="NL22RABO0381604934"/>
    <s v="EUR"/>
    <x v="6"/>
    <x v="40"/>
    <d v="2022-08-21T00:00:00"/>
    <d v="2022-08-21T00:00:00"/>
    <n v="-3.38"/>
    <n v="3.38"/>
    <m/>
    <s v="Action 1325 Panningen"/>
    <x v="1"/>
    <x v="4"/>
    <x v="15"/>
  </r>
  <r>
    <n v="202208158"/>
    <s v="NL22RABO0381604934"/>
    <s v="EUR"/>
    <x v="6"/>
    <x v="40"/>
    <d v="2022-08-21T00:00:00"/>
    <d v="2022-08-21T00:00:00"/>
    <n v="20"/>
    <n v="20"/>
    <s v="NL13ABNA0506417344"/>
    <s v="AAB INZ TIKKIE div"/>
    <x v="1"/>
    <x v="4"/>
    <x v="15"/>
  </r>
  <r>
    <n v="202208162"/>
    <s v="NL22RABO0381604934"/>
    <s v="EUR"/>
    <x v="6"/>
    <x v="40"/>
    <d v="2022-08-23T00:00:00"/>
    <d v="2022-08-23T00:00:00"/>
    <n v="-15.45"/>
    <n v="15.45"/>
    <m/>
    <s v="Spar Enjoy Schatberg SEVENUM"/>
    <x v="1"/>
    <x v="4"/>
    <x v="22"/>
  </r>
  <r>
    <n v="202208184"/>
    <s v="RABO GOLD CARD"/>
    <m/>
    <x v="6"/>
    <x v="40"/>
    <d v="2022-08-18T00:00:00"/>
    <d v="2022-08-18T00:00:00"/>
    <n v="-1.72"/>
    <n v="1.72"/>
    <m/>
    <s v="Koersopslag"/>
    <x v="1"/>
    <x v="4"/>
    <x v="40"/>
  </r>
  <r>
    <n v="202208514"/>
    <s v="KAS"/>
    <m/>
    <x v="6"/>
    <x v="40"/>
    <d v="2022-08-10T00:00:00"/>
    <d v="2022-08-10T00:00:00"/>
    <n v="-5"/>
    <n v="5"/>
    <m/>
    <s v="fiets"/>
    <x v="1"/>
    <x v="4"/>
    <x v="15"/>
  </r>
  <r>
    <n v="202210005"/>
    <s v="NL22RABO0381604934"/>
    <s v="EUR"/>
    <x v="6"/>
    <x v="40"/>
    <d v="2022-08-29T00:00:00"/>
    <d v="2022-08-29T00:00:00"/>
    <n v="-0.46"/>
    <n v="0.46"/>
    <m/>
    <s v="Action 1325 Panningen"/>
    <x v="1"/>
    <x v="4"/>
    <x v="15"/>
  </r>
  <r>
    <n v="202210013"/>
    <s v="NL22RABO0381604934"/>
    <s v="EUR"/>
    <x v="6"/>
    <x v="73"/>
    <d v="2022-09-03T00:00:00"/>
    <d v="2022-09-03T00:00:00"/>
    <n v="-6.62"/>
    <n v="6.62"/>
    <m/>
    <s v="Action 1152 Sevenum"/>
    <x v="1"/>
    <x v="4"/>
    <x v="15"/>
  </r>
  <r>
    <n v="202210023"/>
    <s v="NL22RABO0381604934"/>
    <s v="EUR"/>
    <x v="6"/>
    <x v="73"/>
    <d v="2022-09-07T00:00:00"/>
    <d v="2022-09-07T00:00:00"/>
    <n v="-0.46"/>
    <n v="0.46"/>
    <m/>
    <s v="Action 1095 Horst"/>
    <x v="1"/>
    <x v="4"/>
    <x v="15"/>
  </r>
  <r>
    <n v="202210039"/>
    <s v="NL22RABO0381604934"/>
    <s v="EUR"/>
    <x v="6"/>
    <x v="73"/>
    <d v="2022-09-21T00:00:00"/>
    <d v="2022-09-21T00:00:00"/>
    <n v="-0.46"/>
    <n v="0.46"/>
    <m/>
    <s v="Action 1325 Panningen"/>
    <x v="1"/>
    <x v="4"/>
    <x v="15"/>
  </r>
  <r>
    <n v="202210050"/>
    <s v="NL22RABO0381604934"/>
    <s v="EUR"/>
    <x v="6"/>
    <x v="34"/>
    <d v="2022-10-01T00:00:00"/>
    <d v="2022-10-01T00:00:00"/>
    <n v="-0.7"/>
    <n v="0.7"/>
    <m/>
    <s v="Sanifair WC Anlage Utrecht"/>
    <x v="1"/>
    <x v="4"/>
    <x v="15"/>
  </r>
  <r>
    <n v="202301005"/>
    <s v="NL22RABO0381604934"/>
    <s v="EUR"/>
    <x v="6"/>
    <x v="34"/>
    <d v="2022-10-03T00:00:00"/>
    <d v="2022-10-03T00:00:00"/>
    <n v="-0.64"/>
    <m/>
    <m/>
    <s v="Action 1072 Stadskanaal"/>
    <x v="1"/>
    <x v="4"/>
    <x v="15"/>
  </r>
  <r>
    <n v="202301009"/>
    <s v="NL22RABO0381604934"/>
    <s v="EUR"/>
    <x v="6"/>
    <x v="34"/>
    <d v="2022-10-05T00:00:00"/>
    <d v="2022-10-05T00:00:00"/>
    <n v="-5"/>
    <m/>
    <m/>
    <s v="SumUp  *Kringloop hett Musselkanaal"/>
    <x v="1"/>
    <x v="4"/>
    <x v="15"/>
  </r>
  <r>
    <n v="202301019"/>
    <s v="NL22RABO0381604934"/>
    <s v="EUR"/>
    <x v="6"/>
    <x v="34"/>
    <d v="2022-10-10T00:00:00"/>
    <d v="2022-10-10T00:00:00"/>
    <n v="3.9"/>
    <m/>
    <s v="NL06DEUT0265186447"/>
    <s v="STICHTING DERDENGELDEN BUCKAROO"/>
    <x v="3"/>
    <x v="4"/>
    <x v="15"/>
  </r>
  <r>
    <n v="202301047"/>
    <s v="NL22RABO0381604934"/>
    <s v="EUR"/>
    <x v="6"/>
    <x v="35"/>
    <d v="2022-11-03T00:00:00"/>
    <d v="2022-11-03T00:00:00"/>
    <n v="-0.95"/>
    <m/>
    <m/>
    <s v="Action 1072 Stadskanaal"/>
    <x v="1"/>
    <x v="4"/>
    <x v="15"/>
  </r>
  <r>
    <n v="202301071"/>
    <s v="NL22RABO0381604934"/>
    <s v="EUR"/>
    <x v="6"/>
    <x v="35"/>
    <d v="2022-11-21T00:00:00"/>
    <d v="2022-11-21T00:00:00"/>
    <n v="1.8"/>
    <m/>
    <s v="LU27999000135104200E"/>
    <s v="PayPal Europe S.a.r.l. et Cie S.C.A"/>
    <x v="3"/>
    <x v="4"/>
    <x v="15"/>
  </r>
  <r>
    <n v="202301072"/>
    <s v="NL22RABO0381604934"/>
    <s v="EUR"/>
    <x v="6"/>
    <x v="35"/>
    <d v="2022-11-21T00:00:00"/>
    <d v="2022-11-21T00:00:00"/>
    <n v="14.05"/>
    <m/>
    <s v="LU27999000135104200E"/>
    <s v="PayPal Europe S.a.r.l. et Cie S.C.A"/>
    <x v="3"/>
    <x v="4"/>
    <x v="15"/>
  </r>
  <r>
    <n v="202301073"/>
    <s v="NL22RABO0381604934"/>
    <s v="EUR"/>
    <x v="6"/>
    <x v="35"/>
    <d v="2022-11-22T00:00:00"/>
    <d v="2022-11-22T00:00:00"/>
    <n v="-6"/>
    <m/>
    <s v="NL73RABO0325301433"/>
    <s v="Rabo Betaalverzoek"/>
    <x v="1"/>
    <x v="4"/>
    <x v="15"/>
  </r>
  <r>
    <n v="202301092"/>
    <s v="NL22RABO0381604934"/>
    <s v="EUR"/>
    <x v="6"/>
    <x v="33"/>
    <d v="2022-12-25T00:00:00"/>
    <d v="2022-12-25T00:00:00"/>
    <n v="-100"/>
    <m/>
    <s v="NL27RABO0343552132"/>
    <s v="RL Smit"/>
    <x v="1"/>
    <x v="4"/>
    <x v="22"/>
  </r>
  <r>
    <n v="202301101"/>
    <s v="NL24RABO3628561752"/>
    <s v="EUR"/>
    <x v="0"/>
    <x v="42"/>
    <d v="2023-01-01T00:00:00"/>
    <d v="2023-01-01T00:00:00"/>
    <n v="2.7"/>
    <m/>
    <n v="0"/>
    <m/>
    <x v="3"/>
    <x v="4"/>
    <x v="23"/>
  </r>
  <r>
    <n v="202301110"/>
    <s v="RABO GOLD CARD"/>
    <m/>
    <x v="6"/>
    <x v="34"/>
    <d v="2022-10-17T00:00:00"/>
    <m/>
    <n v="-0.54"/>
    <m/>
    <m/>
    <s v="Koersopslag"/>
    <x v="1"/>
    <x v="4"/>
    <x v="40"/>
  </r>
  <r>
    <n v="202301113"/>
    <s v="RABO GOLD CARD"/>
    <m/>
    <x v="6"/>
    <x v="34"/>
    <d v="2022-10-29T00:00:00"/>
    <m/>
    <n v="-12.37"/>
    <m/>
    <m/>
    <s v="Koersopslag"/>
    <x v="1"/>
    <x v="4"/>
    <x v="40"/>
  </r>
  <r>
    <n v="202301116"/>
    <s v="RABO GOLD CARD"/>
    <m/>
    <x v="6"/>
    <x v="35"/>
    <d v="2022-11-08T00:00:00"/>
    <m/>
    <n v="-0.06"/>
    <m/>
    <m/>
    <s v="Koersopslag"/>
    <x v="1"/>
    <x v="4"/>
    <x v="40"/>
  </r>
  <r>
    <n v="202301118"/>
    <s v="RABO GOLD CARD"/>
    <m/>
    <x v="6"/>
    <x v="35"/>
    <d v="2022-11-08T00:00:00"/>
    <m/>
    <n v="-0.11"/>
    <m/>
    <m/>
    <s v="Koersopslag"/>
    <x v="1"/>
    <x v="4"/>
    <x v="40"/>
  </r>
  <r>
    <n v="202301121"/>
    <s v="RABO GOLD CARD"/>
    <m/>
    <x v="6"/>
    <x v="35"/>
    <d v="2022-11-29T00:00:00"/>
    <m/>
    <n v="-3.39"/>
    <m/>
    <m/>
    <s v="PAYPAL *LAURABONINI8     35314369001  NLD"/>
    <x v="1"/>
    <x v="4"/>
    <x v="15"/>
  </r>
  <r>
    <n v="202301122"/>
    <s v="RABO GOLD CARD"/>
    <m/>
    <x v="6"/>
    <x v="33"/>
    <d v="2022-12-03T00:00:00"/>
    <m/>
    <n v="-3.49"/>
    <m/>
    <m/>
    <s v="PAYPAL *GOOGLE PRISMA    35314369001  IRL"/>
    <x v="1"/>
    <x v="4"/>
    <x v="28"/>
  </r>
  <r>
    <n v="202301124"/>
    <s v="RABO GOLD CARD"/>
    <m/>
    <x v="6"/>
    <x v="33"/>
    <d v="2022-12-06T00:00:00"/>
    <m/>
    <n v="-4.6900000000000004"/>
    <m/>
    <m/>
    <s v="PAYPAL *GOOGLE PRISMA    35314369001  IRL"/>
    <x v="1"/>
    <x v="4"/>
    <x v="28"/>
  </r>
  <r>
    <n v="202301125"/>
    <s v="RABO GOLD CARD"/>
    <m/>
    <x v="6"/>
    <x v="33"/>
    <d v="2022-12-15T00:00:00"/>
    <m/>
    <n v="-3.54"/>
    <m/>
    <m/>
    <s v="Amazon Downl*1Z49A9814   866-2161072  LUX"/>
    <x v="1"/>
    <x v="4"/>
    <x v="20"/>
  </r>
  <r>
    <n v="202301133"/>
    <s v="REVOLUT"/>
    <m/>
    <x v="6"/>
    <x v="34"/>
    <d v="2022-10-11T19:17:07"/>
    <m/>
    <n v="10"/>
    <m/>
    <m/>
    <s v="Promo AFF_CREDITCARDNL_EUR"/>
    <x v="3"/>
    <x v="4"/>
    <x v="15"/>
  </r>
  <r>
    <n v="202301146"/>
    <s v="REVOLUT"/>
    <m/>
    <x v="6"/>
    <x v="33"/>
    <d v="2022-12-31T12:30:56"/>
    <m/>
    <n v="-4.7300000000000004"/>
    <m/>
    <m/>
    <s v="buymeacoffee,com"/>
    <x v="1"/>
    <x v="4"/>
    <x v="22"/>
  </r>
  <r>
    <n v="202301154"/>
    <s v="KAS"/>
    <m/>
    <x v="6"/>
    <x v="34"/>
    <d v="2022-10-16T00:00:00"/>
    <m/>
    <n v="-9.9499999999999993"/>
    <m/>
    <m/>
    <s v="Pasfotos"/>
    <x v="1"/>
    <x v="4"/>
    <x v="15"/>
  </r>
  <r>
    <n v="202301157"/>
    <s v="KAS"/>
    <m/>
    <x v="6"/>
    <x v="34"/>
    <d v="2022-10-17T00:00:00"/>
    <m/>
    <n v="-7.0000000000000007E-2"/>
    <m/>
    <m/>
    <s v="kastekort"/>
    <x v="1"/>
    <x v="4"/>
    <x v="21"/>
  </r>
  <r>
    <n v="202301180"/>
    <s v="KAS"/>
    <m/>
    <x v="6"/>
    <x v="34"/>
    <d v="2022-10-24T00:00:00"/>
    <m/>
    <n v="-11.5"/>
    <m/>
    <m/>
    <s v="kastekort"/>
    <x v="1"/>
    <x v="4"/>
    <x v="21"/>
  </r>
  <r>
    <n v="202305022"/>
    <s v="NL22RABO0381604934"/>
    <s v="EUR"/>
    <x v="0"/>
    <x v="0"/>
    <d v="2023-02-17T00:00:00"/>
    <d v="2023-02-20T00:00:00"/>
    <n v="-0.01"/>
    <n v="257.74"/>
    <s v="NL51DEUT0265262461"/>
    <s v="Belsimpel / Gomibo via Mollie"/>
    <x v="1"/>
    <x v="4"/>
    <x v="15"/>
  </r>
  <r>
    <n v="202305034"/>
    <s v="NL22RABO0381604934"/>
    <s v="EUR"/>
    <x v="0"/>
    <x v="0"/>
    <d v="2023-02-28T00:00:00"/>
    <d v="2023-02-28T00:00:00"/>
    <n v="-7.55"/>
    <n v="162.94999999999999"/>
    <m/>
    <s v="Action 1325 Panningen"/>
    <x v="1"/>
    <x v="4"/>
    <x v="15"/>
  </r>
  <r>
    <n v="202305044"/>
    <s v="NL22RABO0381604934"/>
    <s v="EUR"/>
    <x v="0"/>
    <x v="74"/>
    <d v="2023-03-06T00:00:00"/>
    <d v="2023-03-07T00:00:00"/>
    <n v="-21.74"/>
    <n v="368.89"/>
    <s v="NL27INGB0000026500"/>
    <s v="bol.com b.v. - CO melder"/>
    <x v="1"/>
    <x v="4"/>
    <x v="15"/>
  </r>
  <r>
    <n v="202305051"/>
    <s v="NL22RABO0381604934"/>
    <s v="EUR"/>
    <x v="0"/>
    <x v="74"/>
    <d v="2023-03-18T00:00:00"/>
    <d v="2023-03-18T00:00:00"/>
    <n v="-5.99"/>
    <n v="276.89"/>
    <m/>
    <s v="Primera Aarle Rixtel AARLE-RIXTEL kadootje kleinkind henriette"/>
    <x v="1"/>
    <x v="4"/>
    <x v="22"/>
  </r>
  <r>
    <n v="202305058"/>
    <s v="NL22RABO0381604934"/>
    <s v="EUR"/>
    <x v="0"/>
    <x v="74"/>
    <d v="2023-03-25T00:00:00"/>
    <d v="2023-03-25T00:00:00"/>
    <n v="-11.33"/>
    <n v="380.39"/>
    <m/>
    <s v="Action 1152 Sevenum"/>
    <x v="1"/>
    <x v="4"/>
    <x v="15"/>
  </r>
  <r>
    <n v="202305062"/>
    <s v="NL22RABO0381604934"/>
    <s v="EUR"/>
    <x v="0"/>
    <x v="74"/>
    <d v="2023-03-29T00:00:00"/>
    <d v="2023-03-29T00:00:00"/>
    <n v="-36.65"/>
    <n v="295.27"/>
    <m/>
    <s v="CCV*VAN CRANENBROEK BUDEL gitaar en wat kleding"/>
    <x v="1"/>
    <x v="4"/>
    <x v="15"/>
  </r>
  <r>
    <n v="202305074"/>
    <s v="NL22RABO0381604934"/>
    <s v="EUR"/>
    <x v="0"/>
    <x v="75"/>
    <d v="2023-04-12T00:00:00"/>
    <d v="2023-04-12T00:00:00"/>
    <n v="-9"/>
    <n v="50.51"/>
    <m/>
    <s v="Allerhande Panningen PANNINGEN"/>
    <x v="1"/>
    <x v="4"/>
    <x v="15"/>
  </r>
  <r>
    <n v="202305076"/>
    <s v="NL22RABO0381604934"/>
    <s v="EUR"/>
    <x v="0"/>
    <x v="75"/>
    <d v="2023-04-12T00:00:00"/>
    <d v="2023-04-12T00:00:00"/>
    <n v="-8.2200000000000006"/>
    <n v="24.17"/>
    <m/>
    <s v="Action 1325 Panningen"/>
    <x v="1"/>
    <x v="4"/>
    <x v="15"/>
  </r>
  <r>
    <n v="202305077"/>
    <s v="NL22RABO0381604934"/>
    <s v="EUR"/>
    <x v="0"/>
    <x v="75"/>
    <d v="2023-04-12T00:00:00"/>
    <d v="2023-04-12T00:00:00"/>
    <n v="-4.97"/>
    <n v="19.2"/>
    <m/>
    <s v="Action 1325 Panningen"/>
    <x v="1"/>
    <x v="4"/>
    <x v="15"/>
  </r>
  <r>
    <n v="202305086"/>
    <s v="NL22RABO0381604934"/>
    <s v="EUR"/>
    <x v="0"/>
    <x v="75"/>
    <d v="2023-04-19T00:00:00"/>
    <d v="2023-04-19T00:00:00"/>
    <n v="-1.2"/>
    <n v="107.91"/>
    <m/>
    <s v="kringlp oud en nieuw SEVENUM"/>
    <x v="1"/>
    <x v="4"/>
    <x v="15"/>
  </r>
  <r>
    <n v="202305087"/>
    <s v="NL22RABO0381604934"/>
    <s v="EUR"/>
    <x v="0"/>
    <x v="75"/>
    <d v="2023-04-19T00:00:00"/>
    <d v="2023-04-19T00:00:00"/>
    <n v="-1.5"/>
    <n v="106.41"/>
    <m/>
    <s v="ROZEMARIJN EN THIJM VENLO"/>
    <x v="1"/>
    <x v="4"/>
    <x v="15"/>
  </r>
  <r>
    <n v="202305090"/>
    <s v="NL22RABO0381604934"/>
    <s v="EUR"/>
    <x v="0"/>
    <x v="75"/>
    <d v="2023-04-19T00:00:00"/>
    <d v="2023-04-19T00:00:00"/>
    <n v="-1.62"/>
    <n v="82.81"/>
    <m/>
    <s v="Xenos Venlo 0029 VENLO"/>
    <x v="1"/>
    <x v="4"/>
    <x v="15"/>
  </r>
  <r>
    <n v="202305091"/>
    <s v="NL22RABO0381604934"/>
    <s v="EUR"/>
    <x v="0"/>
    <x v="75"/>
    <d v="2023-04-19T00:00:00"/>
    <d v="2023-04-19T00:00:00"/>
    <n v="-7.64"/>
    <n v="75.17"/>
    <m/>
    <s v="Action 1102 Venlo"/>
    <x v="1"/>
    <x v="4"/>
    <x v="15"/>
  </r>
  <r>
    <n v="202305095"/>
    <s v="NL22RABO0381604934"/>
    <s v="EUR"/>
    <x v="0"/>
    <x v="75"/>
    <d v="2023-04-21T00:00:00"/>
    <d v="2023-04-21T00:00:00"/>
    <n v="-9.25"/>
    <n v="195.81"/>
    <m/>
    <s v="Allerhande Panningen PANNINGEN"/>
    <x v="1"/>
    <x v="4"/>
    <x v="15"/>
  </r>
  <r>
    <n v="202305096"/>
    <s v="NL22RABO0381604934"/>
    <s v="EUR"/>
    <x v="0"/>
    <x v="75"/>
    <d v="2023-04-21T00:00:00"/>
    <d v="2023-04-21T00:00:00"/>
    <n v="-1.78"/>
    <n v="194.03"/>
    <m/>
    <s v="Action 1325 Panningen"/>
    <x v="1"/>
    <x v="4"/>
    <x v="15"/>
  </r>
  <r>
    <n v="202305097"/>
    <s v="NL22RABO0381604934"/>
    <s v="EUR"/>
    <x v="0"/>
    <x v="75"/>
    <d v="2023-04-21T00:00:00"/>
    <d v="2023-04-21T00:00:00"/>
    <n v="-0.49"/>
    <n v="193.54"/>
    <m/>
    <s v="Action 1325 Panningen"/>
    <x v="1"/>
    <x v="4"/>
    <x v="15"/>
  </r>
  <r>
    <n v="202305098"/>
    <s v="NL22RABO0381604934"/>
    <s v="EUR"/>
    <x v="0"/>
    <x v="75"/>
    <d v="2023-04-21T00:00:00"/>
    <d v="2023-04-21T00:00:00"/>
    <n v="-2.78"/>
    <n v="190.76"/>
    <m/>
    <s v="Kruidvat 3123 PANNINGEN"/>
    <x v="1"/>
    <x v="4"/>
    <x v="15"/>
  </r>
  <r>
    <n v="202305103"/>
    <s v="NL22RABO0381604934"/>
    <s v="EUR"/>
    <x v="0"/>
    <x v="75"/>
    <d v="2023-04-26T00:00:00"/>
    <d v="2023-04-26T00:00:00"/>
    <n v="-1.5"/>
    <n v="558.75"/>
    <m/>
    <s v="Stg. De Bibliotheek REUVER"/>
    <x v="1"/>
    <x v="4"/>
    <x v="15"/>
  </r>
  <r>
    <n v="202305104"/>
    <s v="NL22RABO0381604934"/>
    <s v="EUR"/>
    <x v="0"/>
    <x v="75"/>
    <d v="2023-04-26T00:00:00"/>
    <d v="2023-04-26T00:00:00"/>
    <n v="-4.47"/>
    <n v="554.28"/>
    <m/>
    <s v="Kruidvat 3123 PANNINGEN"/>
    <x v="1"/>
    <x v="4"/>
    <x v="15"/>
  </r>
  <r>
    <n v="202305105"/>
    <s v="NL22RABO0381604934"/>
    <s v="EUR"/>
    <x v="0"/>
    <x v="75"/>
    <d v="2023-04-26T00:00:00"/>
    <d v="2023-04-26T00:00:00"/>
    <n v="-2.54"/>
    <n v="551.74"/>
    <m/>
    <s v="Action 1325 Panningen"/>
    <x v="1"/>
    <x v="4"/>
    <x v="15"/>
  </r>
  <r>
    <n v="202305106"/>
    <s v="NL22RABO0381604934"/>
    <s v="EUR"/>
    <x v="0"/>
    <x v="75"/>
    <d v="2023-04-26T00:00:00"/>
    <d v="2023-04-26T00:00:00"/>
    <n v="-4.99"/>
    <n v="546.75"/>
    <m/>
    <s v="Trekpleister 1522 PANNINGEN"/>
    <x v="1"/>
    <x v="4"/>
    <x v="15"/>
  </r>
  <r>
    <n v="202305119"/>
    <s v="NL22RABO0381604934"/>
    <s v="EUR"/>
    <x v="0"/>
    <x v="76"/>
    <d v="2023-05-03T00:00:00"/>
    <d v="2023-05-03T00:00:00"/>
    <n v="-17.41"/>
    <n v="258.95999999999998"/>
    <m/>
    <s v="Action 1152 Sevenum"/>
    <x v="1"/>
    <x v="4"/>
    <x v="15"/>
  </r>
  <r>
    <n v="202305120"/>
    <s v="NL22RABO0381604934"/>
    <s v="EUR"/>
    <x v="0"/>
    <x v="76"/>
    <d v="2023-05-03T00:00:00"/>
    <d v="2023-05-03T00:00:00"/>
    <n v="-12.46"/>
    <n v="246.5"/>
    <m/>
    <s v="Action 1152 Sevenum"/>
    <x v="1"/>
    <x v="4"/>
    <x v="15"/>
  </r>
  <r>
    <n v="202305123"/>
    <s v="NL22RABO0381604934"/>
    <s v="EUR"/>
    <x v="0"/>
    <x v="76"/>
    <d v="2023-05-06T00:00:00"/>
    <d v="2023-05-06T00:00:00"/>
    <n v="-10"/>
    <n v="216.53"/>
    <s v="NL13RABO0181015595"/>
    <s v="Rabo Betaalverzoek kofffer samsonite"/>
    <x v="1"/>
    <x v="4"/>
    <x v="15"/>
  </r>
  <r>
    <n v="202305124"/>
    <s v="NL22RABO0381604934"/>
    <s v="EUR"/>
    <x v="0"/>
    <x v="76"/>
    <d v="2023-05-06T00:00:00"/>
    <d v="2023-05-06T00:00:00"/>
    <n v="-2.4300000000000002"/>
    <n v="214.1"/>
    <m/>
    <s v="Action 1325 Panningen"/>
    <x v="1"/>
    <x v="4"/>
    <x v="15"/>
  </r>
  <r>
    <n v="202305125"/>
    <s v="NL22RABO0381604934"/>
    <s v="EUR"/>
    <x v="0"/>
    <x v="76"/>
    <d v="2023-05-06T00:00:00"/>
    <d v="2023-05-06T00:00:00"/>
    <n v="-17.97"/>
    <n v="196.13"/>
    <m/>
    <s v="EP:Tummers Panningen PANNINGEN koptelefoon"/>
    <x v="1"/>
    <x v="4"/>
    <x v="15"/>
  </r>
  <r>
    <n v="202305126"/>
    <s v="NL22RABO0381604934"/>
    <s v="EUR"/>
    <x v="0"/>
    <x v="76"/>
    <d v="2023-05-06T00:00:00"/>
    <d v="2023-05-06T00:00:00"/>
    <n v="-0.69"/>
    <n v="195.44"/>
    <m/>
    <s v="Primera Panningen PANNINGEN"/>
    <x v="1"/>
    <x v="4"/>
    <x v="15"/>
  </r>
  <r>
    <n v="202305129"/>
    <s v="NL22RABO0381604934"/>
    <s v="EUR"/>
    <x v="0"/>
    <x v="76"/>
    <d v="2023-05-06T00:00:00"/>
    <d v="2023-05-08T00:00:00"/>
    <n v="-3.85"/>
    <n v="168.02"/>
    <s v="NL26INGB0006865503"/>
    <s v="Kamer van Koophandel via CCV Group BV"/>
    <x v="1"/>
    <x v="4"/>
    <x v="15"/>
  </r>
  <r>
    <n v="202305130"/>
    <s v="NL22RABO0381604934"/>
    <s v="EUR"/>
    <x v="0"/>
    <x v="76"/>
    <d v="2023-05-08T00:00:00"/>
    <d v="2023-05-08T00:00:00"/>
    <n v="-1"/>
    <n v="167.02"/>
    <m/>
    <s v="Stg. De Bibliotheek REUVER"/>
    <x v="1"/>
    <x v="4"/>
    <x v="15"/>
  </r>
  <r>
    <n v="202305131"/>
    <s v="NL22RABO0381604934"/>
    <s v="EUR"/>
    <x v="0"/>
    <x v="76"/>
    <d v="2023-05-08T00:00:00"/>
    <d v="2023-05-08T00:00:00"/>
    <n v="-1.99"/>
    <n v="165.03"/>
    <m/>
    <s v="Primera Panningen PANNINGEN"/>
    <x v="1"/>
    <x v="4"/>
    <x v="15"/>
  </r>
  <r>
    <n v="202305132"/>
    <s v="NL22RABO0381604934"/>
    <s v="EUR"/>
    <x v="0"/>
    <x v="76"/>
    <d v="2023-05-08T00:00:00"/>
    <d v="2023-05-08T00:00:00"/>
    <n v="-2.48"/>
    <n v="162.55000000000001"/>
    <m/>
    <s v="Kruidvat 3123 PANNINGEN"/>
    <x v="1"/>
    <x v="4"/>
    <x v="15"/>
  </r>
  <r>
    <n v="202305148"/>
    <s v="RABO GOLD CARD"/>
    <s v="EUR"/>
    <x v="0"/>
    <x v="0"/>
    <d v="2023-02-20T00:00:00"/>
    <m/>
    <n v="-0.02"/>
    <m/>
    <n v="-0.02"/>
    <s v="Koersopslag"/>
    <x v="1"/>
    <x v="4"/>
    <x v="40"/>
  </r>
  <r>
    <n v="202305150"/>
    <s v="RABO GOLD CARD"/>
    <s v="EUR"/>
    <x v="0"/>
    <x v="0"/>
    <d v="2023-02-20T00:00:00"/>
    <m/>
    <n v="-0.15"/>
    <m/>
    <n v="-0.15"/>
    <s v="Koersopslag"/>
    <x v="1"/>
    <x v="4"/>
    <x v="40"/>
  </r>
  <r>
    <n v="202305163"/>
    <m/>
    <m/>
    <x v="0"/>
    <x v="76"/>
    <d v="2023-05-07T00:00:00"/>
    <m/>
    <n v="12.46"/>
    <m/>
    <m/>
    <s v="Iris Kocks TOTAAL 74,14 blender en haakjes"/>
    <x v="1"/>
    <x v="4"/>
    <x v="15"/>
  </r>
  <r>
    <n v="202305163"/>
    <m/>
    <m/>
    <x v="0"/>
    <x v="76"/>
    <d v="2023-05-07T00:00:00"/>
    <m/>
    <n v="1.88"/>
    <m/>
    <m/>
    <s v="Iris Kocks LOPENDE REKENING schrift+mok"/>
    <x v="1"/>
    <x v="4"/>
    <x v="15"/>
  </r>
  <r>
    <n v="421"/>
    <s v="NL22RABO0381604934"/>
    <m/>
    <x v="1"/>
    <x v="77"/>
    <d v="2013-12-31T00:00:00"/>
    <d v="2017-05-16T00:00:00"/>
    <n v="659"/>
    <n v="659"/>
    <m/>
    <s v="BELASTINGDIENST 2013"/>
    <x v="3"/>
    <x v="5"/>
    <x v="43"/>
  </r>
  <r>
    <n v="422"/>
    <s v="NL22RABO0381604934"/>
    <s v="fiscus retour"/>
    <x v="3"/>
    <x v="78"/>
    <d v="2013-12-31T00:00:00"/>
    <d v="2019-01-25T00:00:00"/>
    <n v="603"/>
    <n v="603"/>
    <m/>
    <s v="BELASTINGDIENST 2017"/>
    <x v="3"/>
    <x v="5"/>
    <x v="43"/>
  </r>
  <r>
    <n v="778"/>
    <s v="BNPPARIBAS"/>
    <m/>
    <x v="2"/>
    <x v="11"/>
    <d v="2018-10-09T00:00:00"/>
    <d v="2018-10-09T00:00:00"/>
    <n v="130.87"/>
    <n v="130.87"/>
    <m/>
    <s v="retour kiva"/>
    <x v="3"/>
    <x v="5"/>
    <x v="44"/>
  </r>
  <r>
    <n v="791"/>
    <s v="BNPPARIBAS"/>
    <m/>
    <x v="2"/>
    <x v="7"/>
    <d v="2018-11-01T00:00:00"/>
    <d v="2018-11-01T00:00:00"/>
    <n v="96.15"/>
    <n v="96.15"/>
    <m/>
    <s v="retour residetape"/>
    <x v="3"/>
    <x v="5"/>
    <x v="45"/>
  </r>
  <r>
    <n v="1202"/>
    <s v="NL22RABO0381604934"/>
    <m/>
    <x v="2"/>
    <x v="49"/>
    <d v="2018-04-15T00:00:00"/>
    <d v="2018-04-15T00:00:00"/>
    <n v="32"/>
    <n v="32"/>
    <m/>
    <s v="belastingdienst 2018"/>
    <x v="3"/>
    <x v="5"/>
    <x v="43"/>
  </r>
  <r>
    <n v="1365"/>
    <s v="NL22RABO0381604934"/>
    <m/>
    <x v="3"/>
    <x v="79"/>
    <d v="2018-12-31T00:00:00"/>
    <d v="2019-04-29T00:00:00"/>
    <n v="1116"/>
    <n v="1116"/>
    <m/>
    <s v="BELASTINGDIENST 2018"/>
    <x v="3"/>
    <x v="5"/>
    <x v="43"/>
  </r>
  <r>
    <n v="1487"/>
    <s v="KAS"/>
    <m/>
    <x v="3"/>
    <x v="14"/>
    <n v="43536"/>
    <n v="43536"/>
    <n v="100"/>
    <n v="100"/>
    <m/>
    <s v="kado ouders"/>
    <x v="3"/>
    <x v="5"/>
    <x v="46"/>
  </r>
  <r>
    <n v="1673"/>
    <s v="NL22RABO0381604934"/>
    <m/>
    <x v="3"/>
    <x v="13"/>
    <d v="2019-01-03T00:00:00"/>
    <d v="2019-01-03T00:00:00"/>
    <n v="0.1"/>
    <n v="0.1"/>
    <m/>
    <s v="Debetrente"/>
    <x v="3"/>
    <x v="5"/>
    <x v="23"/>
  </r>
  <r>
    <n v="1692"/>
    <s v="NL22RABO0381604934"/>
    <m/>
    <x v="3"/>
    <x v="14"/>
    <d v="2019-03-02T00:00:00"/>
    <d v="2019-03-02T00:00:00"/>
    <n v="0.27"/>
    <n v="0.27"/>
    <m/>
    <s v="Debetrente"/>
    <x v="3"/>
    <x v="5"/>
    <x v="23"/>
  </r>
  <r>
    <n v="1824"/>
    <s v="NL22RABO0381604934"/>
    <m/>
    <x v="3"/>
    <x v="54"/>
    <d v="2019-05-23T00:00:00"/>
    <d v="2019-05-23T00:00:00"/>
    <n v="26.91"/>
    <n v="26.91"/>
    <m/>
    <s v="STIPP"/>
    <x v="3"/>
    <x v="5"/>
    <x v="47"/>
  </r>
  <r>
    <n v="1894"/>
    <s v="NL22RABO0381604934"/>
    <m/>
    <x v="3"/>
    <x v="18"/>
    <d v="2019-09-13T00:00:00"/>
    <d v="2019-09-13T00:00:00"/>
    <n v="7"/>
    <n v="7"/>
    <m/>
    <s v="BELASTINGDIENST"/>
    <x v="3"/>
    <x v="5"/>
    <x v="43"/>
  </r>
  <r>
    <n v="1901"/>
    <s v="NL22RABO0381604934"/>
    <m/>
    <x v="3"/>
    <x v="18"/>
    <d v="2019-09-25T00:00:00"/>
    <d v="2019-09-25T00:00:00"/>
    <n v="9"/>
    <n v="9"/>
    <m/>
    <s v="BELASTINGDIENST"/>
    <x v="3"/>
    <x v="5"/>
    <x v="43"/>
  </r>
  <r>
    <n v="2107"/>
    <s v="KAS"/>
    <m/>
    <x v="4"/>
    <x v="58"/>
    <d v="2020-12-24T00:00:00"/>
    <d v="2020-12-24T00:00:00"/>
    <n v="150"/>
    <n v="150"/>
    <m/>
    <s v="cadeau ouders"/>
    <x v="3"/>
    <x v="5"/>
    <x v="46"/>
  </r>
  <r>
    <n v="2213"/>
    <s v="NL22RABO0381604934"/>
    <m/>
    <x v="4"/>
    <x v="56"/>
    <d v="2020-07-06T00:00:00"/>
    <d v="2020-07-06T00:00:00"/>
    <n v="250"/>
    <n v="250"/>
    <m/>
    <s v="SMIT W en/of SMIT-BRANDS W R F"/>
    <x v="3"/>
    <x v="5"/>
    <x v="46"/>
  </r>
  <r>
    <n v="2579"/>
    <s v="NL22RABO0381604934"/>
    <m/>
    <x v="4"/>
    <x v="80"/>
    <d v="2020-12-31T00:00:00"/>
    <d v="2021-07-19T00:00:00"/>
    <n v="344"/>
    <n v="344"/>
    <s v="NL36INGB0003445588"/>
    <s v="BELASTINGDIENST 2020"/>
    <x v="3"/>
    <x v="5"/>
    <x v="43"/>
  </r>
  <r>
    <n v="2580"/>
    <s v="NL24RABO3628561752"/>
    <m/>
    <x v="4"/>
    <x v="20"/>
    <d v="2020-01-01T00:00:00"/>
    <d v="2020-01-01T00:00:00"/>
    <n v="1.23"/>
    <n v="1.23"/>
    <m/>
    <s v="RABOBANK NEDERLAND"/>
    <x v="3"/>
    <x v="5"/>
    <x v="23"/>
  </r>
  <r>
    <n v="2581"/>
    <s v="PAYPAL"/>
    <m/>
    <x v="4"/>
    <x v="58"/>
    <d v="2020-12-31T00:00:00"/>
    <d v="2020-12-31T00:00:00"/>
    <n v="4.2300000000000004"/>
    <n v="4.2300000000000004"/>
    <m/>
    <s v="Redbubble"/>
    <x v="3"/>
    <x v="5"/>
    <x v="48"/>
  </r>
  <r>
    <n v="3152"/>
    <s v="NL24RABO3628561752"/>
    <m/>
    <x v="5"/>
    <x v="63"/>
    <d v="2021-01-01T00:00:00"/>
    <d v="2021-01-01T00:00:00"/>
    <n v="0.4"/>
    <n v="0.4"/>
    <n v="0"/>
    <s v="Rente"/>
    <x v="3"/>
    <x v="5"/>
    <x v="23"/>
  </r>
  <r>
    <n v="3238"/>
    <s v="KAS"/>
    <m/>
    <x v="6"/>
    <x v="32"/>
    <d v="2022-05-31T00:00:00"/>
    <m/>
    <n v="100"/>
    <n v="100"/>
    <m/>
    <s v="kerstcadeau pa ma"/>
    <x v="3"/>
    <x v="5"/>
    <x v="22"/>
  </r>
  <r>
    <n v="3329"/>
    <s v="NL24RABO3628561752"/>
    <m/>
    <x v="6"/>
    <x v="28"/>
    <d v="2022-01-01T00:00:00"/>
    <d v="2022-01-01T00:00:00"/>
    <n v="0.71"/>
    <n v="0.71"/>
    <n v="0"/>
    <s v="Rente"/>
    <x v="3"/>
    <x v="5"/>
    <x v="23"/>
  </r>
  <r>
    <n v="202208020"/>
    <s v="NL22RABO0381604934"/>
    <s v="EUR"/>
    <x v="6"/>
    <x v="71"/>
    <d v="2022-06-09T00:00:00"/>
    <d v="2022-06-09T00:00:00"/>
    <n v="550"/>
    <n v="550"/>
    <s v="NL36INGB0003445588"/>
    <s v="BELASTINGDIENST"/>
    <x v="3"/>
    <x v="5"/>
    <x v="43"/>
  </r>
  <r>
    <n v="202208508"/>
    <s v="KAS"/>
    <m/>
    <x v="6"/>
    <x v="72"/>
    <d v="2022-07-08T00:00:00"/>
    <d v="2022-07-08T00:00:00"/>
    <n v="4.25"/>
    <n v="4.25"/>
    <m/>
    <s v="GEVONDEN"/>
    <x v="3"/>
    <x v="5"/>
    <x v="15"/>
  </r>
  <r>
    <n v="202208515"/>
    <s v="KAS"/>
    <m/>
    <x v="6"/>
    <x v="40"/>
    <d v="2022-08-10T00:00:00"/>
    <d v="2022-08-10T00:00:00"/>
    <n v="2.0499999999999998"/>
    <n v="2.0499999999999998"/>
    <m/>
    <s v="kasoverschot"/>
    <x v="3"/>
    <x v="5"/>
    <x v="21"/>
  </r>
  <r>
    <n v="81"/>
    <s v="BNPPARIBAS"/>
    <m/>
    <x v="1"/>
    <x v="3"/>
    <d v="2017-10-19T00:00:00"/>
    <d v="2017-10-19T00:00:00"/>
    <n v="-99.99"/>
    <n v="99.99"/>
    <m/>
    <s v="FACTURE CARTE DU 181017 PERRY SPORT 04 CARTE 4974XXXXX"/>
    <x v="1"/>
    <x v="6"/>
    <x v="49"/>
  </r>
  <r>
    <n v="146"/>
    <s v="KAS"/>
    <m/>
    <x v="1"/>
    <x v="44"/>
    <d v="2017-04-07T00:00:00"/>
    <d v="2017-04-07T00:00:00"/>
    <n v="-12.5"/>
    <n v="12.5"/>
    <m/>
    <s v="waskaart"/>
    <x v="1"/>
    <x v="6"/>
    <x v="50"/>
  </r>
  <r>
    <n v="176"/>
    <s v="KAS"/>
    <m/>
    <x v="1"/>
    <x v="44"/>
    <d v="2017-04-22T00:00:00"/>
    <d v="2017-04-22T00:00:00"/>
    <n v="-1.5"/>
    <n v="1.5"/>
    <m/>
    <s v="sokken"/>
    <x v="1"/>
    <x v="6"/>
    <x v="49"/>
  </r>
  <r>
    <n v="198"/>
    <s v="KAS"/>
    <m/>
    <x v="1"/>
    <x v="45"/>
    <d v="2017-05-02T00:00:00"/>
    <d v="2017-05-02T00:00:00"/>
    <n v="-10"/>
    <n v="10"/>
    <m/>
    <s v="waskaart"/>
    <x v="1"/>
    <x v="6"/>
    <x v="50"/>
  </r>
  <r>
    <n v="223"/>
    <s v="KAS"/>
    <m/>
    <x v="1"/>
    <x v="45"/>
    <d v="2017-05-17T00:00:00"/>
    <d v="2017-05-17T00:00:00"/>
    <n v="-13"/>
    <n v="13"/>
    <m/>
    <s v="kapper 17/5"/>
    <x v="1"/>
    <x v="6"/>
    <x v="51"/>
  </r>
  <r>
    <n v="261"/>
    <s v="KAS"/>
    <m/>
    <x v="1"/>
    <x v="46"/>
    <d v="2017-06-10T00:00:00"/>
    <d v="2017-06-10T00:00:00"/>
    <n v="-9.9"/>
    <n v="9.9"/>
    <m/>
    <s v="ibuprofen"/>
    <x v="1"/>
    <x v="6"/>
    <x v="52"/>
  </r>
  <r>
    <n v="294"/>
    <s v="KAS"/>
    <m/>
    <x v="1"/>
    <x v="46"/>
    <d v="2017-06-24T00:00:00"/>
    <d v="2017-06-24T00:00:00"/>
    <n v="-12.5"/>
    <n v="12.5"/>
    <m/>
    <s v="waskaart"/>
    <x v="1"/>
    <x v="6"/>
    <x v="50"/>
  </r>
  <r>
    <n v="301"/>
    <s v="KAS"/>
    <m/>
    <x v="1"/>
    <x v="36"/>
    <d v="2017-07-05T00:00:00"/>
    <d v="2017-07-05T00:00:00"/>
    <n v="-13"/>
    <n v="13"/>
    <m/>
    <s v="kapper 4/7"/>
    <x v="1"/>
    <x v="6"/>
    <x v="51"/>
  </r>
  <r>
    <n v="328"/>
    <s v="KAS"/>
    <m/>
    <x v="1"/>
    <x v="36"/>
    <d v="2017-07-16T00:00:00"/>
    <d v="2017-07-16T00:00:00"/>
    <n v="-4"/>
    <n v="4"/>
    <m/>
    <s v="waskaart"/>
    <x v="1"/>
    <x v="6"/>
    <x v="50"/>
  </r>
  <r>
    <n v="329"/>
    <s v="KAS"/>
    <m/>
    <x v="1"/>
    <x v="36"/>
    <d v="2017-07-16T00:00:00"/>
    <d v="2017-07-16T00:00:00"/>
    <n v="-2.5"/>
    <n v="2.5"/>
    <m/>
    <s v="waskaart"/>
    <x v="1"/>
    <x v="6"/>
    <x v="50"/>
  </r>
  <r>
    <n v="349"/>
    <s v="KAS"/>
    <m/>
    <x v="1"/>
    <x v="47"/>
    <d v="2017-08-11T00:00:00"/>
    <d v="2017-08-11T00:00:00"/>
    <n v="-4"/>
    <n v="4"/>
    <m/>
    <s v="ibuprofen"/>
    <x v="1"/>
    <x v="6"/>
    <x v="52"/>
  </r>
  <r>
    <n v="359"/>
    <s v="KAS"/>
    <m/>
    <x v="1"/>
    <x v="47"/>
    <d v="2017-08-21T00:00:00"/>
    <d v="2017-08-21T00:00:00"/>
    <n v="-13"/>
    <n v="13"/>
    <m/>
    <s v="Kapper"/>
    <x v="1"/>
    <x v="6"/>
    <x v="51"/>
  </r>
  <r>
    <n v="472"/>
    <s v="NL22RABO0381604934"/>
    <m/>
    <x v="1"/>
    <x v="43"/>
    <d v="2017-03-13T00:00:00"/>
    <d v="2017-03-13T00:00:00"/>
    <n v="-6.38"/>
    <n v="6.38"/>
    <m/>
    <s v="Kruidvat 7082 ARNHEM"/>
    <x v="1"/>
    <x v="6"/>
    <x v="52"/>
  </r>
  <r>
    <n v="491"/>
    <s v="NL22RABO0381604934"/>
    <m/>
    <x v="1"/>
    <x v="43"/>
    <d v="2017-03-17T00:00:00"/>
    <d v="2017-03-17T00:00:00"/>
    <n v="-1"/>
    <n v="1"/>
    <m/>
    <s v="ETOS 7579 'S-HERTOGENBO"/>
    <x v="1"/>
    <x v="6"/>
    <x v="52"/>
  </r>
  <r>
    <n v="493"/>
    <s v="NL22RABO0381604934"/>
    <m/>
    <x v="1"/>
    <x v="43"/>
    <d v="2017-03-17T00:00:00"/>
    <d v="2017-03-17T00:00:00"/>
    <n v="-0.99"/>
    <n v="0.99"/>
    <m/>
    <s v="Decathlon Benelux N.V. EINDHOVEN"/>
    <x v="1"/>
    <x v="6"/>
    <x v="49"/>
  </r>
  <r>
    <n v="517"/>
    <s v="NL22RABO0381604934"/>
    <m/>
    <x v="1"/>
    <x v="43"/>
    <d v="2017-03-27T00:00:00"/>
    <d v="2017-03-27T00:00:00"/>
    <n v="-13.5"/>
    <n v="13.5"/>
    <m/>
    <s v="Kapsalon Promise VOF GRONINGEN"/>
    <x v="1"/>
    <x v="6"/>
    <x v="51"/>
  </r>
  <r>
    <n v="534"/>
    <s v="NL22RABO0381604934"/>
    <m/>
    <x v="1"/>
    <x v="44"/>
    <d v="2017-04-11T00:00:00"/>
    <d v="2017-04-11T00:00:00"/>
    <n v="-9"/>
    <n v="9"/>
    <m/>
    <s v="FARMACIA TOTINO       \ROMA         \"/>
    <x v="1"/>
    <x v="6"/>
    <x v="52"/>
  </r>
  <r>
    <n v="550"/>
    <s v="NL22RABO0381604934"/>
    <m/>
    <x v="1"/>
    <x v="45"/>
    <d v="2017-05-01T00:00:00"/>
    <d v="2017-05-01T00:00:00"/>
    <n v="-15.95"/>
    <n v="15.95"/>
    <m/>
    <s v="PIAZZA ITALIA         \ROMA         \"/>
    <x v="1"/>
    <x v="6"/>
    <x v="49"/>
  </r>
  <r>
    <n v="641"/>
    <s v="NL22RABO0381604934"/>
    <m/>
    <x v="1"/>
    <x v="3"/>
    <d v="2017-10-12T00:00:00"/>
    <d v="2017-10-12T00:00:00"/>
    <n v="-4.99"/>
    <n v="4.99"/>
    <m/>
    <s v="Decathlon Arnhem ARNHEM"/>
    <x v="1"/>
    <x v="6"/>
    <x v="49"/>
  </r>
  <r>
    <n v="643"/>
    <s v="NL22RABO0381604934"/>
    <m/>
    <x v="1"/>
    <x v="3"/>
    <d v="2017-10-12T00:00:00"/>
    <d v="2017-10-12T00:00:00"/>
    <n v="-1.69"/>
    <n v="1.69"/>
    <m/>
    <s v="Kruidvat 7082 ARNHEM"/>
    <x v="1"/>
    <x v="6"/>
    <x v="52"/>
  </r>
  <r>
    <n v="645"/>
    <s v="NL22RABO0381604934"/>
    <m/>
    <x v="1"/>
    <x v="3"/>
    <d v="2017-10-12T00:00:00"/>
    <d v="2017-10-12T00:00:00"/>
    <n v="-239.49"/>
    <n v="239.49"/>
    <m/>
    <s v="TANDARTSPRAKTIJK RAKTOE"/>
    <x v="1"/>
    <x v="6"/>
    <x v="53"/>
  </r>
  <r>
    <n v="659"/>
    <s v="NL22RABO0381604934"/>
    <m/>
    <x v="1"/>
    <x v="3"/>
    <d v="2017-10-19T00:00:00"/>
    <d v="2017-10-19T00:00:00"/>
    <n v="-5.39"/>
    <n v="5.39"/>
    <m/>
    <s v="CCV*TOPSHELF ARNHEM ARNHEM"/>
    <x v="1"/>
    <x v="6"/>
    <x v="49"/>
  </r>
  <r>
    <n v="671"/>
    <s v="NL22RABO0381604934"/>
    <m/>
    <x v="1"/>
    <x v="3"/>
    <d v="2017-10-22T00:00:00"/>
    <d v="2017-10-22T00:00:00"/>
    <n v="-9.9499999999999993"/>
    <n v="9.9499999999999993"/>
    <m/>
    <s v="Bever Arnhem ARNHEM"/>
    <x v="1"/>
    <x v="6"/>
    <x v="49"/>
  </r>
  <r>
    <n v="685"/>
    <s v="NL22RABO0381604934"/>
    <m/>
    <x v="1"/>
    <x v="3"/>
    <d v="2017-10-27T00:00:00"/>
    <d v="2017-10-27T00:00:00"/>
    <n v="-12"/>
    <n v="12"/>
    <m/>
    <s v="HEMA STADSKANAAL"/>
    <x v="1"/>
    <x v="6"/>
    <x v="49"/>
  </r>
  <r>
    <n v="686"/>
    <s v="NL22RABO0381604934"/>
    <m/>
    <x v="1"/>
    <x v="3"/>
    <d v="2017-10-27T00:00:00"/>
    <d v="2017-10-27T00:00:00"/>
    <n v="-10.029999999999999"/>
    <n v="10.029999999999999"/>
    <m/>
    <s v="Scapino Stadskanaal STADSKANAAL"/>
    <x v="1"/>
    <x v="6"/>
    <x v="49"/>
  </r>
  <r>
    <n v="692"/>
    <s v="NL22RABO0381604934"/>
    <m/>
    <x v="1"/>
    <x v="3"/>
    <d v="2017-10-31T00:00:00"/>
    <d v="2017-10-31T00:00:00"/>
    <n v="-29.9"/>
    <n v="29.9"/>
    <m/>
    <s v="C&amp;A 135 STADSKANAAL"/>
    <x v="1"/>
    <x v="6"/>
    <x v="49"/>
  </r>
  <r>
    <n v="698"/>
    <s v="NL22RABO0381604934"/>
    <m/>
    <x v="1"/>
    <x v="4"/>
    <d v="2017-11-01T00:00:00"/>
    <d v="2017-11-01T00:00:00"/>
    <n v="-7.25"/>
    <n v="7.25"/>
    <m/>
    <s v="Sumatra Apotheek AMSTERDAM"/>
    <x v="1"/>
    <x v="6"/>
    <x v="52"/>
  </r>
  <r>
    <n v="831"/>
    <s v="KAS"/>
    <m/>
    <x v="2"/>
    <x v="10"/>
    <d v="2018-03-02T00:00:00"/>
    <d v="2018-03-02T00:00:00"/>
    <n v="-1.6"/>
    <n v="1.6"/>
    <m/>
    <s v="tandenstsokers"/>
    <x v="1"/>
    <x v="6"/>
    <x v="52"/>
  </r>
  <r>
    <n v="889"/>
    <s v="KAS"/>
    <m/>
    <x v="2"/>
    <x v="49"/>
    <d v="2018-04-15T00:00:00"/>
    <d v="2018-04-15T00:00:00"/>
    <n v="-10"/>
    <n v="10"/>
    <m/>
    <s v="schoenen"/>
    <x v="1"/>
    <x v="6"/>
    <x v="49"/>
  </r>
  <r>
    <n v="942"/>
    <s v="KAS"/>
    <m/>
    <x v="2"/>
    <x v="51"/>
    <d v="2018-06-03T00:00:00"/>
    <d v="2018-06-03T00:00:00"/>
    <n v="-2.5"/>
    <n v="2.5"/>
    <m/>
    <s v="wassen"/>
    <x v="1"/>
    <x v="6"/>
    <x v="50"/>
  </r>
  <r>
    <n v="991"/>
    <s v="KAS"/>
    <m/>
    <x v="2"/>
    <x v="52"/>
    <d v="2018-07-03T00:00:00"/>
    <d v="2018-07-03T00:00:00"/>
    <n v="-12.5"/>
    <n v="12.5"/>
    <m/>
    <s v="waskaart 26/7"/>
    <x v="1"/>
    <x v="6"/>
    <x v="50"/>
  </r>
  <r>
    <n v="1012"/>
    <s v="KAS"/>
    <m/>
    <x v="2"/>
    <x v="37"/>
    <d v="2018-08-01T00:00:00"/>
    <d v="2018-08-01T00:00:00"/>
    <n v="-2"/>
    <n v="2"/>
    <m/>
    <s v="Sokken"/>
    <x v="1"/>
    <x v="6"/>
    <x v="49"/>
  </r>
  <r>
    <n v="1063"/>
    <s v="KAS"/>
    <m/>
    <x v="2"/>
    <x v="12"/>
    <d v="2018-09-01T00:00:00"/>
    <d v="2018-09-01T00:00:00"/>
    <n v="-14"/>
    <n v="14"/>
    <m/>
    <s v="tshirt acroyoga roma comm"/>
    <x v="1"/>
    <x v="6"/>
    <x v="49"/>
  </r>
  <r>
    <n v="1091"/>
    <s v="KAS"/>
    <m/>
    <x v="2"/>
    <x v="11"/>
    <d v="2018-10-01T00:00:00"/>
    <d v="2018-10-01T00:00:00"/>
    <n v="-10"/>
    <n v="10"/>
    <m/>
    <s v="schoenen primark"/>
    <x v="1"/>
    <x v="6"/>
    <x v="49"/>
  </r>
  <r>
    <n v="1159"/>
    <s v="NL22RABO0381604934"/>
    <m/>
    <x v="2"/>
    <x v="10"/>
    <d v="2018-03-11T00:00:00"/>
    <d v="2018-03-11T00:00:00"/>
    <n v="-58.17"/>
    <n v="58.17"/>
    <m/>
    <s v="TANDARTSPRAKTIJK RAKTOE"/>
    <x v="1"/>
    <x v="6"/>
    <x v="53"/>
  </r>
  <r>
    <n v="1205"/>
    <s v="NL22RABO0381604934"/>
    <m/>
    <x v="2"/>
    <x v="50"/>
    <d v="2018-05-15T00:00:00"/>
    <d v="2018-05-15T00:00:00"/>
    <n v="-13"/>
    <n v="13"/>
    <m/>
    <s v="kapper 8/5"/>
    <x v="1"/>
    <x v="6"/>
    <x v="51"/>
  </r>
  <r>
    <n v="1231"/>
    <s v="NL22RABO0381604934"/>
    <m/>
    <x v="2"/>
    <x v="51"/>
    <d v="2018-06-13T00:00:00"/>
    <d v="2018-06-13T00:00:00"/>
    <n v="-20"/>
    <n v="20"/>
    <m/>
    <s v="SUPERMERCATO DUE P 201 ROMA ITA electrische tandenborstel"/>
    <x v="1"/>
    <x v="6"/>
    <x v="52"/>
  </r>
  <r>
    <n v="1237"/>
    <s v="NL22RABO0381604934"/>
    <m/>
    <x v="2"/>
    <x v="51"/>
    <d v="2018-06-22T00:00:00"/>
    <d v="2018-06-22T00:00:00"/>
    <n v="-13"/>
    <n v="13"/>
    <m/>
    <s v="L'HAIR DI IURATO A.RIT ROMA        R"/>
    <x v="1"/>
    <x v="6"/>
    <x v="51"/>
  </r>
  <r>
    <n v="1273"/>
    <s v="NL22RABO0381604934"/>
    <m/>
    <x v="2"/>
    <x v="12"/>
    <d v="2018-09-14T00:00:00"/>
    <d v="2018-09-14T00:00:00"/>
    <n v="-89.9"/>
    <n v="89.9"/>
    <m/>
    <s v="SPORT 85 S.R.L. ROMA ITA"/>
    <x v="1"/>
    <x v="6"/>
    <x v="54"/>
  </r>
  <r>
    <n v="1297"/>
    <s v="NL22RABO0381604934"/>
    <m/>
    <x v="2"/>
    <x v="11"/>
    <d v="2018-10-11T00:00:00"/>
    <d v="2018-10-11T00:00:00"/>
    <n v="-45.78"/>
    <n v="45.78"/>
    <m/>
    <s v="TANDARTSPRAKTIJK RAKTOE"/>
    <x v="1"/>
    <x v="6"/>
    <x v="53"/>
  </r>
  <r>
    <n v="1327"/>
    <s v="NL22RABO0381604934"/>
    <m/>
    <x v="2"/>
    <x v="11"/>
    <d v="2018-10-23T00:00:00"/>
    <d v="2018-10-23T00:00:00"/>
    <n v="-39.979999999999997"/>
    <n v="39.979999999999997"/>
    <m/>
    <s v="Decathlon Arnhem ARNHEM"/>
    <x v="1"/>
    <x v="6"/>
    <x v="49"/>
  </r>
  <r>
    <n v="1502"/>
    <s v="KAS"/>
    <m/>
    <x v="3"/>
    <x v="53"/>
    <d v="2019-04-01T00:00:00"/>
    <d v="2019-04-01T00:00:00"/>
    <n v="-40"/>
    <n v="40"/>
    <m/>
    <s v="wasmachine"/>
    <x v="1"/>
    <x v="6"/>
    <x v="50"/>
  </r>
  <r>
    <n v="1545"/>
    <s v="KAS"/>
    <m/>
    <x v="3"/>
    <x v="54"/>
    <d v="2019-05-01T00:00:00"/>
    <d v="2019-05-01T00:00:00"/>
    <n v="-10"/>
    <n v="10"/>
    <m/>
    <s v="kapper"/>
    <x v="1"/>
    <x v="6"/>
    <x v="51"/>
  </r>
  <r>
    <n v="1580"/>
    <s v="KAS"/>
    <m/>
    <x v="3"/>
    <x v="38"/>
    <d v="2019-07-01T00:00:00"/>
    <d v="2019-07-01T00:00:00"/>
    <n v="-14"/>
    <n v="14"/>
    <m/>
    <s v="kapper"/>
    <x v="1"/>
    <x v="6"/>
    <x v="51"/>
  </r>
  <r>
    <n v="1599"/>
    <s v="KAS"/>
    <m/>
    <x v="3"/>
    <x v="41"/>
    <d v="2019-08-12T00:00:00"/>
    <d v="2019-08-12T00:00:00"/>
    <n v="-10"/>
    <n v="10"/>
    <m/>
    <s v="kapper 9/8"/>
    <x v="1"/>
    <x v="6"/>
    <x v="51"/>
  </r>
  <r>
    <n v="1622"/>
    <s v="KAS"/>
    <m/>
    <x v="3"/>
    <x v="18"/>
    <d v="2019-09-06T00:00:00"/>
    <d v="2019-09-06T00:00:00"/>
    <n v="-10"/>
    <n v="10"/>
    <m/>
    <s v="kapper 26/9"/>
    <x v="1"/>
    <x v="6"/>
    <x v="51"/>
  </r>
  <r>
    <n v="1633"/>
    <s v="KAS"/>
    <m/>
    <x v="3"/>
    <x v="39"/>
    <d v="2019-10-31T00:00:00"/>
    <d v="2019-10-31T00:00:00"/>
    <n v="-53"/>
    <n v="53"/>
    <m/>
    <s v="tandarts"/>
    <x v="1"/>
    <x v="6"/>
    <x v="53"/>
  </r>
  <r>
    <n v="1700"/>
    <s v="NL22RABO0381604934"/>
    <m/>
    <x v="3"/>
    <x v="14"/>
    <d v="2019-03-05T00:00:00"/>
    <d v="2019-03-05T00:00:00"/>
    <n v="-10.78"/>
    <n v="10.78"/>
    <m/>
    <s v="Kruidvat 6224 MUSSELKANAAL"/>
    <x v="1"/>
    <x v="6"/>
    <x v="52"/>
  </r>
  <r>
    <n v="1723"/>
    <s v="NL22RABO0381604934"/>
    <m/>
    <x v="3"/>
    <x v="14"/>
    <d v="2019-03-18T00:00:00"/>
    <d v="2019-03-18T00:00:00"/>
    <n v="-47.48"/>
    <n v="47.48"/>
    <m/>
    <s v="TANDARTSPRAKTIJK RAKTOE"/>
    <x v="1"/>
    <x v="6"/>
    <x v="53"/>
  </r>
  <r>
    <n v="1729"/>
    <s v="NL22RABO0381604934"/>
    <m/>
    <x v="3"/>
    <x v="14"/>
    <d v="2019-03-19T00:00:00"/>
    <d v="2019-03-19T00:00:00"/>
    <n v="-49.99"/>
    <n v="49.99"/>
    <m/>
    <s v="Blokker 0586 Arnhem ARNHEM / flosapparaat"/>
    <x v="1"/>
    <x v="6"/>
    <x v="52"/>
  </r>
  <r>
    <n v="1781"/>
    <s v="NL22RABO0381604934"/>
    <m/>
    <x v="3"/>
    <x v="53"/>
    <d v="2019-04-02T00:00:00"/>
    <d v="2019-04-02T00:00:00"/>
    <n v="-12.76"/>
    <n v="12.76"/>
    <m/>
    <s v="Kruidvat 4642 STADSKANAAL"/>
    <x v="1"/>
    <x v="6"/>
    <x v="52"/>
  </r>
  <r>
    <n v="1785"/>
    <s v="NL22RABO0381604934"/>
    <m/>
    <x v="3"/>
    <x v="53"/>
    <d v="2019-04-05T00:00:00"/>
    <d v="2019-04-05T00:00:00"/>
    <n v="-13.5"/>
    <n v="13.5"/>
    <m/>
    <s v="SumUp  *Kapsalon Famou Stadskanaal"/>
    <x v="1"/>
    <x v="6"/>
    <x v="51"/>
  </r>
  <r>
    <n v="1860"/>
    <s v="NL22RABO0381604934"/>
    <m/>
    <x v="3"/>
    <x v="38"/>
    <d v="2019-07-19T00:00:00"/>
    <d v="2019-07-19T00:00:00"/>
    <n v="-10.199999999999999"/>
    <n v="10.199999999999999"/>
    <m/>
    <s v="FARMACIA TOTINO ROMA ITA"/>
    <x v="1"/>
    <x v="6"/>
    <x v="52"/>
  </r>
  <r>
    <n v="1950"/>
    <s v="NL22RABO0381604934"/>
    <m/>
    <x v="3"/>
    <x v="39"/>
    <d v="2019-10-22T00:00:00"/>
    <d v="2019-10-22T00:00:00"/>
    <n v="-6.23"/>
    <n v="6.23"/>
    <m/>
    <s v="Kruidvat 4316 AMSTERDAM"/>
    <x v="1"/>
    <x v="6"/>
    <x v="52"/>
  </r>
  <r>
    <n v="1973"/>
    <s v="NL22RABO0381604934"/>
    <m/>
    <x v="3"/>
    <x v="39"/>
    <d v="2019-10-29T00:00:00"/>
    <d v="2019-10-29T00:00:00"/>
    <n v="-16.27"/>
    <n v="16.27"/>
    <m/>
    <s v="Decathlon Olympus ARNHEM"/>
    <x v="1"/>
    <x v="6"/>
    <x v="49"/>
  </r>
  <r>
    <n v="2102"/>
    <s v="KAS"/>
    <m/>
    <x v="4"/>
    <x v="60"/>
    <d v="2020-08-23T00:00:00"/>
    <d v="2020-08-23T00:00:00"/>
    <n v="-15"/>
    <n v="15"/>
    <m/>
    <s v="kapper"/>
    <x v="1"/>
    <x v="6"/>
    <x v="51"/>
  </r>
  <r>
    <n v="2103"/>
    <s v="KAS"/>
    <m/>
    <x v="4"/>
    <x v="60"/>
    <d v="2020-08-23T00:00:00"/>
    <d v="2020-08-23T00:00:00"/>
    <n v="-20"/>
    <n v="20"/>
    <m/>
    <s v="kapper"/>
    <x v="1"/>
    <x v="6"/>
    <x v="53"/>
  </r>
  <r>
    <n v="2105"/>
    <s v="KAS"/>
    <m/>
    <x v="4"/>
    <x v="61"/>
    <d v="2020-09-23T00:00:00"/>
    <d v="2020-09-23T00:00:00"/>
    <n v="-20"/>
    <n v="20"/>
    <m/>
    <s v="kapper"/>
    <x v="1"/>
    <x v="6"/>
    <x v="51"/>
  </r>
  <r>
    <n v="2136"/>
    <s v="KRUIS"/>
    <m/>
    <x v="4"/>
    <x v="56"/>
    <d v="2020-07-07T00:00:00"/>
    <d v="2020-07-07T00:00:00"/>
    <n v="-17"/>
    <n v="17"/>
    <m/>
    <s v="electrische tandenborstel"/>
    <x v="1"/>
    <x v="6"/>
    <x v="52"/>
  </r>
  <r>
    <n v="2241"/>
    <s v="NL22RABO0381604934"/>
    <m/>
    <x v="4"/>
    <x v="56"/>
    <d v="2020-07-18T00:00:00"/>
    <d v="2020-07-18T00:00:00"/>
    <n v="-12.49"/>
    <n v="12.49"/>
    <m/>
    <s v="vanHaren 090 ARNHEM"/>
    <x v="1"/>
    <x v="6"/>
    <x v="55"/>
  </r>
  <r>
    <n v="2254"/>
    <s v="NL22RABO0381604934"/>
    <m/>
    <x v="4"/>
    <x v="56"/>
    <d v="2020-07-21T00:00:00"/>
    <d v="2020-07-21T00:00:00"/>
    <n v="-4.99"/>
    <n v="4.99"/>
    <m/>
    <s v="vanHaren 207 WINTERSWIJK"/>
    <x v="1"/>
    <x v="6"/>
    <x v="55"/>
  </r>
  <r>
    <n v="2286"/>
    <s v="NL22RABO0381604934"/>
    <m/>
    <x v="4"/>
    <x v="60"/>
    <d v="2020-08-03T00:00:00"/>
    <d v="2020-08-03T00:00:00"/>
    <n v="-9"/>
    <n v="9"/>
    <m/>
    <s v="PRIMARK ARNHEM ARNHEM"/>
    <x v="1"/>
    <x v="6"/>
    <x v="49"/>
  </r>
  <r>
    <n v="2287"/>
    <s v="NL22RABO0381604934"/>
    <m/>
    <x v="4"/>
    <x v="60"/>
    <d v="2020-08-03T00:00:00"/>
    <d v="2020-08-03T00:00:00"/>
    <n v="-9.99"/>
    <n v="9.99"/>
    <m/>
    <s v="KiK Fil  7610 BC Arnhem"/>
    <x v="1"/>
    <x v="6"/>
    <x v="49"/>
  </r>
  <r>
    <n v="2311"/>
    <s v="NL22RABO0381604934"/>
    <m/>
    <x v="4"/>
    <x v="60"/>
    <d v="2020-08-12T00:00:00"/>
    <d v="2020-08-12T00:00:00"/>
    <n v="-11.97"/>
    <n v="11.97"/>
    <m/>
    <s v="Decathlon Arnhem ARNHEM"/>
    <x v="1"/>
    <x v="6"/>
    <x v="49"/>
  </r>
  <r>
    <n v="2341"/>
    <s v="NL22RABO0381604934"/>
    <m/>
    <x v="4"/>
    <x v="60"/>
    <d v="2020-08-22T00:00:00"/>
    <d v="2020-08-22T00:00:00"/>
    <n v="-3.79"/>
    <n v="3.79"/>
    <m/>
    <s v="Action 1138 Winterswijk"/>
    <x v="1"/>
    <x v="6"/>
    <x v="49"/>
  </r>
  <r>
    <n v="2441"/>
    <s v="NL22RABO0381604934"/>
    <m/>
    <x v="4"/>
    <x v="57"/>
    <d v="2020-10-12T00:00:00"/>
    <d v="2020-10-12T00:00:00"/>
    <n v="-14.99"/>
    <n v="14.99"/>
    <m/>
    <s v="Decathlon Arnhem ARNHEM Geel hardloopjack"/>
    <x v="1"/>
    <x v="6"/>
    <x v="49"/>
  </r>
  <r>
    <n v="2641"/>
    <s v="KAS"/>
    <m/>
    <x v="5"/>
    <x v="63"/>
    <d v="2021-03-23T00:00:00"/>
    <d v="2021-03-23T00:00:00"/>
    <n v="-22"/>
    <n v="22"/>
    <m/>
    <s v="kapper"/>
    <x v="1"/>
    <x v="6"/>
    <x v="51"/>
  </r>
  <r>
    <n v="2741"/>
    <s v="NL22RABO0381604934"/>
    <m/>
    <x v="5"/>
    <x v="66"/>
    <d v="2021-04-14T00:00:00"/>
    <d v="2021-04-14T00:00:00"/>
    <n v="-119.99"/>
    <n v="119.99"/>
    <m/>
    <s v="Sport 2000 de Bruijn PANNINGEN"/>
    <x v="1"/>
    <x v="6"/>
    <x v="54"/>
  </r>
  <r>
    <n v="2762"/>
    <s v="NL22RABO0381604934"/>
    <m/>
    <x v="5"/>
    <x v="66"/>
    <d v="2021-04-28T00:00:00"/>
    <d v="2021-04-28T00:00:00"/>
    <n v="-9.99"/>
    <n v="9.99"/>
    <m/>
    <s v="Kruidvat 3123 PANNINGEN"/>
    <x v="1"/>
    <x v="6"/>
    <x v="52"/>
  </r>
  <r>
    <n v="2809"/>
    <s v="NL22RABO0381604934"/>
    <m/>
    <x v="5"/>
    <x v="67"/>
    <d v="2021-05-31T00:00:00"/>
    <d v="2021-05-31T00:00:00"/>
    <n v="-5.49"/>
    <n v="5.49"/>
    <m/>
    <s v="Medikam die Grenze ARNHEM"/>
    <x v="1"/>
    <x v="6"/>
    <x v="52"/>
  </r>
  <r>
    <n v="2812"/>
    <s v="NL22RABO0381604934"/>
    <m/>
    <x v="5"/>
    <x v="67"/>
    <d v="2021-05-31T00:00:00"/>
    <d v="2021-05-31T00:00:00"/>
    <n v="-16"/>
    <n v="16"/>
    <m/>
    <s v="PRIMARK ARNHEM ARNHEM"/>
    <x v="1"/>
    <x v="6"/>
    <x v="49"/>
  </r>
  <r>
    <n v="2839"/>
    <s v="NL22RABO0381604934"/>
    <m/>
    <x v="5"/>
    <x v="68"/>
    <d v="2021-06-10T00:00:00"/>
    <d v="2021-06-10T00:00:00"/>
    <n v="-8.56"/>
    <n v="8.56"/>
    <m/>
    <s v="Medikam. die Grenze VENLO"/>
    <x v="1"/>
    <x v="6"/>
    <x v="52"/>
  </r>
  <r>
    <n v="2844"/>
    <s v="NL22RABO0381604934"/>
    <m/>
    <x v="5"/>
    <x v="68"/>
    <d v="2021-06-14T00:00:00"/>
    <d v="2021-06-14T00:00:00"/>
    <n v="-49.95"/>
    <n v="49.95"/>
    <s v="NL63ABNA0517816466"/>
    <s v="TANDARTSPRAKTIJK RAKTOE"/>
    <x v="1"/>
    <x v="6"/>
    <x v="53"/>
  </r>
  <r>
    <n v="2847"/>
    <s v="NL22RABO0381604934"/>
    <m/>
    <x v="5"/>
    <x v="68"/>
    <d v="2021-06-14T00:00:00"/>
    <d v="2021-06-14T00:00:00"/>
    <n v="-8.57"/>
    <n v="8.57"/>
    <m/>
    <s v="ZEEMAN ARNHEM MUSISKWA ARNHEM"/>
    <x v="1"/>
    <x v="6"/>
    <x v="49"/>
  </r>
  <r>
    <n v="2893"/>
    <s v="NL22RABO0381604934"/>
    <m/>
    <x v="5"/>
    <x v="69"/>
    <d v="2021-07-15T00:00:00"/>
    <d v="2021-07-15T00:00:00"/>
    <n v="-2"/>
    <n v="2"/>
    <m/>
    <s v="PRIMARK VENLO VENLO"/>
    <x v="1"/>
    <x v="6"/>
    <x v="49"/>
  </r>
  <r>
    <n v="2927"/>
    <s v="NL22RABO0381604934"/>
    <m/>
    <x v="5"/>
    <x v="70"/>
    <d v="2021-08-12T00:00:00"/>
    <d v="2021-08-12T00:00:00"/>
    <n v="-11"/>
    <n v="11"/>
    <m/>
    <s v="SumUp  *Kapsalon fresh Venlo"/>
    <x v="1"/>
    <x v="6"/>
    <x v="51"/>
  </r>
  <r>
    <n v="3012"/>
    <s v="NL22RABO0381604934"/>
    <m/>
    <x v="5"/>
    <x v="25"/>
    <d v="2021-10-10T00:00:00"/>
    <d v="2021-10-10T00:00:00"/>
    <n v="-9.9700000000000006"/>
    <n v="9.9700000000000006"/>
    <m/>
    <s v="Medikam die Grenze ARNHEM"/>
    <x v="1"/>
    <x v="6"/>
    <x v="52"/>
  </r>
  <r>
    <n v="3027"/>
    <s v="NL22RABO0381604934"/>
    <m/>
    <x v="5"/>
    <x v="25"/>
    <d v="2021-10-15T00:00:00"/>
    <d v="2021-10-15T00:00:00"/>
    <n v="-0.84"/>
    <n v="0.84"/>
    <m/>
    <s v="Kruidvat 6505 'S-GRAVENHAGE"/>
    <x v="1"/>
    <x v="6"/>
    <x v="52"/>
  </r>
  <r>
    <n v="3078"/>
    <s v="NL22RABO0381604934"/>
    <m/>
    <x v="5"/>
    <x v="25"/>
    <d v="2021-10-30T00:00:00"/>
    <d v="2021-10-30T00:00:00"/>
    <n v="-5.99"/>
    <n v="5.99"/>
    <m/>
    <s v="Kruidvat 6224 MUSSELKANAAL"/>
    <x v="1"/>
    <x v="6"/>
    <x v="52"/>
  </r>
  <r>
    <n v="3090"/>
    <s v="NL22RABO0381604934"/>
    <m/>
    <x v="5"/>
    <x v="26"/>
    <d v="2021-11-02T00:00:00"/>
    <d v="2021-11-02T00:00:00"/>
    <n v="-8.58"/>
    <n v="8.58"/>
    <m/>
    <s v="Kruidvat 6277 STADSKANAAL"/>
    <x v="1"/>
    <x v="6"/>
    <x v="52"/>
  </r>
  <r>
    <n v="3110"/>
    <s v="NL22RABO0381604934"/>
    <m/>
    <x v="5"/>
    <x v="26"/>
    <d v="2021-11-09T00:00:00"/>
    <d v="2021-11-09T00:00:00"/>
    <n v="-4.79"/>
    <n v="4.79"/>
    <m/>
    <s v="Kruidvat 6224 MUSSELKANAAL"/>
    <x v="1"/>
    <x v="6"/>
    <x v="52"/>
  </r>
  <r>
    <n v="3116"/>
    <s v="NL22RABO0381604934"/>
    <m/>
    <x v="5"/>
    <x v="26"/>
    <d v="2021-11-12T00:00:00"/>
    <d v="2021-11-12T00:00:00"/>
    <n v="-4"/>
    <n v="4"/>
    <m/>
    <s v="113  DIO-Readshop MUSSELKANAAL"/>
    <x v="1"/>
    <x v="6"/>
    <x v="52"/>
  </r>
  <r>
    <n v="3121"/>
    <s v="NL22RABO0381604934"/>
    <m/>
    <x v="5"/>
    <x v="26"/>
    <d v="2021-11-13T00:00:00"/>
    <d v="2021-11-13T00:00:00"/>
    <n v="-1"/>
    <n v="1"/>
    <m/>
    <s v="DrogisterijDieGrenze EMMEN"/>
    <x v="1"/>
    <x v="6"/>
    <x v="52"/>
  </r>
  <r>
    <n v="3257"/>
    <s v="KRUIS"/>
    <m/>
    <x v="6"/>
    <x v="32"/>
    <d v="2022-05-31T00:00:00"/>
    <m/>
    <n v="-52.777777777777779"/>
    <n v="52.777777777777779"/>
    <m/>
    <s v="UMC"/>
    <x v="1"/>
    <x v="6"/>
    <x v="56"/>
  </r>
  <r>
    <n v="202208026"/>
    <s v="NL22RABO0381604934"/>
    <s v="EUR"/>
    <x v="6"/>
    <x v="71"/>
    <d v="2022-06-14T00:00:00"/>
    <d v="2022-06-14T00:00:00"/>
    <n v="-7"/>
    <n v="7"/>
    <m/>
    <s v="PRIMARK VENLO VENLO"/>
    <x v="1"/>
    <x v="6"/>
    <x v="49"/>
  </r>
  <r>
    <n v="202208027"/>
    <s v="NL22RABO0381604934"/>
    <s v="EUR"/>
    <x v="6"/>
    <x v="71"/>
    <d v="2022-06-14T00:00:00"/>
    <d v="2022-06-14T00:00:00"/>
    <n v="-2.99"/>
    <n v="2.99"/>
    <m/>
    <s v="Medikam. die Grenze VENLO"/>
    <x v="1"/>
    <x v="6"/>
    <x v="52"/>
  </r>
  <r>
    <n v="202208049"/>
    <s v="NL22RABO0381604934"/>
    <s v="EUR"/>
    <x v="6"/>
    <x v="71"/>
    <d v="2022-06-29T00:00:00"/>
    <d v="2022-06-29T00:00:00"/>
    <n v="-10.26"/>
    <n v="10.26"/>
    <m/>
    <s v="Kruidvat 3123 PANNINGEN"/>
    <x v="1"/>
    <x v="6"/>
    <x v="52"/>
  </r>
  <r>
    <n v="202208056"/>
    <s v="NL22RABO0381604934"/>
    <s v="EUR"/>
    <x v="6"/>
    <x v="72"/>
    <d v="2022-07-05T00:00:00"/>
    <d v="2022-07-05T00:00:00"/>
    <n v="-48.95"/>
    <n v="48.95"/>
    <s v="DE73202208000093052702"/>
    <s v="Homediq Europe B.V."/>
    <x v="1"/>
    <x v="6"/>
    <x v="57"/>
  </r>
  <r>
    <n v="202208133"/>
    <s v="NL22RABO0381604934"/>
    <s v="EUR"/>
    <x v="6"/>
    <x v="40"/>
    <d v="2022-08-09T00:00:00"/>
    <d v="2022-08-09T00:00:00"/>
    <n v="-51.13"/>
    <n v="51.13"/>
    <s v="NL63ABNA0517816466"/>
    <s v="TANDARTSPRAKTIJK RAKTOE"/>
    <x v="1"/>
    <x v="6"/>
    <x v="53"/>
  </r>
  <r>
    <n v="202208143"/>
    <s v="NL22RABO0381604934"/>
    <s v="EUR"/>
    <x v="6"/>
    <x v="40"/>
    <d v="2022-08-11T00:00:00"/>
    <d v="2022-08-11T00:00:00"/>
    <n v="-2.08"/>
    <n v="2.08"/>
    <m/>
    <s v="Kruidvat 3123 PANNINGEN"/>
    <x v="1"/>
    <x v="6"/>
    <x v="52"/>
  </r>
  <r>
    <n v="202208153"/>
    <s v="NL22RABO0381604934"/>
    <s v="EUR"/>
    <x v="6"/>
    <x v="40"/>
    <d v="2022-08-21T00:00:00"/>
    <d v="2022-08-21T00:00:00"/>
    <n v="-4.37"/>
    <n v="4.37"/>
    <m/>
    <s v="Kruidvat 3123 PANNINGEN"/>
    <x v="1"/>
    <x v="6"/>
    <x v="52"/>
  </r>
  <r>
    <n v="202208154"/>
    <s v="NL22RABO0381604934"/>
    <s v="EUR"/>
    <x v="6"/>
    <x v="40"/>
    <d v="2022-08-21T00:00:00"/>
    <d v="2022-08-21T00:00:00"/>
    <n v="-2.99"/>
    <n v="2.99"/>
    <m/>
    <s v="Kruidvat 3123 PANNINGEN"/>
    <x v="1"/>
    <x v="6"/>
    <x v="52"/>
  </r>
  <r>
    <n v="202210014"/>
    <s v="NL22RABO0381604934"/>
    <s v="EUR"/>
    <x v="6"/>
    <x v="73"/>
    <d v="2022-09-03T00:00:00"/>
    <d v="2022-09-03T00:00:00"/>
    <n v="-2.29"/>
    <n v="2.29"/>
    <m/>
    <s v="Kruidvat 7047 SEVENUM"/>
    <x v="1"/>
    <x v="6"/>
    <x v="52"/>
  </r>
  <r>
    <n v="202210038"/>
    <s v="NL22RABO0381604934"/>
    <s v="EUR"/>
    <x v="6"/>
    <x v="73"/>
    <d v="2022-09-21T00:00:00"/>
    <d v="2022-09-21T00:00:00"/>
    <n v="-1.19"/>
    <n v="1.19"/>
    <m/>
    <s v="Kruidvat 3123 PANNINGEN"/>
    <x v="1"/>
    <x v="6"/>
    <x v="52"/>
  </r>
  <r>
    <n v="202301027"/>
    <s v="NL22RABO0381604934"/>
    <s v="EUR"/>
    <x v="6"/>
    <x v="34"/>
    <d v="2022-10-14T00:00:00"/>
    <d v="2022-10-14T00:00:00"/>
    <n v="-3.35"/>
    <m/>
    <m/>
    <s v="113  DIO-Readshop MUSSELKANAAL"/>
    <x v="1"/>
    <x v="6"/>
    <x v="52"/>
  </r>
  <r>
    <n v="202301052"/>
    <s v="NL22RABO0381604934"/>
    <s v="EUR"/>
    <x v="6"/>
    <x v="35"/>
    <d v="2022-11-05T00:00:00"/>
    <d v="2022-11-05T00:00:00"/>
    <n v="-9.9499999999999993"/>
    <m/>
    <m/>
    <s v="113  DIO-Readshop MUSSELKANAAL"/>
    <x v="1"/>
    <x v="6"/>
    <x v="52"/>
  </r>
  <r>
    <n v="1680"/>
    <s v="NL22RABO0381604934"/>
    <m/>
    <x v="3"/>
    <x v="15"/>
    <d v="2019-02-02T00:00:00"/>
    <d v="2019-02-02T00:00:00"/>
    <n v="-28"/>
    <n v="28"/>
    <m/>
    <s v="UPCA CHIANGMAI THA"/>
    <x v="4"/>
    <x v="7"/>
    <x v="58"/>
  </r>
  <r>
    <n v="1686"/>
    <s v="NL22RABO0381604934"/>
    <m/>
    <x v="3"/>
    <x v="15"/>
    <d v="2019-02-26T00:00:00"/>
    <d v="2019-02-26T00:00:00"/>
    <n v="28"/>
    <n v="28"/>
    <m/>
    <s v="JULIA SELMA ISIKTAS"/>
    <x v="4"/>
    <x v="7"/>
    <x v="58"/>
  </r>
  <r>
    <n v="2007"/>
    <s v="NL22RABO0381604934"/>
    <m/>
    <x v="3"/>
    <x v="16"/>
    <d v="2019-11-14T00:00:00"/>
    <d v="2019-11-14T00:00:00"/>
    <n v="-130.30000000000001"/>
    <n v="130.30000000000001"/>
    <m/>
    <s v="ICICI BANK NORTHGOA IND"/>
    <x v="4"/>
    <x v="7"/>
    <x v="58"/>
  </r>
  <r>
    <n v="2009"/>
    <s v="NL22RABO0381604934"/>
    <m/>
    <x v="3"/>
    <x v="16"/>
    <d v="2019-11-18T00:00:00"/>
    <d v="2019-11-18T00:00:00"/>
    <n v="130.30000000000001"/>
    <n v="130.30000000000001"/>
    <m/>
    <s v="J VAN BEEK CJ"/>
    <x v="4"/>
    <x v="7"/>
    <x v="58"/>
  </r>
  <r>
    <n v="2012"/>
    <s v="NL22RABO0381604934"/>
    <m/>
    <x v="3"/>
    <x v="16"/>
    <d v="2019-11-20T00:00:00"/>
    <d v="2019-11-20T00:00:00"/>
    <n v="130.30000000000001"/>
    <n v="130.30000000000001"/>
    <m/>
    <s v="J VAN BEEK CJ"/>
    <x v="4"/>
    <x v="7"/>
    <x v="58"/>
  </r>
  <r>
    <n v="2015"/>
    <s v="NL22RABO0381604934"/>
    <m/>
    <x v="3"/>
    <x v="16"/>
    <d v="2019-11-22T00:00:00"/>
    <d v="2019-11-22T00:00:00"/>
    <n v="260"/>
    <n v="260"/>
    <m/>
    <s v="J VAN BEEK CJ"/>
    <x v="4"/>
    <x v="7"/>
    <x v="58"/>
  </r>
  <r>
    <n v="2016"/>
    <s v="NL22RABO0381604934"/>
    <m/>
    <x v="3"/>
    <x v="16"/>
    <d v="2019-11-25T00:00:00"/>
    <d v="2019-11-25T00:00:00"/>
    <n v="-130.62"/>
    <n v="130.62"/>
    <m/>
    <s v="ICICI BANK NORTHGOA IND"/>
    <x v="4"/>
    <x v="7"/>
    <x v="58"/>
  </r>
  <r>
    <n v="2017"/>
    <s v="NL22RABO0381604934"/>
    <m/>
    <x v="3"/>
    <x v="16"/>
    <d v="2019-11-25T00:00:00"/>
    <d v="2019-11-25T00:00:00"/>
    <n v="-130.62"/>
    <n v="130.62"/>
    <m/>
    <s v="ICICI BANK NORTHGOA IND"/>
    <x v="4"/>
    <x v="7"/>
    <x v="58"/>
  </r>
  <r>
    <n v="2018"/>
    <s v="NL22RABO0381604934"/>
    <m/>
    <x v="3"/>
    <x v="16"/>
    <d v="2019-11-25T00:00:00"/>
    <d v="2019-11-25T00:00:00"/>
    <n v="-130.62"/>
    <n v="130.62"/>
    <m/>
    <s v="ICICI BANK NORTHGOA IND"/>
    <x v="4"/>
    <x v="7"/>
    <x v="58"/>
  </r>
  <r>
    <n v="2019"/>
    <s v="NL22RABO0381604934"/>
    <m/>
    <x v="3"/>
    <x v="16"/>
    <d v="2019-11-26T00:00:00"/>
    <d v="2019-11-26T00:00:00"/>
    <n v="-2.17"/>
    <n v="2.17"/>
    <m/>
    <s v="J VAN BEEK CJ"/>
    <x v="4"/>
    <x v="7"/>
    <x v="58"/>
  </r>
  <r>
    <n v="2020"/>
    <s v="NL22RABO0381604934"/>
    <m/>
    <x v="3"/>
    <x v="17"/>
    <d v="2019-12-01T00:00:00"/>
    <d v="2019-12-01T00:00:00"/>
    <n v="130"/>
    <n v="130"/>
    <m/>
    <s v="J VAN BEEK CJ"/>
    <x v="4"/>
    <x v="7"/>
    <x v="58"/>
  </r>
  <r>
    <n v="2021"/>
    <s v="NL22RABO0381604934"/>
    <m/>
    <x v="3"/>
    <x v="17"/>
    <d v="2019-12-02T00:00:00"/>
    <d v="2019-12-02T00:00:00"/>
    <n v="-128.69"/>
    <n v="128.69"/>
    <m/>
    <s v="SBI ARAMBOL ARAMBOL IND"/>
    <x v="4"/>
    <x v="7"/>
    <x v="58"/>
  </r>
  <r>
    <n v="2024"/>
    <s v="NL22RABO0381604934"/>
    <m/>
    <x v="3"/>
    <x v="17"/>
    <d v="2019-12-05T00:00:00"/>
    <d v="2019-12-05T00:00:00"/>
    <n v="-127.98"/>
    <n v="127.98"/>
    <m/>
    <s v="SBI ARAMBOL ARAMBOL IND"/>
    <x v="4"/>
    <x v="7"/>
    <x v="58"/>
  </r>
  <r>
    <n v="2025"/>
    <s v="NL22RABO0381604934"/>
    <m/>
    <x v="3"/>
    <x v="17"/>
    <d v="2019-12-10T00:00:00"/>
    <d v="2019-12-10T00:00:00"/>
    <n v="128"/>
    <n v="128"/>
    <m/>
    <s v="J VAN BEEK CJ"/>
    <x v="4"/>
    <x v="7"/>
    <x v="58"/>
  </r>
  <r>
    <n v="2046"/>
    <s v="RABO GOLD CARD"/>
    <m/>
    <x v="3"/>
    <x v="17"/>
    <d v="2019-12-01T00:00:00"/>
    <d v="2019-12-01T00:00:00"/>
    <n v="2.4"/>
    <n v="2.4"/>
    <m/>
    <s v="correctie"/>
    <x v="4"/>
    <x v="7"/>
    <x v="58"/>
  </r>
  <r>
    <n v="2100"/>
    <s v="BNPPARIBAS"/>
    <m/>
    <x v="4"/>
    <x v="57"/>
    <d v="2020-10-16T00:00:00"/>
    <d v="2020-10-16T00:00:00"/>
    <n v="-73.98"/>
    <n v="73.98"/>
    <s v="FR7630004023210000047150210"/>
    <s v="SMIT RENE"/>
    <x v="4"/>
    <x v="7"/>
    <x v="58"/>
  </r>
  <r>
    <n v="2106"/>
    <s v="KAS"/>
    <m/>
    <x v="4"/>
    <x v="57"/>
    <d v="2020-10-08T00:00:00"/>
    <d v="2020-10-08T00:00:00"/>
    <n v="-5"/>
    <n v="5"/>
    <m/>
    <s v="Joost"/>
    <x v="4"/>
    <x v="7"/>
    <x v="58"/>
  </r>
  <r>
    <n v="2296"/>
    <s v="NL22RABO0381604934"/>
    <m/>
    <x v="4"/>
    <x v="60"/>
    <d v="2020-08-07T00:00:00"/>
    <d v="2020-08-07T00:00:00"/>
    <n v="-20"/>
    <n v="20"/>
    <m/>
    <s v="WIKKERINK WINTERSWIJK WINTERSWYK"/>
    <x v="4"/>
    <x v="7"/>
    <x v="58"/>
  </r>
  <r>
    <n v="2297"/>
    <s v="NL22RABO0381604934"/>
    <m/>
    <x v="4"/>
    <x v="60"/>
    <d v="2020-08-07T00:00:00"/>
    <d v="2020-08-07T00:00:00"/>
    <n v="20"/>
    <n v="20"/>
    <m/>
    <s v="Mw E van den Bergh"/>
    <x v="4"/>
    <x v="7"/>
    <x v="58"/>
  </r>
  <r>
    <n v="2343"/>
    <s v="NL22RABO0381604934"/>
    <m/>
    <x v="4"/>
    <x v="60"/>
    <d v="2020-08-22T00:00:00"/>
    <d v="2020-08-22T00:00:00"/>
    <n v="-3.6"/>
    <n v="3.6"/>
    <m/>
    <s v="Jumbo 236587 WINTERSWIJK"/>
    <x v="4"/>
    <x v="7"/>
    <x v="58"/>
  </r>
  <r>
    <n v="2345"/>
    <s v="NL22RABO0381604934"/>
    <m/>
    <x v="4"/>
    <x v="60"/>
    <d v="2020-08-23T00:00:00"/>
    <d v="2020-08-23T00:00:00"/>
    <n v="3.6"/>
    <n v="3.6"/>
    <s v="NL65INGB0659312603"/>
    <s v="Mw E van den Bergh"/>
    <x v="4"/>
    <x v="7"/>
    <x v="58"/>
  </r>
  <r>
    <n v="2455"/>
    <s v="NL22RABO0381604934"/>
    <m/>
    <x v="4"/>
    <x v="57"/>
    <d v="2020-10-16T00:00:00"/>
    <d v="2020-10-16T00:00:00"/>
    <n v="73.98"/>
    <n v="73.98"/>
    <s v="FR7630004023210000047150210"/>
    <s v="SMIT RENE"/>
    <x v="4"/>
    <x v="7"/>
    <x v="58"/>
  </r>
  <r>
    <n v="2462"/>
    <s v="NL22RABO0381604934"/>
    <m/>
    <x v="4"/>
    <x v="57"/>
    <d v="2020-10-18T00:00:00"/>
    <d v="2020-10-18T00:00:00"/>
    <n v="-50"/>
    <n v="50"/>
    <m/>
    <s v="Geldmaat Vossenstraat Arnhem"/>
    <x v="4"/>
    <x v="7"/>
    <x v="58"/>
  </r>
  <r>
    <n v="2471"/>
    <s v="NL22RABO0381604934"/>
    <m/>
    <x v="4"/>
    <x v="57"/>
    <d v="2020-10-22T00:00:00"/>
    <d v="2020-10-22T00:00:00"/>
    <n v="55"/>
    <n v="55"/>
    <s v="NL83SNSB0933441983"/>
    <s v="TEUNISSEN J B P"/>
    <x v="4"/>
    <x v="7"/>
    <x v="58"/>
  </r>
  <r>
    <n v="2483"/>
    <s v="NL22RABO0381604934"/>
    <m/>
    <x v="4"/>
    <x v="57"/>
    <d v="2020-10-28T00:00:00"/>
    <d v="2020-10-28T00:00:00"/>
    <n v="-36.97"/>
    <n v="36.97"/>
    <m/>
    <s v="Rabobank Nederland"/>
    <x v="4"/>
    <x v="7"/>
    <x v="58"/>
  </r>
  <r>
    <n v="2504"/>
    <s v="NL22RABO0381604934"/>
    <m/>
    <x v="4"/>
    <x v="59"/>
    <d v="2020-11-11T00:00:00"/>
    <d v="2020-11-11T00:00:00"/>
    <n v="-20"/>
    <n v="20"/>
    <m/>
    <s v="OPLADEN OV-CHIPKAART AMERSFOORT JOOST"/>
    <x v="4"/>
    <x v="7"/>
    <x v="58"/>
  </r>
  <r>
    <n v="2511"/>
    <s v="NL22RABO0381604934"/>
    <m/>
    <x v="4"/>
    <x v="59"/>
    <d v="2020-11-15T00:00:00"/>
    <d v="2020-11-15T00:00:00"/>
    <n v="-7.5"/>
    <n v="7.5"/>
    <s v="NL48RABO0132394782"/>
    <s v="TransferWise by Adyen"/>
    <x v="4"/>
    <x v="7"/>
    <x v="58"/>
  </r>
  <r>
    <n v="2524"/>
    <s v="NL22RABO0381604934"/>
    <m/>
    <x v="4"/>
    <x v="59"/>
    <d v="2020-11-20T00:00:00"/>
    <d v="2020-11-20T00:00:00"/>
    <n v="20"/>
    <n v="20"/>
    <s v="NL83SNSB0933441983"/>
    <s v="TEUNISSEN J B P"/>
    <x v="4"/>
    <x v="7"/>
    <x v="58"/>
  </r>
  <r>
    <n v="2529"/>
    <s v="NL22RABO0381604934"/>
    <m/>
    <x v="4"/>
    <x v="59"/>
    <d v="2020-11-23T00:00:00"/>
    <d v="2020-11-23T00:00:00"/>
    <n v="7.5"/>
    <n v="7.5"/>
    <s v="NL51ABNA0565668625"/>
    <s v="ADYEN NV"/>
    <x v="4"/>
    <x v="7"/>
    <x v="58"/>
  </r>
  <r>
    <n v="2533"/>
    <s v="NL22RABO0381604934"/>
    <m/>
    <x v="4"/>
    <x v="59"/>
    <d v="2020-11-28T00:00:00"/>
    <d v="2020-11-28T00:00:00"/>
    <n v="-7.48"/>
    <n v="7.48"/>
    <m/>
    <s v="Rabobank Nederland"/>
    <x v="4"/>
    <x v="7"/>
    <x v="58"/>
  </r>
  <r>
    <n v="2577"/>
    <s v="NL22RABO0381604934"/>
    <m/>
    <x v="4"/>
    <x v="58"/>
    <d v="2020-12-28T00:00:00"/>
    <d v="2020-12-28T00:00:00"/>
    <n v="-38.340000000000003"/>
    <n v="38.340000000000003"/>
    <m/>
    <s v="Rabobank Nederland"/>
    <x v="4"/>
    <x v="7"/>
    <x v="58"/>
  </r>
  <r>
    <n v="2621"/>
    <s v="RABO GOLD CARD"/>
    <m/>
    <x v="4"/>
    <x v="57"/>
    <d v="2020-10-15T00:00:00"/>
    <d v="2020-10-15T00:00:00"/>
    <n v="-7.5"/>
    <n v="7.5"/>
    <m/>
    <s v="PAYPAL *RKLEWINS         35314369001  NLD"/>
    <x v="4"/>
    <x v="7"/>
    <x v="58"/>
  </r>
  <r>
    <n v="2624"/>
    <s v="RABO GOLD CARD"/>
    <m/>
    <x v="4"/>
    <x v="57"/>
    <d v="2020-10-28T00:00:00"/>
    <d v="2020-10-28T00:00:00"/>
    <n v="36.97"/>
    <n v="36.97"/>
    <m/>
    <s v="Verrekening vorig overzicht"/>
    <x v="4"/>
    <x v="7"/>
    <x v="58"/>
  </r>
  <r>
    <n v="2626"/>
    <s v="RABO GOLD CARD"/>
    <m/>
    <x v="4"/>
    <x v="59"/>
    <d v="2020-11-14T00:00:00"/>
    <d v="2020-11-14T00:00:00"/>
    <n v="7.5"/>
    <n v="7.5"/>
    <m/>
    <s v="PAYPAL *RKLEWINS         35314369001  NLD"/>
    <x v="4"/>
    <x v="7"/>
    <x v="58"/>
  </r>
  <r>
    <n v="2629"/>
    <s v="RABO GOLD CARD"/>
    <m/>
    <x v="4"/>
    <x v="59"/>
    <d v="2020-11-28T00:00:00"/>
    <d v="2020-11-28T00:00:00"/>
    <n v="7.48"/>
    <n v="7.48"/>
    <m/>
    <s v="Verrekening vorig overzicht"/>
    <x v="4"/>
    <x v="7"/>
    <x v="58"/>
  </r>
  <r>
    <n v="2637"/>
    <s v="RABO GOLD CARD"/>
    <m/>
    <x v="4"/>
    <x v="58"/>
    <d v="2020-12-28T00:00:00"/>
    <d v="2020-12-28T00:00:00"/>
    <n v="38.340000000000003"/>
    <n v="38.340000000000003"/>
    <m/>
    <s v="Verrekening vorig overzicht"/>
    <x v="4"/>
    <x v="7"/>
    <x v="58"/>
  </r>
  <r>
    <n v="2638"/>
    <s v="IT47Z3608105138243365043377"/>
    <m/>
    <x v="5"/>
    <x v="26"/>
    <d v="2021-11-15T00:00:00"/>
    <d v="2021-04-15T00:00:00"/>
    <n v="150"/>
    <n v="150"/>
    <m/>
    <s v="KRUIS"/>
    <x v="4"/>
    <x v="7"/>
    <x v="58"/>
  </r>
  <r>
    <n v="2643"/>
    <s v="KAS"/>
    <m/>
    <x v="5"/>
    <x v="26"/>
    <d v="2021-11-19T00:00:00"/>
    <m/>
    <n v="10"/>
    <n v="10"/>
    <m/>
    <s v="kasopname om kaart te activeren"/>
    <x v="4"/>
    <x v="7"/>
    <x v="58"/>
  </r>
  <r>
    <n v="2650"/>
    <s v="KRUIS"/>
    <m/>
    <x v="5"/>
    <x v="64"/>
    <d v="2021-09-18T00:00:00"/>
    <d v="2021-09-18T00:00:00"/>
    <m/>
    <n v="0"/>
    <m/>
    <s v="Joost"/>
    <x v="4"/>
    <x v="7"/>
    <x v="58"/>
  </r>
  <r>
    <n v="2674"/>
    <s v="NL22RABO0381604934"/>
    <m/>
    <x v="5"/>
    <x v="65"/>
    <d v="2021-01-14T00:00:00"/>
    <d v="2021-01-14T00:00:00"/>
    <n v="300"/>
    <n v="300"/>
    <s v="NL24RABO3628561752"/>
    <s v="R.C. Smit"/>
    <x v="4"/>
    <x v="7"/>
    <x v="58"/>
  </r>
  <r>
    <n v="2684"/>
    <s v="NL22RABO0381604934"/>
    <m/>
    <x v="5"/>
    <x v="65"/>
    <d v="2021-01-28T00:00:00"/>
    <d v="2021-01-28T00:00:00"/>
    <n v="-11.57"/>
    <n v="11.57"/>
    <m/>
    <s v="Rabobank Nederland"/>
    <x v="4"/>
    <x v="7"/>
    <x v="58"/>
  </r>
  <r>
    <n v="2710"/>
    <s v="NL22RABO0381604934"/>
    <m/>
    <x v="5"/>
    <x v="63"/>
    <d v="2021-03-01T00:00:00"/>
    <d v="2021-03-01T00:00:00"/>
    <n v="-29.47"/>
    <n v="29.47"/>
    <m/>
    <s v="Rabobank Nederland"/>
    <x v="4"/>
    <x v="7"/>
    <x v="58"/>
  </r>
  <r>
    <n v="2724"/>
    <s v="NL22RABO0381604934"/>
    <m/>
    <x v="5"/>
    <x v="63"/>
    <d v="2021-03-29T00:00:00"/>
    <d v="2021-03-29T00:00:00"/>
    <n v="-14.97"/>
    <n v="14.97"/>
    <m/>
    <s v="Rabobank Nederland"/>
    <x v="4"/>
    <x v="7"/>
    <x v="58"/>
  </r>
  <r>
    <n v="2732"/>
    <s v="NL22RABO0381604934"/>
    <m/>
    <x v="5"/>
    <x v="66"/>
    <d v="2021-04-04T00:00:00"/>
    <d v="2021-04-04T00:00:00"/>
    <n v="500"/>
    <n v="500"/>
    <s v="NL24RABO3628561752"/>
    <s v="R.C. Smit"/>
    <x v="4"/>
    <x v="7"/>
    <x v="58"/>
  </r>
  <r>
    <n v="2743"/>
    <s v="NL22RABO0381604934"/>
    <m/>
    <x v="5"/>
    <x v="66"/>
    <d v="2021-04-15T00:00:00"/>
    <d v="2021-04-15T00:00:00"/>
    <n v="-25"/>
    <n v="25"/>
    <s v="IT47Z3608105138243365043377"/>
    <s v="RC Smit"/>
    <x v="4"/>
    <x v="7"/>
    <x v="58"/>
  </r>
  <r>
    <n v="2750"/>
    <s v="NL22RABO0381604934"/>
    <m/>
    <x v="5"/>
    <x v="66"/>
    <d v="2021-04-23T00:00:00"/>
    <d v="2021-04-23T00:00:00"/>
    <n v="-1000"/>
    <n v="1000"/>
    <s v="NL24RABO3628561752"/>
    <s v="R.C. Smit"/>
    <x v="4"/>
    <x v="7"/>
    <x v="58"/>
  </r>
  <r>
    <n v="2759"/>
    <s v="NL22RABO0381604934"/>
    <m/>
    <x v="5"/>
    <x v="66"/>
    <d v="2021-04-28T00:00:00"/>
    <d v="2021-04-28T00:00:00"/>
    <n v="-28.97"/>
    <n v="28.97"/>
    <m/>
    <s v="Rabobank Nederland"/>
    <x v="4"/>
    <x v="7"/>
    <x v="58"/>
  </r>
  <r>
    <n v="2802"/>
    <s v="NL22RABO0381604934"/>
    <m/>
    <x v="5"/>
    <x v="67"/>
    <d v="2021-05-28T00:00:00"/>
    <d v="2021-05-28T00:00:00"/>
    <n v="-21.97"/>
    <n v="21.97"/>
    <m/>
    <s v="Rabobank Nederland"/>
    <x v="4"/>
    <x v="7"/>
    <x v="58"/>
  </r>
  <r>
    <n v="2803"/>
    <s v="NL22RABO0381604934"/>
    <m/>
    <x v="5"/>
    <x v="67"/>
    <d v="2021-05-28T00:00:00"/>
    <d v="2021-05-28T00:00:00"/>
    <n v="-1100"/>
    <n v="1100"/>
    <s v="NL24RABO3628561752"/>
    <s v="R.C. Smit"/>
    <x v="4"/>
    <x v="7"/>
    <x v="58"/>
  </r>
  <r>
    <n v="2865"/>
    <s v="NL22RABO0381604934"/>
    <m/>
    <x v="5"/>
    <x v="68"/>
    <d v="2021-06-25T00:00:00"/>
    <d v="2021-06-25T00:00:00"/>
    <n v="-900"/>
    <n v="900"/>
    <s v="NL24RABO3628561752"/>
    <s v="R.C. Smit"/>
    <x v="4"/>
    <x v="7"/>
    <x v="58"/>
  </r>
  <r>
    <n v="2868"/>
    <s v="NL22RABO0381604934"/>
    <m/>
    <x v="5"/>
    <x v="68"/>
    <d v="2021-06-28T00:00:00"/>
    <d v="2021-06-28T00:00:00"/>
    <n v="-14.98"/>
    <n v="14.98"/>
    <m/>
    <s v="Rabobank Nederland"/>
    <x v="4"/>
    <x v="7"/>
    <x v="58"/>
  </r>
  <r>
    <n v="2909"/>
    <s v="NL22RABO0381604934"/>
    <m/>
    <x v="5"/>
    <x v="69"/>
    <d v="2021-07-26T00:00:00"/>
    <d v="2021-07-26T00:00:00"/>
    <n v="-1500"/>
    <n v="1500"/>
    <s v="NL24RABO3628561752"/>
    <s v="R.C. Smit"/>
    <x v="4"/>
    <x v="7"/>
    <x v="58"/>
  </r>
  <r>
    <n v="2912"/>
    <s v="NL22RABO0381604934"/>
    <m/>
    <x v="5"/>
    <x v="69"/>
    <d v="2021-07-28T00:00:00"/>
    <d v="2021-07-28T00:00:00"/>
    <n v="-21.65"/>
    <n v="21.65"/>
    <m/>
    <s v="Rabobank Nederland"/>
    <x v="4"/>
    <x v="7"/>
    <x v="58"/>
  </r>
  <r>
    <n v="2945"/>
    <s v="NL22RABO0381604934"/>
    <m/>
    <x v="5"/>
    <x v="70"/>
    <d v="2021-08-27T00:00:00"/>
    <d v="2021-08-27T00:00:00"/>
    <n v="-1188"/>
    <n v="1188"/>
    <s v="NL24RABO3628561752"/>
    <s v="R.C. Smit"/>
    <x v="4"/>
    <x v="7"/>
    <x v="58"/>
  </r>
  <r>
    <n v="2946"/>
    <s v="NL22RABO0381604934"/>
    <m/>
    <x v="5"/>
    <x v="70"/>
    <d v="2021-08-28T00:00:00"/>
    <d v="2021-08-28T00:00:00"/>
    <n v="-7.98"/>
    <n v="7.98"/>
    <m/>
    <s v="Rabobank Nederland"/>
    <x v="4"/>
    <x v="7"/>
    <x v="58"/>
  </r>
  <r>
    <n v="2969"/>
    <s v="NL22RABO0381604934"/>
    <m/>
    <x v="5"/>
    <x v="64"/>
    <d v="2021-09-16T00:00:00"/>
    <d v="2021-09-16T00:00:00"/>
    <n v="-50"/>
    <n v="50"/>
    <m/>
    <s v="Geldmaat Marienburgstr Arnhem"/>
    <x v="4"/>
    <x v="7"/>
    <x v="58"/>
  </r>
  <r>
    <n v="2987"/>
    <s v="NL22RABO0381604934"/>
    <m/>
    <x v="5"/>
    <x v="64"/>
    <d v="2021-09-24T00:00:00"/>
    <d v="2021-09-24T00:00:00"/>
    <n v="-1700"/>
    <n v="1700"/>
    <s v="NL24RABO3628561752"/>
    <s v="R.C. Smit"/>
    <x v="4"/>
    <x v="7"/>
    <x v="58"/>
  </r>
  <r>
    <n v="2991"/>
    <s v="NL22RABO0381604934"/>
    <m/>
    <x v="5"/>
    <x v="64"/>
    <d v="2021-09-28T00:00:00"/>
    <d v="2021-09-28T00:00:00"/>
    <n v="-31.19"/>
    <n v="31.19"/>
    <m/>
    <s v="Rabobank Nederland"/>
    <x v="4"/>
    <x v="7"/>
    <x v="58"/>
  </r>
  <r>
    <n v="2993"/>
    <s v="NL22RABO0381604934"/>
    <m/>
    <x v="5"/>
    <x v="64"/>
    <d v="2021-09-28T00:00:00"/>
    <d v="2021-09-28T00:00:00"/>
    <n v="50"/>
    <n v="50"/>
    <s v="NL83SNSB0933441983"/>
    <s v="J.B.P. Teunissen"/>
    <x v="4"/>
    <x v="7"/>
    <x v="58"/>
  </r>
  <r>
    <n v="3072"/>
    <s v="NL22RABO0381604934"/>
    <m/>
    <x v="5"/>
    <x v="25"/>
    <d v="2021-10-28T00:00:00"/>
    <d v="2021-10-28T00:00:00"/>
    <n v="-333.93"/>
    <n v="333.93"/>
    <m/>
    <s v="Rabobank Nederland"/>
    <x v="4"/>
    <x v="7"/>
    <x v="58"/>
  </r>
  <r>
    <n v="3074"/>
    <s v="NL22RABO0381604934"/>
    <m/>
    <x v="5"/>
    <x v="25"/>
    <d v="2021-10-28T00:00:00"/>
    <d v="2021-10-28T00:00:00"/>
    <n v="300"/>
    <n v="300"/>
    <s v="NL24RABO3628561752"/>
    <s v="R.C. Smit"/>
    <x v="4"/>
    <x v="7"/>
    <x v="58"/>
  </r>
  <r>
    <n v="3092"/>
    <s v="NL22RABO0381604934"/>
    <m/>
    <x v="5"/>
    <x v="26"/>
    <d v="2021-11-02T00:00:00"/>
    <d v="2021-11-02T00:00:00"/>
    <n v="200"/>
    <n v="200"/>
    <s v="NL24RABO3628561752"/>
    <s v="R.C. Smit"/>
    <x v="4"/>
    <x v="7"/>
    <x v="58"/>
  </r>
  <r>
    <n v="3112"/>
    <s v="NL22RABO0381604934"/>
    <m/>
    <x v="5"/>
    <x v="26"/>
    <d v="2021-11-11T00:00:00"/>
    <d v="2021-11-11T00:00:00"/>
    <n v="-10"/>
    <n v="10"/>
    <m/>
    <s v="Geldmaat Marktstraat 8 Musselkanaal"/>
    <x v="4"/>
    <x v="7"/>
    <x v="58"/>
  </r>
  <r>
    <n v="3118"/>
    <s v="NL22RABO0381604934"/>
    <m/>
    <x v="5"/>
    <x v="26"/>
    <d v="2021-11-12T00:00:00"/>
    <d v="2021-11-12T00:00:00"/>
    <n v="300"/>
    <n v="300"/>
    <s v="NL24RABO3628561752"/>
    <s v="R.C. Smit"/>
    <x v="4"/>
    <x v="7"/>
    <x v="58"/>
  </r>
  <r>
    <n v="3119"/>
    <s v="NL22RABO0381604934"/>
    <m/>
    <x v="5"/>
    <x v="26"/>
    <d v="2021-11-12T00:00:00"/>
    <d v="2021-11-15T00:00:00"/>
    <n v="-150"/>
    <n v="150"/>
    <s v="IT47Z3608105138243365043377"/>
    <s v="RC Smit"/>
    <x v="4"/>
    <x v="7"/>
    <x v="58"/>
  </r>
  <r>
    <n v="3129"/>
    <s v="NL22RABO0381604934"/>
    <m/>
    <x v="5"/>
    <x v="26"/>
    <d v="2021-11-17T00:00:00"/>
    <d v="2021-11-17T00:00:00"/>
    <n v="1000"/>
    <n v="1000"/>
    <s v="NL24RABO3628561752"/>
    <s v="R.C. Smit"/>
    <x v="4"/>
    <x v="7"/>
    <x v="58"/>
  </r>
  <r>
    <n v="3138"/>
    <s v="NL22RABO0381604934"/>
    <m/>
    <x v="5"/>
    <x v="26"/>
    <d v="2021-11-24T00:00:00"/>
    <d v="2021-11-24T00:00:00"/>
    <n v="73.260000000000005"/>
    <n v="73.260000000000005"/>
    <m/>
    <s v="Boeking naar betaalrekening"/>
    <x v="4"/>
    <x v="7"/>
    <x v="58"/>
  </r>
  <r>
    <n v="3148"/>
    <s v="NL22RABO0381604934"/>
    <m/>
    <x v="5"/>
    <x v="27"/>
    <d v="2021-12-23T00:00:00"/>
    <d v="2021-12-23T00:00:00"/>
    <n v="-600"/>
    <n v="600"/>
    <s v="NL24RABO3628561752"/>
    <s v="R.C. Smit"/>
    <x v="4"/>
    <x v="7"/>
    <x v="58"/>
  </r>
  <r>
    <n v="3150"/>
    <s v="NL22RABO0381604934"/>
    <m/>
    <x v="5"/>
    <x v="27"/>
    <d v="2021-12-28T00:00:00"/>
    <d v="2021-12-28T00:00:00"/>
    <n v="-241.46"/>
    <n v="241.46"/>
    <m/>
    <s v="Rabobank Nederland"/>
    <x v="4"/>
    <x v="7"/>
    <x v="58"/>
  </r>
  <r>
    <n v="3151"/>
    <s v="NL22RABO0381604934"/>
    <m/>
    <x v="5"/>
    <x v="27"/>
    <d v="2021-12-31T00:00:00"/>
    <d v="2021-12-31T00:00:00"/>
    <n v="800"/>
    <n v="800"/>
    <s v="NL24RABO3628561752"/>
    <s v="R.C. Smit"/>
    <x v="4"/>
    <x v="7"/>
    <x v="58"/>
  </r>
  <r>
    <n v="3153"/>
    <s v="NL24RABO3628561752"/>
    <m/>
    <x v="5"/>
    <x v="65"/>
    <d v="2021-01-14T00:00:00"/>
    <d v="2021-01-14T00:00:00"/>
    <n v="-300"/>
    <n v="300"/>
    <s v="NL22RABO0381604934"/>
    <s v="R.C. SMIT"/>
    <x v="4"/>
    <x v="7"/>
    <x v="58"/>
  </r>
  <r>
    <n v="3154"/>
    <s v="NL24RABO3628561752"/>
    <m/>
    <x v="5"/>
    <x v="66"/>
    <d v="2021-04-04T00:00:00"/>
    <d v="2021-04-04T00:00:00"/>
    <n v="-500"/>
    <n v="500"/>
    <s v="NL22RABO0381604934"/>
    <s v="R.C. Smit"/>
    <x v="4"/>
    <x v="7"/>
    <x v="58"/>
  </r>
  <r>
    <n v="3155"/>
    <s v="NL24RABO3628561752"/>
    <m/>
    <x v="5"/>
    <x v="66"/>
    <d v="2021-04-23T00:00:00"/>
    <d v="2021-04-23T00:00:00"/>
    <n v="1000"/>
    <n v="1000"/>
    <s v="NL22RABO0381604934"/>
    <s v="R.C. Smit"/>
    <x v="4"/>
    <x v="7"/>
    <x v="58"/>
  </r>
  <r>
    <n v="3156"/>
    <s v="NL24RABO3628561752"/>
    <m/>
    <x v="5"/>
    <x v="67"/>
    <d v="2021-05-28T00:00:00"/>
    <d v="2021-05-28T00:00:00"/>
    <n v="1100"/>
    <n v="1100"/>
    <s v="NL22RABO0381604934"/>
    <s v="R.C. Smit"/>
    <x v="4"/>
    <x v="7"/>
    <x v="58"/>
  </r>
  <r>
    <n v="3157"/>
    <s v="NL24RABO3628561752"/>
    <m/>
    <x v="5"/>
    <x v="68"/>
    <d v="2021-06-25T00:00:00"/>
    <d v="2021-06-25T00:00:00"/>
    <n v="900"/>
    <n v="900"/>
    <s v="NL22RABO0381604934"/>
    <s v="R.C. Smit"/>
    <x v="4"/>
    <x v="7"/>
    <x v="58"/>
  </r>
  <r>
    <n v="3158"/>
    <s v="NL24RABO3628561752"/>
    <m/>
    <x v="5"/>
    <x v="69"/>
    <d v="2021-07-26T00:00:00"/>
    <d v="2021-07-26T00:00:00"/>
    <n v="1500"/>
    <n v="1500"/>
    <s v="NL22RABO0381604934"/>
    <s v="R.C. Smit"/>
    <x v="4"/>
    <x v="7"/>
    <x v="58"/>
  </r>
  <r>
    <n v="3159"/>
    <s v="NL24RABO3628561752"/>
    <m/>
    <x v="5"/>
    <x v="70"/>
    <d v="2021-08-27T00:00:00"/>
    <d v="2021-08-27T00:00:00"/>
    <n v="1188"/>
    <n v="1188"/>
    <s v="NL22RABO0381604934"/>
    <s v="R.C. Smit"/>
    <x v="4"/>
    <x v="7"/>
    <x v="58"/>
  </r>
  <r>
    <n v="3160"/>
    <s v="NL24RABO3628561752"/>
    <m/>
    <x v="5"/>
    <x v="64"/>
    <d v="2021-09-24T00:00:00"/>
    <d v="2021-09-24T00:00:00"/>
    <n v="1700"/>
    <n v="1700"/>
    <s v="NL22RABO0381604934"/>
    <s v="R.C. Smit"/>
    <x v="4"/>
    <x v="7"/>
    <x v="58"/>
  </r>
  <r>
    <n v="3161"/>
    <s v="NL24RABO3628561752"/>
    <m/>
    <x v="5"/>
    <x v="25"/>
    <d v="2021-10-28T00:00:00"/>
    <d v="2021-10-28T00:00:00"/>
    <n v="-300"/>
    <n v="300"/>
    <s v="NL22RABO0381604934"/>
    <s v="R.C. Smit"/>
    <x v="4"/>
    <x v="7"/>
    <x v="58"/>
  </r>
  <r>
    <n v="3162"/>
    <s v="NL24RABO3628561752"/>
    <m/>
    <x v="5"/>
    <x v="26"/>
    <d v="2021-11-02T00:00:00"/>
    <d v="2021-11-02T00:00:00"/>
    <n v="-200"/>
    <n v="200"/>
    <s v="NL22RABO0381604934"/>
    <s v="R.C. Smit"/>
    <x v="4"/>
    <x v="7"/>
    <x v="58"/>
  </r>
  <r>
    <n v="3163"/>
    <s v="NL24RABO3628561752"/>
    <m/>
    <x v="5"/>
    <x v="26"/>
    <d v="2021-11-12T00:00:00"/>
    <d v="2021-11-12T00:00:00"/>
    <n v="-300"/>
    <n v="300"/>
    <s v="NL22RABO0381604934"/>
    <s v="R.C. Smit"/>
    <x v="4"/>
    <x v="7"/>
    <x v="58"/>
  </r>
  <r>
    <n v="3164"/>
    <s v="NL24RABO3628561752"/>
    <m/>
    <x v="5"/>
    <x v="26"/>
    <d v="2021-11-17T00:00:00"/>
    <d v="2021-11-17T00:00:00"/>
    <n v="-1000"/>
    <n v="1000"/>
    <s v="NL22RABO0381604934"/>
    <s v="R.C. Smit"/>
    <x v="4"/>
    <x v="7"/>
    <x v="58"/>
  </r>
  <r>
    <n v="3165"/>
    <s v="NL24RABO3628561752"/>
    <m/>
    <x v="5"/>
    <x v="27"/>
    <d v="2021-12-23T00:00:00"/>
    <d v="2021-12-23T00:00:00"/>
    <n v="600"/>
    <n v="600"/>
    <s v="NL22RABO0381604934"/>
    <s v="R.C. Smit"/>
    <x v="4"/>
    <x v="7"/>
    <x v="58"/>
  </r>
  <r>
    <n v="3166"/>
    <s v="NL24RABO3628561752"/>
    <m/>
    <x v="5"/>
    <x v="27"/>
    <d v="2021-12-31T00:00:00"/>
    <d v="2021-12-31T00:00:00"/>
    <n v="-800"/>
    <n v="800"/>
    <s v="NL22RABO0381604934"/>
    <s v="R.C. Smit"/>
    <x v="4"/>
    <x v="7"/>
    <x v="58"/>
  </r>
  <r>
    <n v="3167"/>
    <s v="POSTEPAY"/>
    <m/>
    <x v="5"/>
    <x v="66"/>
    <d v="2021-04-29T00:00:00"/>
    <d v="2021-04-29T00:00:00"/>
    <n v="25"/>
    <n v="25"/>
    <m/>
    <s v="overboeking"/>
    <x v="4"/>
    <x v="7"/>
    <x v="58"/>
  </r>
  <r>
    <n v="3172"/>
    <s v="RABO GOLD CARD"/>
    <m/>
    <x v="5"/>
    <x v="65"/>
    <d v="2021-01-28T00:00:00"/>
    <d v="2021-01-28T00:00:00"/>
    <n v="11.57"/>
    <n v="11.57"/>
    <n v="11.57"/>
    <s v="Verrekening vorig overzicht"/>
    <x v="4"/>
    <x v="7"/>
    <x v="58"/>
  </r>
  <r>
    <n v="3178"/>
    <s v="RABO GOLD CARD"/>
    <m/>
    <x v="5"/>
    <x v="63"/>
    <d v="2021-03-01T00:00:00"/>
    <d v="2021-02-28T00:00:00"/>
    <n v="29.47"/>
    <n v="29.47"/>
    <n v="29.47"/>
    <s v="Verrekening vorig overzicht"/>
    <x v="4"/>
    <x v="7"/>
    <x v="58"/>
  </r>
  <r>
    <n v="3183"/>
    <s v="RABO GOLD CARD"/>
    <m/>
    <x v="5"/>
    <x v="63"/>
    <d v="2021-03-28T00:00:00"/>
    <d v="2021-03-28T00:00:00"/>
    <n v="14.97"/>
    <n v="14.97"/>
    <m/>
    <s v="Verrekening vorig overzicht"/>
    <x v="4"/>
    <x v="7"/>
    <x v="58"/>
  </r>
  <r>
    <n v="3188"/>
    <s v="RABO GOLD CARD"/>
    <m/>
    <x v="5"/>
    <x v="66"/>
    <d v="2021-04-28T00:00:00"/>
    <d v="2021-04-28T00:00:00"/>
    <n v="28.97"/>
    <n v="28.97"/>
    <m/>
    <s v="Verrekening vorig overzicht"/>
    <x v="4"/>
    <x v="7"/>
    <x v="58"/>
  </r>
  <r>
    <n v="3192"/>
    <s v="RABO GOLD CARD"/>
    <m/>
    <x v="5"/>
    <x v="67"/>
    <d v="2021-05-28T00:00:00"/>
    <d v="2021-05-28T00:00:00"/>
    <n v="21.97"/>
    <n v="21.97"/>
    <n v="21.97"/>
    <s v="Verrekening vorig overzicht"/>
    <x v="4"/>
    <x v="7"/>
    <x v="58"/>
  </r>
  <r>
    <n v="3196"/>
    <s v="RABO GOLD CARD"/>
    <m/>
    <x v="5"/>
    <x v="68"/>
    <d v="2021-06-28T00:00:00"/>
    <d v="2021-06-28T00:00:00"/>
    <n v="14.98"/>
    <n v="14.98"/>
    <m/>
    <s v="Verrekening vorig overzicht"/>
    <x v="4"/>
    <x v="7"/>
    <x v="58"/>
  </r>
  <r>
    <n v="3201"/>
    <s v="RABO GOLD CARD"/>
    <m/>
    <x v="5"/>
    <x v="69"/>
    <d v="2021-07-28T00:00:00"/>
    <d v="2021-07-28T00:00:00"/>
    <n v="21.65"/>
    <n v="21.65"/>
    <m/>
    <s v="Verrekening vorig overzicht"/>
    <x v="4"/>
    <x v="7"/>
    <x v="58"/>
  </r>
  <r>
    <n v="3204"/>
    <s v="RABO GOLD CARD"/>
    <m/>
    <x v="5"/>
    <x v="70"/>
    <d v="2021-08-28T00:00:00"/>
    <d v="2021-08-28T00:00:00"/>
    <n v="7.98"/>
    <n v="7.98"/>
    <m/>
    <s v="Verrekening vorig overzicht"/>
    <x v="4"/>
    <x v="7"/>
    <x v="58"/>
  </r>
  <r>
    <n v="3210"/>
    <s v="RABO GOLD CARD"/>
    <m/>
    <x v="5"/>
    <x v="64"/>
    <d v="2021-09-28T00:00:00"/>
    <m/>
    <n v="31.19"/>
    <n v="31.19"/>
    <m/>
    <s v="Verrekening vorig overzicht"/>
    <x v="4"/>
    <x v="7"/>
    <x v="58"/>
  </r>
  <r>
    <n v="3221"/>
    <s v="RABO GOLD CARD"/>
    <m/>
    <x v="5"/>
    <x v="25"/>
    <d v="2021-10-28T00:00:00"/>
    <m/>
    <n v="333.93"/>
    <n v="333.93"/>
    <m/>
    <s v="Verrekening vorig overzicht"/>
    <x v="4"/>
    <x v="7"/>
    <x v="58"/>
  </r>
  <r>
    <n v="3228"/>
    <s v="RABO GOLD CARD"/>
    <m/>
    <x v="5"/>
    <x v="26"/>
    <d v="2021-11-24T00:00:00"/>
    <m/>
    <n v="-73.260000000000005"/>
    <n v="73.260000000000005"/>
    <m/>
    <s v="Boeking naar betaalrekening"/>
    <x v="4"/>
    <x v="7"/>
    <x v="58"/>
  </r>
  <r>
    <n v="3237"/>
    <s v="RABO GOLD CARD"/>
    <m/>
    <x v="5"/>
    <x v="27"/>
    <d v="2021-12-28T00:00:00"/>
    <m/>
    <n v="241.46"/>
    <n v="241.46"/>
    <m/>
    <s v="Verrekening vorig overzicht"/>
    <x v="4"/>
    <x v="7"/>
    <x v="58"/>
  </r>
  <r>
    <n v="3273"/>
    <s v="NL22RABO0381604934"/>
    <m/>
    <x v="6"/>
    <x v="28"/>
    <d v="2022-01-20T00:00:00"/>
    <d v="2022-01-20T00:00:00"/>
    <n v="900"/>
    <n v="900"/>
    <s v="NL24RABO3628561752"/>
    <s v="R.C. Smit"/>
    <x v="4"/>
    <x v="7"/>
    <x v="58"/>
  </r>
  <r>
    <n v="3277"/>
    <s v="NL22RABO0381604934"/>
    <m/>
    <x v="6"/>
    <x v="28"/>
    <d v="2022-01-28T00:00:00"/>
    <d v="2022-01-28T00:00:00"/>
    <n v="-77.94"/>
    <n v="77.94"/>
    <m/>
    <s v="Rabobank Nederland"/>
    <x v="4"/>
    <x v="7"/>
    <x v="58"/>
  </r>
  <r>
    <n v="3287"/>
    <s v="NL22RABO0381604934"/>
    <m/>
    <x v="6"/>
    <x v="30"/>
    <d v="2022-02-28T00:00:00"/>
    <d v="2022-02-28T00:00:00"/>
    <n v="-37.47"/>
    <n v="37.47"/>
    <m/>
    <s v="Rabobank Nederland"/>
    <x v="4"/>
    <x v="7"/>
    <x v="58"/>
  </r>
  <r>
    <n v="3291"/>
    <s v="NL22RABO0381604934"/>
    <m/>
    <x v="6"/>
    <x v="30"/>
    <d v="2022-03-01T00:00:00"/>
    <d v="2022-03-01T00:00:00"/>
    <n v="500"/>
    <n v="500"/>
    <s v="NL24RABO3628561752"/>
    <s v="R.C. Smit"/>
    <x v="4"/>
    <x v="7"/>
    <x v="58"/>
  </r>
  <r>
    <n v="3297"/>
    <s v="NL22RABO0381604934"/>
    <m/>
    <x v="6"/>
    <x v="30"/>
    <d v="2022-03-22T00:00:00"/>
    <d v="2022-03-22T00:00:00"/>
    <n v="900"/>
    <n v="900"/>
    <s v="NL24RABO3628561752"/>
    <s v="R.C. Smit"/>
    <x v="4"/>
    <x v="7"/>
    <x v="58"/>
  </r>
  <r>
    <n v="3300"/>
    <s v="NL22RABO0381604934"/>
    <m/>
    <x v="6"/>
    <x v="30"/>
    <d v="2022-03-28T00:00:00"/>
    <d v="2022-03-28T00:00:00"/>
    <n v="-395.4"/>
    <n v="395.4"/>
    <m/>
    <s v="Rabobank Nederland"/>
    <x v="4"/>
    <x v="7"/>
    <x v="58"/>
  </r>
  <r>
    <n v="3307"/>
    <s v="NL22RABO0381604934"/>
    <m/>
    <x v="6"/>
    <x v="31"/>
    <d v="2022-04-06T00:00:00"/>
    <d v="2022-04-06T00:00:00"/>
    <n v="820"/>
    <n v="820"/>
    <s v="NL24RABO3628561752"/>
    <s v="R.C. Smit"/>
    <x v="4"/>
    <x v="7"/>
    <x v="58"/>
  </r>
  <r>
    <n v="3311"/>
    <s v="NL22RABO0381604934"/>
    <m/>
    <x v="6"/>
    <x v="31"/>
    <d v="2022-04-28T00:00:00"/>
    <d v="2022-04-28T00:00:00"/>
    <n v="-4.2300000000000004"/>
    <n v="4.2300000000000004"/>
    <m/>
    <s v="Rabobank Nederland"/>
    <x v="4"/>
    <x v="7"/>
    <x v="58"/>
  </r>
  <r>
    <n v="3330"/>
    <s v="NL24RABO3628561752"/>
    <m/>
    <x v="6"/>
    <x v="28"/>
    <d v="2022-01-20T00:00:00"/>
    <d v="2022-01-20T00:00:00"/>
    <n v="-900"/>
    <n v="900"/>
    <s v="NL22RABO0381604934"/>
    <s v="R.C. Smit"/>
    <x v="4"/>
    <x v="7"/>
    <x v="58"/>
  </r>
  <r>
    <n v="3331"/>
    <s v="NL24RABO3628561752"/>
    <m/>
    <x v="6"/>
    <x v="30"/>
    <d v="2022-03-01T00:00:00"/>
    <d v="2022-03-01T00:00:00"/>
    <n v="-500"/>
    <n v="500"/>
    <s v="NL22RABO0381604934"/>
    <s v="R.C. Smit"/>
    <x v="4"/>
    <x v="7"/>
    <x v="58"/>
  </r>
  <r>
    <n v="3332"/>
    <s v="NL24RABO3628561752"/>
    <m/>
    <x v="6"/>
    <x v="30"/>
    <d v="2022-03-22T00:00:00"/>
    <d v="2022-03-22T00:00:00"/>
    <n v="-900"/>
    <n v="900"/>
    <s v="NL22RABO0381604934"/>
    <s v="R.C. Smit"/>
    <x v="4"/>
    <x v="7"/>
    <x v="58"/>
  </r>
  <r>
    <n v="3333"/>
    <s v="NL24RABO3628561752"/>
    <m/>
    <x v="6"/>
    <x v="31"/>
    <d v="2022-04-06T00:00:00"/>
    <d v="2022-04-06T00:00:00"/>
    <n v="-820"/>
    <n v="820"/>
    <s v="NL22RABO0381604934"/>
    <s v="R.C. Smit"/>
    <x v="4"/>
    <x v="7"/>
    <x v="58"/>
  </r>
  <r>
    <n v="3344"/>
    <s v="RABO GOLD CARD"/>
    <m/>
    <x v="6"/>
    <x v="28"/>
    <d v="2022-01-28T00:00:00"/>
    <m/>
    <n v="77.94"/>
    <n v="77.94"/>
    <m/>
    <s v="Verrekening vorig overzicht"/>
    <x v="4"/>
    <x v="7"/>
    <x v="58"/>
  </r>
  <r>
    <n v="3354"/>
    <s v="RABO GOLD CARD"/>
    <m/>
    <x v="6"/>
    <x v="30"/>
    <d v="2022-02-28T00:00:00"/>
    <m/>
    <n v="37.47"/>
    <n v="37.47"/>
    <m/>
    <s v="Verrekening vorig overzicht"/>
    <x v="4"/>
    <x v="7"/>
    <x v="58"/>
  </r>
  <r>
    <n v="3375"/>
    <s v="RABO GOLD CARD"/>
    <m/>
    <x v="6"/>
    <x v="30"/>
    <d v="2022-03-28T00:00:00"/>
    <m/>
    <n v="395.4"/>
    <n v="395.4"/>
    <m/>
    <s v="Verrekening vorig overzicht"/>
    <x v="4"/>
    <x v="7"/>
    <x v="58"/>
  </r>
  <r>
    <n v="3382"/>
    <s v="RABO GOLD CARD"/>
    <m/>
    <x v="6"/>
    <x v="31"/>
    <d v="2022-04-28T00:00:00"/>
    <m/>
    <n v="4.2300000000000004"/>
    <n v="4.2300000000000004"/>
    <m/>
    <s v="Verrekening vorig overzicht"/>
    <x v="4"/>
    <x v="7"/>
    <x v="58"/>
  </r>
  <r>
    <n v="202208001"/>
    <s v="NL22RABO0381604934"/>
    <s v="EUR"/>
    <x v="6"/>
    <x v="32"/>
    <d v="2022-05-25T00:00:00"/>
    <d v="2022-05-25T00:00:00"/>
    <n v="-10"/>
    <n v="10"/>
    <m/>
    <s v="Geldmaat Marktstraat 8 Musselkanaal"/>
    <x v="4"/>
    <x v="7"/>
    <x v="58"/>
  </r>
  <r>
    <n v="202208005"/>
    <s v="NL22RABO0381604934"/>
    <s v="EUR"/>
    <x v="6"/>
    <x v="32"/>
    <d v="2022-05-28T00:00:00"/>
    <d v="2022-05-28T00:00:00"/>
    <n v="-32.61"/>
    <n v="32.61"/>
    <m/>
    <s v="Rabobank Nederland"/>
    <x v="4"/>
    <x v="7"/>
    <x v="58"/>
  </r>
  <r>
    <n v="202208006"/>
    <s v="NL22RABO0381604934"/>
    <s v="EUR"/>
    <x v="6"/>
    <x v="32"/>
    <d v="2022-05-30T00:00:00"/>
    <d v="2022-05-30T00:00:00"/>
    <n v="-200"/>
    <n v="200"/>
    <s v="NL83SNSB0933441983"/>
    <s v="J.B.P. Teunissen"/>
    <x v="4"/>
    <x v="7"/>
    <x v="58"/>
  </r>
  <r>
    <n v="202208006"/>
    <s v="NL22RABO0381604934"/>
    <s v="EUR"/>
    <x v="6"/>
    <x v="32"/>
    <d v="2022-05-30T00:00:00"/>
    <d v="2022-05-30T00:00:00"/>
    <n v="200"/>
    <n v="200"/>
    <s v="NL83SNSB0933441983"/>
    <s v="J.B.P. Teunissen"/>
    <x v="4"/>
    <x v="7"/>
    <x v="58"/>
  </r>
  <r>
    <n v="202208046"/>
    <s v="NL22RABO0381604934"/>
    <s v="EUR"/>
    <x v="6"/>
    <x v="71"/>
    <d v="2022-06-26T00:00:00"/>
    <d v="2022-06-26T00:00:00"/>
    <n v="-1750"/>
    <n v="1750"/>
    <s v="NL24RABO3628561752"/>
    <s v="R.C. Smit"/>
    <x v="4"/>
    <x v="7"/>
    <x v="58"/>
  </r>
  <r>
    <n v="202208047"/>
    <s v="NL22RABO0381604934"/>
    <s v="EUR"/>
    <x v="6"/>
    <x v="71"/>
    <d v="2022-06-28T00:00:00"/>
    <d v="2022-06-28T00:00:00"/>
    <n v="-14.98"/>
    <n v="14.98"/>
    <m/>
    <s v="Rabobank Nederland"/>
    <x v="4"/>
    <x v="7"/>
    <x v="58"/>
  </r>
  <r>
    <n v="202208066"/>
    <s v="NL22RABO0381604934"/>
    <s v="EUR"/>
    <x v="6"/>
    <x v="72"/>
    <d v="2022-07-10T00:00:00"/>
    <d v="2022-07-10T00:00:00"/>
    <n v="-20"/>
    <n v="20"/>
    <m/>
    <s v="Geldmaat Past. Huijben Panningen"/>
    <x v="4"/>
    <x v="7"/>
    <x v="58"/>
  </r>
  <r>
    <n v="202208069"/>
    <s v="NL22RABO0381604934"/>
    <s v="EUR"/>
    <x v="6"/>
    <x v="72"/>
    <d v="2022-07-12T00:00:00"/>
    <d v="2022-07-12T00:00:00"/>
    <n v="500"/>
    <n v="500"/>
    <s v="NL77RABO0350802467"/>
    <s v="Rabobank inzake Geldmaat"/>
    <x v="4"/>
    <x v="7"/>
    <x v="58"/>
  </r>
  <r>
    <n v="202208090"/>
    <s v="NL22RABO0381604934"/>
    <s v="EUR"/>
    <x v="6"/>
    <x v="72"/>
    <d v="2022-07-22T00:00:00"/>
    <d v="2022-07-22T00:00:00"/>
    <n v="560"/>
    <n v="560"/>
    <s v="BE27652843579073"/>
    <s v="MEJ HANNE PEETERS"/>
    <x v="4"/>
    <x v="7"/>
    <x v="58"/>
  </r>
  <r>
    <n v="202208100"/>
    <s v="NL22RABO0381604934"/>
    <s v="EUR"/>
    <x v="6"/>
    <x v="72"/>
    <d v="2022-07-28T00:00:00"/>
    <d v="2022-07-28T00:00:00"/>
    <n v="-948.31"/>
    <n v="948.31"/>
    <m/>
    <s v="Rabobank Nederland"/>
    <x v="4"/>
    <x v="7"/>
    <x v="58"/>
  </r>
  <r>
    <n v="202208102"/>
    <s v="NL22RABO0381604934"/>
    <s v="EUR"/>
    <x v="6"/>
    <x v="72"/>
    <d v="2022-07-28T00:00:00"/>
    <d v="2022-07-28T00:00:00"/>
    <n v="-22.5"/>
    <n v="22.5"/>
    <m/>
    <s v="Kruidvat 7456 VENLO"/>
    <x v="4"/>
    <x v="7"/>
    <x v="58"/>
  </r>
  <r>
    <n v="202208109"/>
    <s v="NL22RABO0381604934"/>
    <s v="EUR"/>
    <x v="6"/>
    <x v="72"/>
    <d v="2022-07-29T00:00:00"/>
    <d v="2022-07-29T00:00:00"/>
    <n v="-1000"/>
    <n v="1000"/>
    <s v="NL24RABO3628561752"/>
    <s v="R.C. Smit"/>
    <x v="4"/>
    <x v="7"/>
    <x v="58"/>
  </r>
  <r>
    <n v="202208110"/>
    <s v="NL22RABO0381604934"/>
    <s v="EUR"/>
    <x v="6"/>
    <x v="72"/>
    <d v="2022-07-29T00:00:00"/>
    <d v="2022-07-29T00:00:00"/>
    <n v="15"/>
    <n v="15"/>
    <s v="NL13ABNA0506417344"/>
    <s v="AAB INZ TIKKIE covid tests"/>
    <x v="4"/>
    <x v="7"/>
    <x v="58"/>
  </r>
  <r>
    <n v="202208116"/>
    <s v="NL22RABO0381604934"/>
    <s v="EUR"/>
    <x v="6"/>
    <x v="72"/>
    <d v="2022-07-28T00:00:00"/>
    <d v="2022-08-01T00:00:00"/>
    <n v="7.5"/>
    <n v="7.5"/>
    <s v="BE27652843579073"/>
    <s v="MEJ HANNE PEETERS"/>
    <x v="4"/>
    <x v="7"/>
    <x v="58"/>
  </r>
  <r>
    <n v="202208135"/>
    <s v="NL22RABO0381604934"/>
    <s v="EUR"/>
    <x v="6"/>
    <x v="40"/>
    <d v="2022-08-09T00:00:00"/>
    <d v="2022-08-09T00:00:00"/>
    <n v="-39.07"/>
    <n v="39.07"/>
    <m/>
    <s v="ALBERT HEIJN 1878 ARNHEM"/>
    <x v="4"/>
    <x v="7"/>
    <x v="58"/>
  </r>
  <r>
    <n v="202208136"/>
    <s v="NL22RABO0381604934"/>
    <s v="EUR"/>
    <x v="6"/>
    <x v="40"/>
    <d v="2022-08-09T00:00:00"/>
    <d v="2022-08-09T00:00:00"/>
    <n v="-50"/>
    <n v="50"/>
    <m/>
    <s v="JOOST SEP*Opladen OV-Chipkaa UTRECHT"/>
    <x v="4"/>
    <x v="7"/>
    <x v="58"/>
  </r>
  <r>
    <n v="202208137"/>
    <s v="NL22RABO0381604934"/>
    <s v="EUR"/>
    <x v="6"/>
    <x v="40"/>
    <d v="2022-08-09T00:00:00"/>
    <d v="2022-08-09T00:00:00"/>
    <n v="-26.2"/>
    <n v="26.2"/>
    <m/>
    <s v="ALBERT HEIJN 1878 ARNHEM"/>
    <x v="4"/>
    <x v="7"/>
    <x v="58"/>
  </r>
  <r>
    <n v="202208139"/>
    <s v="NL22RABO0381604934"/>
    <s v="EUR"/>
    <x v="6"/>
    <x v="40"/>
    <d v="2022-08-09T00:00:00"/>
    <d v="2022-08-09T00:00:00"/>
    <n v="-6"/>
    <n v="6"/>
    <m/>
    <s v="drankjes joost Grand Cafe Metropole ARNHEM"/>
    <x v="4"/>
    <x v="7"/>
    <x v="58"/>
  </r>
  <r>
    <n v="202208140"/>
    <s v="NL22RABO0381604934"/>
    <s v="EUR"/>
    <x v="6"/>
    <x v="40"/>
    <d v="2022-08-10T00:00:00"/>
    <d v="2022-08-10T00:00:00"/>
    <n v="500"/>
    <n v="500"/>
    <s v="NL24RABO3628561752"/>
    <s v="R.C. Smit"/>
    <x v="4"/>
    <x v="7"/>
    <x v="58"/>
  </r>
  <r>
    <n v="202208141"/>
    <s v="NL22RABO0381604934"/>
    <s v="EUR"/>
    <x v="6"/>
    <x v="40"/>
    <d v="2022-08-10T00:00:00"/>
    <d v="2022-08-10T00:00:00"/>
    <n v="121.27"/>
    <n v="121.27"/>
    <s v="NL79INGB0003448888"/>
    <s v="Mevr J M C Meulenbroek"/>
    <x v="4"/>
    <x v="7"/>
    <x v="58"/>
  </r>
  <r>
    <n v="202208164"/>
    <s v="NL24RABO3628561752"/>
    <s v="EUR"/>
    <x v="6"/>
    <x v="71"/>
    <d v="2022-06-26T00:00:00"/>
    <d v="2022-06-26T00:00:00"/>
    <n v="1750"/>
    <n v="1750"/>
    <s v="NL22RABO0381604934"/>
    <s v="R.C. Smit"/>
    <x v="4"/>
    <x v="7"/>
    <x v="58"/>
  </r>
  <r>
    <n v="202208165"/>
    <s v="NL24RABO3628561752"/>
    <s v="EUR"/>
    <x v="6"/>
    <x v="72"/>
    <d v="2022-07-29T00:00:00"/>
    <d v="2022-07-29T00:00:00"/>
    <n v="1000"/>
    <n v="1000"/>
    <s v="NL22RABO0381604934"/>
    <s v="R.C. Smit"/>
    <x v="4"/>
    <x v="7"/>
    <x v="58"/>
  </r>
  <r>
    <n v="202208166"/>
    <s v="NL24RABO3628561752"/>
    <s v="EUR"/>
    <x v="6"/>
    <x v="40"/>
    <d v="2022-08-10T00:00:00"/>
    <d v="2022-08-10T00:00:00"/>
    <n v="-500"/>
    <n v="500"/>
    <s v="NL22RABO0381604934"/>
    <s v="R.C. Smit"/>
    <x v="4"/>
    <x v="7"/>
    <x v="58"/>
  </r>
  <r>
    <n v="202208169"/>
    <s v="RABO GOLD CARD"/>
    <m/>
    <x v="6"/>
    <x v="32"/>
    <d v="2022-05-28T00:00:00"/>
    <d v="2022-05-28T00:00:00"/>
    <n v="32.61"/>
    <n v="32.61"/>
    <m/>
    <s v="Verrekening vorig overzicht"/>
    <x v="4"/>
    <x v="7"/>
    <x v="58"/>
  </r>
  <r>
    <n v="202208173"/>
    <s v="RABO GOLD CARD"/>
    <m/>
    <x v="6"/>
    <x v="71"/>
    <d v="2022-06-28T00:00:00"/>
    <d v="2022-06-28T00:00:00"/>
    <n v="14.98"/>
    <n v="14.98"/>
    <m/>
    <s v="Verrekening vorig overzicht"/>
    <x v="4"/>
    <x v="7"/>
    <x v="58"/>
  </r>
  <r>
    <n v="202208175"/>
    <s v="RABO GOLD CARD"/>
    <m/>
    <x v="6"/>
    <x v="72"/>
    <d v="2022-07-08T00:00:00"/>
    <d v="2022-07-08T00:00:00"/>
    <n v="-185.43"/>
    <n v="185.43"/>
    <m/>
    <s v="VANCANSOLEIL NL EINDHOVEN NLD"/>
    <x v="4"/>
    <x v="7"/>
    <x v="58"/>
  </r>
  <r>
    <n v="202208176"/>
    <s v="RABO GOLD CARD"/>
    <m/>
    <x v="6"/>
    <x v="72"/>
    <d v="2022-07-12T00:00:00"/>
    <d v="2022-07-12T00:00:00"/>
    <n v="-195"/>
    <n v="195"/>
    <m/>
    <s v="MAISON CRIVELLI PARIS FRA"/>
    <x v="4"/>
    <x v="7"/>
    <x v="58"/>
  </r>
  <r>
    <n v="202208178"/>
    <s v="RABO GOLD CARD"/>
    <m/>
    <x v="6"/>
    <x v="72"/>
    <d v="2022-07-21T00:00:00"/>
    <d v="2022-07-21T00:00:00"/>
    <n v="-559.9"/>
    <n v="559.9"/>
    <m/>
    <s v="Swappie Germany gmbh Mannheim DEU"/>
    <x v="4"/>
    <x v="7"/>
    <x v="58"/>
  </r>
  <r>
    <n v="202208179"/>
    <s v="RABO GOLD CARD"/>
    <m/>
    <x v="6"/>
    <x v="72"/>
    <d v="2022-07-28T00:00:00"/>
    <d v="2022-07-28T00:00:00"/>
    <n v="948.31"/>
    <n v="948.31"/>
    <m/>
    <s v="Verrekening vorig overzicht"/>
    <x v="4"/>
    <x v="7"/>
    <x v="58"/>
  </r>
  <r>
    <n v="202208187"/>
    <s v="RABO GOLD CARD"/>
    <s v="EUR"/>
    <x v="6"/>
    <x v="40"/>
    <d v="2022-08-25T00:00:00"/>
    <d v="2022-08-25T00:00:00"/>
    <n v="570.27"/>
    <n v="570.27"/>
    <n v="570.27"/>
    <s v="Verrekening vorig overzicht"/>
    <x v="4"/>
    <x v="7"/>
    <x v="58"/>
  </r>
  <r>
    <n v="202208502"/>
    <s v="KAS"/>
    <m/>
    <x v="6"/>
    <x v="32"/>
    <d v="2022-05-25T00:00:00"/>
    <d v="2022-05-25T00:00:00"/>
    <n v="10"/>
    <n v="10"/>
    <m/>
    <s v="kasopname"/>
    <x v="4"/>
    <x v="7"/>
    <x v="58"/>
  </r>
  <r>
    <n v="202208505"/>
    <s v="KAS"/>
    <m/>
    <x v="6"/>
    <x v="72"/>
    <d v="2022-07-08T00:00:00"/>
    <d v="2022-07-08T00:00:00"/>
    <n v="185.33"/>
    <n v="185.33"/>
    <m/>
    <s v="BETAALD VOOR KLANT VIA CC"/>
    <x v="4"/>
    <x v="7"/>
    <x v="58"/>
  </r>
  <r>
    <n v="202208506"/>
    <s v="ITALIAANSE REK"/>
    <m/>
    <x v="6"/>
    <x v="72"/>
    <d v="2022-07-08T00:00:00"/>
    <d v="2022-07-08T00:00:00"/>
    <n v="-150"/>
    <n v="150"/>
    <m/>
    <s v="KASOPNAME IT REKENING"/>
    <x v="4"/>
    <x v="7"/>
    <x v="58"/>
  </r>
  <r>
    <n v="202208506"/>
    <s v="KAS"/>
    <m/>
    <x v="6"/>
    <x v="72"/>
    <d v="2022-07-08T00:00:00"/>
    <d v="2022-07-08T00:00:00"/>
    <n v="150"/>
    <n v="150"/>
    <m/>
    <s v="KASOPNAME IT REKENING"/>
    <x v="4"/>
    <x v="7"/>
    <x v="58"/>
  </r>
  <r>
    <n v="202208507"/>
    <s v="KAS"/>
    <m/>
    <x v="6"/>
    <x v="72"/>
    <d v="2022-07-08T00:00:00"/>
    <d v="2022-07-08T00:00:00"/>
    <n v="20"/>
    <n v="20"/>
    <m/>
    <s v="KASOPNAME"/>
    <x v="4"/>
    <x v="7"/>
    <x v="58"/>
  </r>
  <r>
    <n v="202208511"/>
    <s v="KAS"/>
    <m/>
    <x v="6"/>
    <x v="72"/>
    <d v="2022-07-12T00:00:00"/>
    <d v="2022-07-12T00:00:00"/>
    <n v="-500"/>
    <n v="500"/>
    <m/>
    <s v="AFGESTORT"/>
    <x v="4"/>
    <x v="7"/>
    <x v="58"/>
  </r>
  <r>
    <n v="202210004"/>
    <s v="NL22RABO0381604934"/>
    <s v="EUR"/>
    <x v="6"/>
    <x v="40"/>
    <d v="2022-08-29T00:00:00"/>
    <d v="2022-08-29T00:00:00"/>
    <n v="-570.27"/>
    <n v="570.27"/>
    <m/>
    <s v="Rabobank Nederland"/>
    <x v="4"/>
    <x v="7"/>
    <x v="58"/>
  </r>
  <r>
    <n v="202210007"/>
    <s v="NL22RABO0381604934"/>
    <s v="EUR"/>
    <x v="6"/>
    <x v="40"/>
    <d v="2022-08-31T00:00:00"/>
    <d v="2022-08-31T00:00:00"/>
    <n v="-1200"/>
    <n v="1200"/>
    <s v="NL24RABO3628561752"/>
    <s v="R.C. Smit"/>
    <x v="4"/>
    <x v="7"/>
    <x v="58"/>
  </r>
  <r>
    <n v="202210008"/>
    <s v="NL24RABO3628561752"/>
    <s v="EUR"/>
    <x v="6"/>
    <x v="40"/>
    <d v="2022-08-31T00:00:00"/>
    <d v="2022-08-31T00:00:00"/>
    <n v="1200"/>
    <n v="1200"/>
    <s v="NL22RABO0381604934"/>
    <s v="R.C. Smit"/>
    <x v="4"/>
    <x v="7"/>
    <x v="58"/>
  </r>
  <r>
    <n v="202210042"/>
    <s v="NL22RABO0381604934"/>
    <s v="EUR"/>
    <x v="6"/>
    <x v="73"/>
    <d v="2022-09-24T00:00:00"/>
    <d v="2022-09-24T00:00:00"/>
    <n v="180.02"/>
    <n v="180.02"/>
    <m/>
    <s v="KRUIS"/>
    <x v="4"/>
    <x v="7"/>
    <x v="58"/>
  </r>
  <r>
    <n v="202210047"/>
    <s v="NL22RABO0381604934"/>
    <s v="EUR"/>
    <x v="6"/>
    <x v="73"/>
    <d v="2022-09-27T00:00:00"/>
    <d v="2022-09-27T00:00:00"/>
    <n v="-1500"/>
    <n v="1500"/>
    <s v="NL24RABO3628561752"/>
    <s v="R.C. Smit"/>
    <x v="4"/>
    <x v="7"/>
    <x v="58"/>
  </r>
  <r>
    <n v="202210048"/>
    <s v="NL24RABO3628561752"/>
    <s v="EUR"/>
    <x v="6"/>
    <x v="73"/>
    <d v="2022-09-27T00:00:00"/>
    <d v="2022-09-27T00:00:00"/>
    <n v="1500"/>
    <n v="1500"/>
    <s v="NL22RABO0381604934"/>
    <s v="R.C. Smit"/>
    <x v="4"/>
    <x v="7"/>
    <x v="58"/>
  </r>
  <r>
    <n v="202210056"/>
    <s v="RABO GOLD CARD"/>
    <s v="EUR"/>
    <x v="6"/>
    <x v="73"/>
    <d v="2022-09-05T00:00:00"/>
    <m/>
    <n v="195"/>
    <n v="195"/>
    <m/>
    <s v="VERGOEDING TRANSACTIE 20220712"/>
    <x v="4"/>
    <x v="7"/>
    <x v="58"/>
  </r>
  <r>
    <n v="202210059"/>
    <s v="RABO GOLD CARD"/>
    <s v="EUR"/>
    <x v="6"/>
    <x v="73"/>
    <d v="2022-09-24T00:00:00"/>
    <m/>
    <n v="-180.02"/>
    <n v="180.02"/>
    <m/>
    <s v="Boeking naar betaalrekening"/>
    <x v="4"/>
    <x v="7"/>
    <x v="58"/>
  </r>
  <r>
    <n v="202301028"/>
    <s v="NL22RABO0381604934"/>
    <s v="EUR"/>
    <x v="6"/>
    <x v="34"/>
    <d v="2022-10-14T00:00:00"/>
    <d v="2022-10-14T00:00:00"/>
    <n v="500.3"/>
    <m/>
    <s v="NL24RABO3628561752"/>
    <s v="R.C. Smit"/>
    <x v="4"/>
    <x v="7"/>
    <x v="58"/>
  </r>
  <r>
    <n v="202301039"/>
    <s v="NL22RABO0381604934"/>
    <s v="EUR"/>
    <x v="6"/>
    <x v="34"/>
    <d v="2022-10-28T00:00:00"/>
    <d v="2022-10-28T00:00:00"/>
    <n v="-644.27"/>
    <m/>
    <m/>
    <s v="Rabobank Nederland"/>
    <x v="4"/>
    <x v="7"/>
    <x v="58"/>
  </r>
  <r>
    <n v="202301061"/>
    <s v="NL22RABO0381604934"/>
    <s v="EUR"/>
    <x v="6"/>
    <x v="35"/>
    <d v="2022-11-07T00:00:00"/>
    <d v="2022-11-07T00:00:00"/>
    <n v="250"/>
    <m/>
    <s v="NL24RABO3628561752"/>
    <s v="R.C. Smit"/>
    <x v="4"/>
    <x v="7"/>
    <x v="58"/>
  </r>
  <r>
    <n v="202301069"/>
    <s v="NL22RABO0381604934"/>
    <s v="EUR"/>
    <x v="6"/>
    <x v="35"/>
    <d v="2022-11-17T00:00:00"/>
    <d v="2022-11-18T00:00:00"/>
    <n v="-100"/>
    <m/>
    <s v="DE45202208000094841595"/>
    <s v="Revolut Payments UAB"/>
    <x v="4"/>
    <x v="7"/>
    <x v="58"/>
  </r>
  <r>
    <n v="202301079"/>
    <s v="NL22RABO0381604934"/>
    <s v="EUR"/>
    <x v="6"/>
    <x v="35"/>
    <d v="2022-11-27T00:00:00"/>
    <d v="2022-11-27T00:00:00"/>
    <n v="630"/>
    <m/>
    <s v="NL24RABO3628561752"/>
    <s v="R.C. Smit"/>
    <x v="4"/>
    <x v="7"/>
    <x v="58"/>
  </r>
  <r>
    <n v="202301080"/>
    <s v="NL22RABO0381604934"/>
    <s v="EUR"/>
    <x v="6"/>
    <x v="35"/>
    <d v="2022-11-28T00:00:00"/>
    <d v="2022-11-28T00:00:00"/>
    <n v="-647.84"/>
    <m/>
    <m/>
    <s v="Rabobank Nederland"/>
    <x v="4"/>
    <x v="7"/>
    <x v="58"/>
  </r>
  <r>
    <n v="202301087"/>
    <s v="NL22RABO0381604934"/>
    <s v="EUR"/>
    <x v="6"/>
    <x v="33"/>
    <d v="2022-12-17T00:00:00"/>
    <d v="2022-12-17T00:00:00"/>
    <n v="900"/>
    <m/>
    <s v="NL24RABO3628561752"/>
    <s v="R.C. Smit"/>
    <x v="4"/>
    <x v="7"/>
    <x v="58"/>
  </r>
  <r>
    <n v="202301093"/>
    <s v="NL22RABO0381604934"/>
    <s v="EUR"/>
    <x v="6"/>
    <x v="33"/>
    <d v="2022-12-25T00:00:00"/>
    <d v="2022-12-25T00:00:00"/>
    <n v="700"/>
    <m/>
    <s v="NL24RABO3628561752"/>
    <s v="R.C. Smit"/>
    <x v="4"/>
    <x v="7"/>
    <x v="58"/>
  </r>
  <r>
    <n v="202301095"/>
    <s v="NL22RABO0381604934"/>
    <s v="EUR"/>
    <x v="6"/>
    <x v="33"/>
    <d v="2022-12-28T00:00:00"/>
    <d v="2022-12-28T00:00:00"/>
    <n v="-24.75"/>
    <m/>
    <m/>
    <s v="Rabobank Nederland"/>
    <x v="4"/>
    <x v="7"/>
    <x v="58"/>
  </r>
  <r>
    <n v="202301096"/>
    <s v="NL24RABO3628561752"/>
    <s v="EUR"/>
    <x v="6"/>
    <x v="34"/>
    <d v="2022-10-14T00:00:00"/>
    <d v="2022-10-14T00:00:00"/>
    <n v="-500.3"/>
    <m/>
    <s v="NL22RABO0381604934"/>
    <s v="R.C. Smit"/>
    <x v="4"/>
    <x v="7"/>
    <x v="58"/>
  </r>
  <r>
    <n v="202301097"/>
    <s v="NL24RABO3628561752"/>
    <s v="EUR"/>
    <x v="6"/>
    <x v="35"/>
    <d v="2022-11-07T00:00:00"/>
    <d v="2022-11-07T00:00:00"/>
    <n v="-250"/>
    <m/>
    <s v="NL22RABO0381604934"/>
    <s v="R.C. Smit"/>
    <x v="4"/>
    <x v="7"/>
    <x v="58"/>
  </r>
  <r>
    <n v="202301098"/>
    <s v="NL24RABO3628561752"/>
    <s v="EUR"/>
    <x v="6"/>
    <x v="35"/>
    <d v="2022-11-27T00:00:00"/>
    <d v="2022-11-27T00:00:00"/>
    <n v="-630"/>
    <m/>
    <s v="NL22RABO0381604934"/>
    <s v="R.C. Smit"/>
    <x v="4"/>
    <x v="7"/>
    <x v="58"/>
  </r>
  <r>
    <n v="202301099"/>
    <s v="NL24RABO3628561752"/>
    <s v="EUR"/>
    <x v="6"/>
    <x v="33"/>
    <d v="2022-12-17T00:00:00"/>
    <d v="2022-12-17T00:00:00"/>
    <n v="-900"/>
    <m/>
    <s v="NL22RABO0381604934"/>
    <s v="R.C. Smit"/>
    <x v="4"/>
    <x v="7"/>
    <x v="58"/>
  </r>
  <r>
    <n v="202301100"/>
    <s v="NL24RABO3628561752"/>
    <s v="EUR"/>
    <x v="6"/>
    <x v="33"/>
    <d v="2022-12-25T00:00:00"/>
    <d v="2022-12-25T00:00:00"/>
    <n v="-700"/>
    <m/>
    <s v="NL22RABO0381604934"/>
    <s v="R.C. Smit"/>
    <x v="4"/>
    <x v="7"/>
    <x v="58"/>
  </r>
  <r>
    <n v="202301104"/>
    <s v="RABO GOLD CARD"/>
    <m/>
    <x v="6"/>
    <x v="34"/>
    <d v="2022-10-08T00:00:00"/>
    <m/>
    <n v="-100"/>
    <m/>
    <m/>
    <s v="Revolut**5063*           Dublin       IRL"/>
    <x v="4"/>
    <x v="7"/>
    <x v="58"/>
  </r>
  <r>
    <n v="202301105"/>
    <s v="RABO GOLD CARD"/>
    <m/>
    <x v="6"/>
    <x v="34"/>
    <d v="2022-10-14T00:00:00"/>
    <m/>
    <m/>
    <m/>
    <m/>
    <s v="GELDMAAT VOSSENSTRAAT 1  ARNHEM       NLD 500 euro"/>
    <x v="4"/>
    <x v="7"/>
    <x v="58"/>
  </r>
  <r>
    <n v="202301111"/>
    <s v="RABO GOLD CARD"/>
    <m/>
    <x v="6"/>
    <x v="34"/>
    <d v="2022-10-28T00:00:00"/>
    <m/>
    <n v="644.27"/>
    <m/>
    <m/>
    <s v="Verrekening vorig overzicht"/>
    <x v="4"/>
    <x v="7"/>
    <x v="58"/>
  </r>
  <r>
    <n v="202301120"/>
    <s v="RABO GOLD CARD"/>
    <m/>
    <x v="6"/>
    <x v="35"/>
    <d v="2022-11-28T00:00:00"/>
    <m/>
    <n v="647.84"/>
    <m/>
    <m/>
    <s v="Verrekening vorig overzicht"/>
    <x v="4"/>
    <x v="7"/>
    <x v="58"/>
  </r>
  <r>
    <n v="202301128"/>
    <s v="RABO GOLD CARD"/>
    <m/>
    <x v="6"/>
    <x v="33"/>
    <d v="2022-12-28T00:00:00"/>
    <m/>
    <n v="24.75"/>
    <m/>
    <m/>
    <s v="Verrekening vorig overzicht"/>
    <x v="4"/>
    <x v="7"/>
    <x v="58"/>
  </r>
  <r>
    <n v="202301131"/>
    <s v="REVOLUT"/>
    <m/>
    <x v="6"/>
    <x v="34"/>
    <d v="2022-10-08T00:00:00"/>
    <m/>
    <n v="100"/>
    <m/>
    <m/>
    <s v="Card Top-Up"/>
    <x v="4"/>
    <x v="7"/>
    <x v="58"/>
  </r>
  <r>
    <n v="202301136"/>
    <s v="REVOLUT"/>
    <m/>
    <x v="6"/>
    <x v="35"/>
    <d v="2022-11-17T16:21:41"/>
    <m/>
    <n v="100"/>
    <m/>
    <m/>
    <s v="IDEAL Top-Up"/>
    <x v="4"/>
    <x v="7"/>
    <x v="58"/>
  </r>
  <r>
    <n v="202301147"/>
    <s v="PAYPAL"/>
    <m/>
    <x v="6"/>
    <x v="33"/>
    <d v="2022-12-25T00:00:00"/>
    <m/>
    <n v="501"/>
    <m/>
    <m/>
    <s v="18000 bahtomgewisseld"/>
    <x v="4"/>
    <x v="7"/>
    <x v="58"/>
  </r>
  <r>
    <n v="202301148"/>
    <s v="KAS"/>
    <m/>
    <x v="6"/>
    <x v="33"/>
    <d v="2022-12-25T00:00:00"/>
    <m/>
    <n v="-501"/>
    <m/>
    <m/>
    <s v="18000 bahtomgewisseld"/>
    <x v="4"/>
    <x v="7"/>
    <x v="58"/>
  </r>
  <r>
    <n v="202305008"/>
    <s v="NL22RABO0381604934"/>
    <s v="EUR"/>
    <x v="0"/>
    <x v="42"/>
    <d v="2023-01-18T00:00:00"/>
    <d v="2023-01-18T00:00:00"/>
    <n v="500"/>
    <n v="449.49"/>
    <s v="NL24RABO3628561752"/>
    <s v="R.C. Smit"/>
    <x v="4"/>
    <x v="7"/>
    <x v="58"/>
  </r>
  <r>
    <n v="202305014"/>
    <s v="NL22RABO0381604934"/>
    <s v="EUR"/>
    <x v="0"/>
    <x v="42"/>
    <d v="2023-01-28T00:00:00"/>
    <d v="2023-01-28T00:00:00"/>
    <n v="-7.98"/>
    <n v="479.47"/>
    <m/>
    <s v="Rabobank Nederland"/>
    <x v="4"/>
    <x v="7"/>
    <x v="58"/>
  </r>
  <r>
    <n v="202305031"/>
    <s v="NL22RABO0381604934"/>
    <s v="EUR"/>
    <x v="0"/>
    <x v="0"/>
    <d v="2023-02-28T00:00:00"/>
    <d v="2023-02-28T00:00:00"/>
    <n v="-16.36"/>
    <n v="278.62"/>
    <m/>
    <s v="Rabobank Nederland"/>
    <x v="4"/>
    <x v="7"/>
    <x v="58"/>
  </r>
  <r>
    <n v="202305043"/>
    <s v="NL22RABO0381604934"/>
    <s v="EUR"/>
    <x v="0"/>
    <x v="74"/>
    <d v="2023-03-06T00:00:00"/>
    <d v="2023-03-06T00:00:00"/>
    <n v="400"/>
    <n v="390.63"/>
    <s v="NL24RABO3628561752"/>
    <s v="R.C. Smit"/>
    <x v="4"/>
    <x v="7"/>
    <x v="58"/>
  </r>
  <r>
    <n v="202305056"/>
    <s v="NL22RABO0381604934"/>
    <s v="EUR"/>
    <x v="0"/>
    <x v="74"/>
    <d v="2023-03-24T00:00:00"/>
    <d v="2023-03-24T00:00:00"/>
    <n v="-2100"/>
    <n v="418.14"/>
    <s v="NL24RABO3628561752"/>
    <s v="R.C. Smit"/>
    <x v="4"/>
    <x v="7"/>
    <x v="58"/>
  </r>
  <r>
    <n v="202305061"/>
    <s v="NL22RABO0381604934"/>
    <s v="EUR"/>
    <x v="0"/>
    <x v="74"/>
    <d v="2023-03-28T00:00:00"/>
    <d v="2023-03-28T00:00:00"/>
    <n v="-7.98"/>
    <n v="331.92"/>
    <m/>
    <s v="Rabobank Nederland"/>
    <x v="4"/>
    <x v="7"/>
    <x v="58"/>
  </r>
  <r>
    <n v="202305082"/>
    <s v="NL22RABO0381604934"/>
    <s v="EUR"/>
    <x v="0"/>
    <x v="75"/>
    <d v="2023-04-15T00:00:00"/>
    <d v="2023-04-15T00:00:00"/>
    <n v="200"/>
    <n v="171.62"/>
    <s v="NL24RABO3628561752"/>
    <s v="R.C. Smit"/>
    <x v="4"/>
    <x v="7"/>
    <x v="58"/>
  </r>
  <r>
    <n v="202305102"/>
    <s v="NL22RABO0381604934"/>
    <s v="EUR"/>
    <x v="0"/>
    <x v="75"/>
    <d v="2023-04-25T00:00:00"/>
    <d v="2023-04-25T00:00:00"/>
    <n v="-1500"/>
    <n v="560.25"/>
    <s v="NL24RABO3628561752"/>
    <s v="R.C. Smit"/>
    <x v="4"/>
    <x v="7"/>
    <x v="58"/>
  </r>
  <r>
    <n v="202305111"/>
    <s v="NL22RABO0381604934"/>
    <s v="EUR"/>
    <x v="0"/>
    <x v="75"/>
    <d v="2023-04-28T00:00:00"/>
    <d v="2023-04-28T00:00:00"/>
    <n v="-7.98"/>
    <n v="507.17"/>
    <m/>
    <s v="Rabobank Nederland"/>
    <x v="4"/>
    <x v="7"/>
    <x v="58"/>
  </r>
  <r>
    <n v="202305133"/>
    <s v="NL24RABO3628561752"/>
    <s v="EUR"/>
    <x v="0"/>
    <x v="42"/>
    <d v="2023-01-18T00:00:00"/>
    <d v="2023-01-18T00:00:00"/>
    <n v="-500"/>
    <n v="7628.02"/>
    <s v="NL22RABO0381604934"/>
    <s v="R.C. Smit"/>
    <x v="4"/>
    <x v="7"/>
    <x v="58"/>
  </r>
  <r>
    <n v="202305134"/>
    <s v="NL24RABO3628561752"/>
    <s v="EUR"/>
    <x v="0"/>
    <x v="74"/>
    <d v="2023-03-06T00:00:00"/>
    <d v="2023-03-06T00:00:00"/>
    <n v="-400"/>
    <n v="7228.02"/>
    <s v="NL22RABO0381604934"/>
    <s v="R.C. Smit"/>
    <x v="4"/>
    <x v="7"/>
    <x v="58"/>
  </r>
  <r>
    <n v="202305135"/>
    <s v="NL24RABO3628561752"/>
    <s v="EUR"/>
    <x v="0"/>
    <x v="74"/>
    <d v="2023-03-24T00:00:00"/>
    <d v="2023-03-24T00:00:00"/>
    <n v="2100"/>
    <n v="9328.02"/>
    <s v="NL22RABO0381604934"/>
    <s v="R.C. Smit"/>
    <x v="4"/>
    <x v="7"/>
    <x v="58"/>
  </r>
  <r>
    <n v="202305136"/>
    <s v="NL24RABO3628561752"/>
    <s v="EUR"/>
    <x v="0"/>
    <x v="75"/>
    <d v="2023-04-15T00:00:00"/>
    <d v="2023-04-15T00:00:00"/>
    <n v="-200"/>
    <n v="9128.02"/>
    <s v="NL22RABO0381604934"/>
    <s v="R.C. Smit"/>
    <x v="4"/>
    <x v="7"/>
    <x v="58"/>
  </r>
  <r>
    <n v="202305137"/>
    <s v="NL24RABO3628561752"/>
    <s v="EUR"/>
    <x v="0"/>
    <x v="75"/>
    <d v="2023-04-25T00:00:00"/>
    <d v="2023-04-25T00:00:00"/>
    <n v="1500"/>
    <n v="10628.02"/>
    <s v="NL22RABO0381604934"/>
    <s v="R.C. Smit"/>
    <x v="4"/>
    <x v="7"/>
    <x v="58"/>
  </r>
  <r>
    <n v="202305144"/>
    <s v="RABO GOLD CARD"/>
    <s v="EUR"/>
    <x v="0"/>
    <x v="42"/>
    <d v="2023-01-28T00:00:00"/>
    <m/>
    <n v="7.98"/>
    <m/>
    <n v="7.98"/>
    <s v="Verrekening vorig overzicht"/>
    <x v="4"/>
    <x v="7"/>
    <x v="58"/>
  </r>
  <r>
    <n v="202305151"/>
    <s v="RABO GOLD CARD"/>
    <s v="EUR"/>
    <x v="0"/>
    <x v="0"/>
    <d v="2023-02-28T00:00:00"/>
    <m/>
    <n v="16.36"/>
    <m/>
    <n v="16.36"/>
    <s v="Verrekening vorig overzicht"/>
    <x v="4"/>
    <x v="7"/>
    <x v="58"/>
  </r>
  <r>
    <n v="202305154"/>
    <s v="RABO GOLD CARD"/>
    <s v="EUR"/>
    <x v="0"/>
    <x v="74"/>
    <d v="2023-03-28T00:00:00"/>
    <m/>
    <n v="7.98"/>
    <m/>
    <n v="7.98"/>
    <s v="Verrekening vorig overzicht"/>
    <x v="4"/>
    <x v="7"/>
    <x v="58"/>
  </r>
  <r>
    <n v="202305157"/>
    <s v="RABO GOLD CARD"/>
    <s v="EUR"/>
    <x v="0"/>
    <x v="75"/>
    <d v="2023-04-28T00:00:00"/>
    <m/>
    <n v="7.98"/>
    <m/>
    <n v="7.98"/>
    <s v="Verrekening vorig overzicht"/>
    <x v="4"/>
    <x v="7"/>
    <x v="58"/>
  </r>
  <r>
    <n v="521"/>
    <s v="NL22RABO0381604934"/>
    <m/>
    <x v="1"/>
    <x v="43"/>
    <d v="2017-03-29T00:00:00"/>
    <d v="2017-03-29T00:00:00"/>
    <n v="-125.98"/>
    <n v="125.98"/>
    <m/>
    <s v="RABOBANK NEDERLAND"/>
    <x v="1"/>
    <x v="8"/>
    <x v="8"/>
  </r>
  <r>
    <n v="689"/>
    <s v="NL22RABO0381604934"/>
    <m/>
    <x v="1"/>
    <x v="3"/>
    <d v="2017-10-30T00:00:00"/>
    <d v="2017-10-30T00:00:00"/>
    <n v="191.72"/>
    <n v="191.72"/>
    <m/>
    <s v="EUROPEAN LEISURE SUPPORT"/>
    <x v="1"/>
    <x v="8"/>
    <x v="8"/>
  </r>
  <r>
    <n v="717"/>
    <s v="RABO GOLD CARD"/>
    <m/>
    <x v="1"/>
    <x v="47"/>
    <d v="2017-08-19T00:00:00"/>
    <d v="2017-08-19T00:00:00"/>
    <n v="-65.739999999999995"/>
    <n v="65.739999999999995"/>
    <m/>
    <s v="IBERIA MADRID ESP"/>
    <x v="1"/>
    <x v="8"/>
    <x v="8"/>
  </r>
  <r>
    <n v="1342"/>
    <s v="NL22RABO0381604934"/>
    <m/>
    <x v="2"/>
    <x v="7"/>
    <d v="2018-11-02T00:00:00"/>
    <d v="2018-11-02T00:00:00"/>
    <n v="181.99"/>
    <n v="181.99"/>
    <m/>
    <s v="European Leisure Support"/>
    <x v="1"/>
    <x v="8"/>
    <x v="8"/>
  </r>
  <r>
    <n v="1373"/>
    <s v="RABO GOLD CARD"/>
    <m/>
    <x v="2"/>
    <x v="6"/>
    <d v="2018-01-26T00:00:00"/>
    <d v="2018-01-26T00:00:00"/>
    <n v="-99"/>
    <n v="99"/>
    <m/>
    <s v="Transavia Y2WEJR LUCHTHAVEN SCNLD"/>
    <x v="1"/>
    <x v="8"/>
    <x v="8"/>
  </r>
  <r>
    <n v="1376"/>
    <s v="RABO GOLD CARD"/>
    <m/>
    <x v="2"/>
    <x v="37"/>
    <d v="2018-08-26T00:00:00"/>
    <d v="2018-08-26T00:00:00"/>
    <n v="-82.99"/>
    <n v="82.99"/>
    <m/>
    <s v="VUELING AIRLINES PRAT DE LLOBRESP"/>
    <x v="1"/>
    <x v="8"/>
    <x v="8"/>
  </r>
  <r>
    <n v="2038"/>
    <s v="RABO GOLD CARD"/>
    <m/>
    <x v="3"/>
    <x v="13"/>
    <d v="2019-01-14T00:00:00"/>
    <d v="2019-01-14T00:00:00"/>
    <n v="-102.88"/>
    <n v="102.88"/>
    <m/>
    <s v="TRIPAIR PALAIO FALIROGRC"/>
    <x v="1"/>
    <x v="8"/>
    <x v="8"/>
  </r>
  <r>
    <n v="2042"/>
    <s v="RABO GOLD CARD"/>
    <m/>
    <x v="3"/>
    <x v="38"/>
    <d v="2019-07-19T00:00:00"/>
    <d v="2019-07-19T00:00:00"/>
    <n v="-101.76"/>
    <n v="101.76"/>
    <m/>
    <s v="EASYJET00 000EXHKBL2 LUTON, BEDS GBR"/>
    <x v="1"/>
    <x v="8"/>
    <x v="8"/>
  </r>
  <r>
    <n v="202208075"/>
    <s v="NL22RABO0381604934"/>
    <s v="EUR"/>
    <x v="6"/>
    <x v="72"/>
    <d v="2022-07-12T00:00:00"/>
    <d v="2022-07-13T00:00:00"/>
    <n v="-62.8"/>
    <n v="62.8"/>
    <s v="NL56DEUT0265186420"/>
    <s v="NS Internationaal B.V. by Buckaroo"/>
    <x v="1"/>
    <x v="8"/>
    <x v="8"/>
  </r>
  <r>
    <n v="202301010"/>
    <s v="NL22RABO0381604934"/>
    <s v="EUR"/>
    <x v="6"/>
    <x v="34"/>
    <d v="2022-10-05T00:00:00"/>
    <d v="2022-10-06T00:00:00"/>
    <n v="-10.29"/>
    <m/>
    <s v="NL54INGB0005564520"/>
    <s v="Achmea Schadeverzekeringen N.V."/>
    <x v="1"/>
    <x v="8"/>
    <x v="59"/>
  </r>
  <r>
    <n v="202301021"/>
    <s v="NL22RABO0381604934"/>
    <s v="EUR"/>
    <x v="6"/>
    <x v="34"/>
    <d v="2022-10-11T00:00:00"/>
    <d v="2022-10-11T00:00:00"/>
    <n v="10.29"/>
    <m/>
    <s v="NL54INGB0005564520"/>
    <s v="Centraal Beheer"/>
    <x v="1"/>
    <x v="8"/>
    <x v="59"/>
  </r>
  <r>
    <n v="202301029"/>
    <s v="NL22RABO0381604934"/>
    <s v="EUR"/>
    <x v="6"/>
    <x v="34"/>
    <d v="2022-10-15T00:00:00"/>
    <d v="2022-10-17T00:00:00"/>
    <n v="-70.900000000000006"/>
    <m/>
    <s v="NL56DEUT0265186420"/>
    <s v="NS Internationaal B.V. by Buckaroo Stichting Derdengelden"/>
    <x v="1"/>
    <x v="8"/>
    <x v="59"/>
  </r>
  <r>
    <n v="202301030"/>
    <s v="NL22RABO0381604934"/>
    <s v="EUR"/>
    <x v="6"/>
    <x v="34"/>
    <d v="2022-10-15T00:00:00"/>
    <d v="2022-10-17T00:00:00"/>
    <n v="-43.9"/>
    <m/>
    <s v="NL56DEUT0265186420"/>
    <s v="NS Internationaal B.V. by Buckaroo Stichting Derdengelden"/>
    <x v="1"/>
    <x v="8"/>
    <x v="59"/>
  </r>
  <r>
    <n v="202301031"/>
    <s v="NL22RABO0381604934"/>
    <s v="EUR"/>
    <x v="6"/>
    <x v="34"/>
    <d v="2022-10-15T00:00:00"/>
    <d v="2022-10-17T00:00:00"/>
    <n v="-9.41"/>
    <m/>
    <s v="NL54INGB0005564520"/>
    <s v="Achmea Schadeverzekeringen N.V."/>
    <x v="1"/>
    <x v="8"/>
    <x v="59"/>
  </r>
  <r>
    <n v="202301048"/>
    <s v="NL22RABO0381604934"/>
    <s v="EUR"/>
    <x v="6"/>
    <x v="35"/>
    <d v="2022-11-03T00:00:00"/>
    <d v="2022-11-03T00:00:00"/>
    <n v="7.5"/>
    <m/>
    <s v="NL89ABNA0476958822"/>
    <s v="NS GROEP NSR CUST SERV"/>
    <x v="1"/>
    <x v="8"/>
    <x v="59"/>
  </r>
  <r>
    <n v="202301056"/>
    <s v="NL22RABO0381604934"/>
    <s v="EUR"/>
    <x v="6"/>
    <x v="35"/>
    <d v="2022-11-06T00:00:00"/>
    <d v="2022-11-06T00:00:00"/>
    <n v="-30.43"/>
    <m/>
    <m/>
    <s v="Meininger Amsterdam BV Amsterdam"/>
    <x v="1"/>
    <x v="8"/>
    <x v="59"/>
  </r>
  <r>
    <n v="202301165"/>
    <s v="KAS"/>
    <m/>
    <x v="6"/>
    <x v="34"/>
    <d v="2022-10-20T00:00:00"/>
    <m/>
    <n v="-10"/>
    <m/>
    <m/>
    <s v="mindkapjes ffp2"/>
    <x v="1"/>
    <x v="8"/>
    <x v="59"/>
  </r>
  <r>
    <n v="202301168"/>
    <s v="KAS"/>
    <m/>
    <x v="6"/>
    <x v="34"/>
    <d v="2022-10-21T00:00:00"/>
    <m/>
    <n v="-18"/>
    <m/>
    <m/>
    <s v="Diner vrijdag 18 happenpappen"/>
    <x v="1"/>
    <x v="8"/>
    <x v="59"/>
  </r>
  <r>
    <n v="202301169"/>
    <s v="KAS"/>
    <m/>
    <x v="6"/>
    <x v="34"/>
    <d v="2022-10-22T00:00:00"/>
    <m/>
    <n v="-17.3"/>
    <m/>
    <m/>
    <s v="Lunch za 17,30 an vegan"/>
    <x v="1"/>
    <x v="8"/>
    <x v="59"/>
  </r>
  <r>
    <n v="202301171"/>
    <s v="KAS"/>
    <m/>
    <x v="6"/>
    <x v="34"/>
    <d v="2022-10-22T00:00:00"/>
    <m/>
    <n v="-7.5"/>
    <m/>
    <m/>
    <s v="Thee+gebak 7,50"/>
    <x v="1"/>
    <x v="8"/>
    <x v="59"/>
  </r>
  <r>
    <n v="202301173"/>
    <s v="KAS"/>
    <m/>
    <x v="6"/>
    <x v="34"/>
    <d v="2022-10-23T00:00:00"/>
    <m/>
    <n v="0"/>
    <m/>
    <m/>
    <s v="lunch : falaffel betaald door tina"/>
    <x v="1"/>
    <x v="8"/>
    <x v="59"/>
  </r>
  <r>
    <n v="202301174"/>
    <s v="KAS"/>
    <m/>
    <x v="6"/>
    <x v="34"/>
    <d v="2022-10-23T00:00:00"/>
    <m/>
    <n v="-3.6"/>
    <m/>
    <m/>
    <s v="Treintickets 3,60"/>
    <x v="1"/>
    <x v="8"/>
    <x v="59"/>
  </r>
  <r>
    <n v="202301178"/>
    <s v="KAS"/>
    <m/>
    <x v="6"/>
    <x v="34"/>
    <d v="2022-10-24T00:00:00"/>
    <m/>
    <n v="-1.8"/>
    <m/>
    <m/>
    <s v="OV 1,80"/>
    <x v="1"/>
    <x v="8"/>
    <x v="59"/>
  </r>
  <r>
    <n v="202301179"/>
    <s v="KAS"/>
    <m/>
    <x v="6"/>
    <x v="34"/>
    <d v="2022-10-24T00:00:00"/>
    <m/>
    <n v="-6.9"/>
    <m/>
    <m/>
    <s v="Ov 6,90"/>
    <x v="1"/>
    <x v="8"/>
    <x v="59"/>
  </r>
  <r>
    <n v="202301183"/>
    <s v="KAS"/>
    <m/>
    <x v="6"/>
    <x v="34"/>
    <d v="2022-10-24T00:00:00"/>
    <m/>
    <n v="-11.5"/>
    <m/>
    <m/>
    <s v="lunch kkoki loves vegan"/>
    <x v="1"/>
    <x v="8"/>
    <x v="59"/>
  </r>
  <r>
    <n v="202301185"/>
    <s v="KAS"/>
    <m/>
    <x v="6"/>
    <x v="34"/>
    <d v="2022-10-24T00:00:00"/>
    <m/>
    <n v="-2.59"/>
    <m/>
    <m/>
    <s v="Chocolade voor isa 2,59"/>
    <x v="1"/>
    <x v="8"/>
    <x v="59"/>
  </r>
  <r>
    <n v="202301187"/>
    <s v="KAS"/>
    <m/>
    <x v="6"/>
    <x v="34"/>
    <d v="2022-10-24T00:00:00"/>
    <m/>
    <n v="-1.25"/>
    <m/>
    <m/>
    <s v="water"/>
    <x v="1"/>
    <x v="8"/>
    <x v="59"/>
  </r>
  <r>
    <n v="202305005"/>
    <s v="NL22RABO0381604934"/>
    <s v="EUR"/>
    <x v="0"/>
    <x v="42"/>
    <d v="2023-01-05T00:00:00"/>
    <d v="2023-01-05T00:00:00"/>
    <n v="17.73"/>
    <n v="92.99"/>
    <s v="NL06DEUT0265186447"/>
    <s v="STICHTING DERDENGELDEN BUCKAROO geld terug reis hamburg"/>
    <x v="1"/>
    <x v="8"/>
    <x v="59"/>
  </r>
  <r>
    <n v="119"/>
    <s v="KAS"/>
    <m/>
    <x v="1"/>
    <x v="43"/>
    <d v="2017-03-28T00:00:00"/>
    <d v="2017-03-28T00:00:00"/>
    <n v="-4.5"/>
    <n v="4.5"/>
    <m/>
    <s v="atac"/>
    <x v="1"/>
    <x v="9"/>
    <x v="60"/>
  </r>
  <r>
    <n v="129"/>
    <s v="KAS"/>
    <m/>
    <x v="1"/>
    <x v="44"/>
    <d v="2017-04-01T00:00:00"/>
    <d v="2017-04-01T00:00:00"/>
    <n v="-3"/>
    <n v="3"/>
    <m/>
    <s v="atac"/>
    <x v="1"/>
    <x v="9"/>
    <x v="60"/>
  </r>
  <r>
    <n v="133"/>
    <s v="KAS"/>
    <m/>
    <x v="1"/>
    <x v="44"/>
    <d v="2017-04-01T00:00:00"/>
    <d v="2017-04-01T00:00:00"/>
    <n v="-1.5"/>
    <n v="1.5"/>
    <m/>
    <s v="atac"/>
    <x v="1"/>
    <x v="9"/>
    <x v="60"/>
  </r>
  <r>
    <n v="135"/>
    <s v="KAS"/>
    <m/>
    <x v="1"/>
    <x v="44"/>
    <d v="2017-04-01T00:00:00"/>
    <d v="2017-04-01T00:00:00"/>
    <n v="-1.5"/>
    <n v="1.5"/>
    <m/>
    <s v="atac 5/4"/>
    <x v="1"/>
    <x v="9"/>
    <x v="60"/>
  </r>
  <r>
    <n v="149"/>
    <s v="KAS"/>
    <m/>
    <x v="1"/>
    <x v="44"/>
    <d v="2017-04-11T00:00:00"/>
    <d v="2017-04-11T00:00:00"/>
    <n v="-4.5"/>
    <n v="4.5"/>
    <m/>
    <s v="atac 11/4"/>
    <x v="1"/>
    <x v="9"/>
    <x v="60"/>
  </r>
  <r>
    <n v="159"/>
    <s v="KAS"/>
    <m/>
    <x v="1"/>
    <x v="44"/>
    <d v="2017-04-17T00:00:00"/>
    <d v="2017-04-17T00:00:00"/>
    <n v="-3"/>
    <n v="3"/>
    <m/>
    <s v="atac"/>
    <x v="1"/>
    <x v="9"/>
    <x v="60"/>
  </r>
  <r>
    <n v="184"/>
    <s v="KAS"/>
    <m/>
    <x v="1"/>
    <x v="44"/>
    <d v="2017-04-26T00:00:00"/>
    <d v="2017-04-26T00:00:00"/>
    <n v="-4.5"/>
    <n v="4.5"/>
    <m/>
    <s v="atac 2/5"/>
    <x v="1"/>
    <x v="9"/>
    <x v="60"/>
  </r>
  <r>
    <n v="192"/>
    <s v="KAS"/>
    <m/>
    <x v="1"/>
    <x v="45"/>
    <d v="2017-05-02T00:00:00"/>
    <d v="2017-05-02T00:00:00"/>
    <n v="-3.4"/>
    <n v="3.4"/>
    <m/>
    <s v="atac 6/5"/>
    <x v="1"/>
    <x v="9"/>
    <x v="60"/>
  </r>
  <r>
    <n v="202"/>
    <s v="KAS"/>
    <m/>
    <x v="1"/>
    <x v="45"/>
    <d v="2017-05-02T00:00:00"/>
    <d v="2017-05-02T00:00:00"/>
    <n v="-3"/>
    <n v="3"/>
    <m/>
    <s v="atac 7/5"/>
    <x v="1"/>
    <x v="9"/>
    <x v="60"/>
  </r>
  <r>
    <n v="207"/>
    <s v="KAS"/>
    <m/>
    <x v="1"/>
    <x v="45"/>
    <d v="2017-05-09T00:00:00"/>
    <d v="2017-05-09T00:00:00"/>
    <n v="-4.5"/>
    <n v="4.5"/>
    <m/>
    <s v="atac 10/5"/>
    <x v="1"/>
    <x v="9"/>
    <x v="60"/>
  </r>
  <r>
    <n v="222"/>
    <s v="KAS"/>
    <m/>
    <x v="1"/>
    <x v="45"/>
    <d v="2017-05-17T00:00:00"/>
    <d v="2017-05-17T00:00:00"/>
    <n v="-3"/>
    <n v="3"/>
    <m/>
    <s v="atac 16/5"/>
    <x v="1"/>
    <x v="9"/>
    <x v="60"/>
  </r>
  <r>
    <n v="227"/>
    <s v="KAS"/>
    <m/>
    <x v="1"/>
    <x v="45"/>
    <d v="2017-05-17T00:00:00"/>
    <d v="2017-05-17T00:00:00"/>
    <n v="-3"/>
    <n v="3"/>
    <m/>
    <s v="atac"/>
    <x v="1"/>
    <x v="9"/>
    <x v="60"/>
  </r>
  <r>
    <n v="236"/>
    <s v="KAS"/>
    <m/>
    <x v="1"/>
    <x v="45"/>
    <d v="2017-05-25T00:00:00"/>
    <d v="2017-05-25T00:00:00"/>
    <n v="-3"/>
    <n v="3"/>
    <m/>
    <s v="atac 23/5"/>
    <x v="1"/>
    <x v="9"/>
    <x v="60"/>
  </r>
  <r>
    <n v="244"/>
    <s v="KAS"/>
    <m/>
    <x v="1"/>
    <x v="45"/>
    <d v="2017-05-29T00:00:00"/>
    <d v="2017-05-29T00:00:00"/>
    <n v="-4.5"/>
    <n v="4.5"/>
    <m/>
    <s v="atac 1/6/15"/>
    <x v="1"/>
    <x v="9"/>
    <x v="60"/>
  </r>
  <r>
    <n v="291"/>
    <s v="KAS"/>
    <m/>
    <x v="1"/>
    <x v="46"/>
    <d v="2017-06-24T00:00:00"/>
    <d v="2017-06-24T00:00:00"/>
    <n v="-3"/>
    <n v="3"/>
    <m/>
    <s v="atac 20/6"/>
    <x v="1"/>
    <x v="9"/>
    <x v="60"/>
  </r>
  <r>
    <n v="331"/>
    <s v="KAS"/>
    <m/>
    <x v="1"/>
    <x v="47"/>
    <d v="2017-08-02T00:00:00"/>
    <d v="2017-08-02T00:00:00"/>
    <n v="-7.5"/>
    <n v="7.5"/>
    <m/>
    <s v="atac"/>
    <x v="1"/>
    <x v="9"/>
    <x v="60"/>
  </r>
  <r>
    <n v="336"/>
    <s v="KAS"/>
    <m/>
    <x v="1"/>
    <x v="47"/>
    <d v="2017-08-02T00:00:00"/>
    <d v="2017-08-02T00:00:00"/>
    <n v="-9"/>
    <n v="9"/>
    <m/>
    <s v="atac"/>
    <x v="1"/>
    <x v="9"/>
    <x v="60"/>
  </r>
  <r>
    <n v="372"/>
    <s v="KAS"/>
    <m/>
    <x v="1"/>
    <x v="48"/>
    <d v="2017-09-05T00:00:00"/>
    <d v="2017-09-05T00:00:00"/>
    <n v="-4.5"/>
    <n v="4.5"/>
    <m/>
    <s v="atac"/>
    <x v="1"/>
    <x v="9"/>
    <x v="60"/>
  </r>
  <r>
    <n v="375"/>
    <s v="KAS"/>
    <m/>
    <x v="1"/>
    <x v="48"/>
    <d v="2017-09-05T00:00:00"/>
    <d v="2017-09-05T00:00:00"/>
    <n v="-4.5"/>
    <n v="4.5"/>
    <m/>
    <s v="Atac 9/4"/>
    <x v="1"/>
    <x v="9"/>
    <x v="60"/>
  </r>
  <r>
    <n v="380"/>
    <s v="KAS"/>
    <m/>
    <x v="1"/>
    <x v="48"/>
    <d v="2017-09-05T00:00:00"/>
    <d v="2017-09-05T00:00:00"/>
    <n v="-3"/>
    <n v="3"/>
    <m/>
    <s v="atac 20/9"/>
    <x v="1"/>
    <x v="9"/>
    <x v="60"/>
  </r>
  <r>
    <n v="388"/>
    <s v="KAS"/>
    <m/>
    <x v="1"/>
    <x v="48"/>
    <d v="2017-09-14T00:00:00"/>
    <d v="2017-09-14T00:00:00"/>
    <n v="-4.5"/>
    <n v="4.5"/>
    <m/>
    <s v="atac 27/9"/>
    <x v="1"/>
    <x v="9"/>
    <x v="60"/>
  </r>
  <r>
    <n v="843"/>
    <s v="KAS"/>
    <m/>
    <x v="2"/>
    <x v="10"/>
    <d v="2018-03-09T00:00:00"/>
    <d v="2018-03-09T00:00:00"/>
    <n v="-6"/>
    <n v="6"/>
    <m/>
    <s v="atac"/>
    <x v="1"/>
    <x v="9"/>
    <x v="60"/>
  </r>
  <r>
    <n v="852"/>
    <s v="KAS"/>
    <m/>
    <x v="2"/>
    <x v="10"/>
    <d v="2018-03-31T00:00:00"/>
    <d v="2018-03-31T00:00:00"/>
    <n v="-4.5"/>
    <n v="4.5"/>
    <m/>
    <s v="atac"/>
    <x v="1"/>
    <x v="9"/>
    <x v="60"/>
  </r>
  <r>
    <n v="921"/>
    <s v="KAS"/>
    <m/>
    <x v="2"/>
    <x v="50"/>
    <d v="2018-05-15T00:00:00"/>
    <d v="2018-05-15T00:00:00"/>
    <n v="-6"/>
    <n v="6"/>
    <m/>
    <s v="atac"/>
    <x v="1"/>
    <x v="9"/>
    <x v="60"/>
  </r>
  <r>
    <n v="938"/>
    <s v="KAS"/>
    <m/>
    <x v="2"/>
    <x v="50"/>
    <d v="2018-05-15T00:00:00"/>
    <d v="2018-05-15T00:00:00"/>
    <n v="-7.5"/>
    <n v="7.5"/>
    <m/>
    <s v="atac"/>
    <x v="1"/>
    <x v="9"/>
    <x v="60"/>
  </r>
  <r>
    <n v="947"/>
    <s v="KAS"/>
    <m/>
    <x v="2"/>
    <x v="51"/>
    <d v="2018-06-03T00:00:00"/>
    <d v="2018-06-03T00:00:00"/>
    <n v="-1.5"/>
    <n v="1.5"/>
    <m/>
    <s v="atac 2/6"/>
    <x v="1"/>
    <x v="9"/>
    <x v="60"/>
  </r>
  <r>
    <n v="954"/>
    <s v="KAS"/>
    <m/>
    <x v="2"/>
    <x v="51"/>
    <d v="2018-06-03T00:00:00"/>
    <d v="2018-06-03T00:00:00"/>
    <n v="-4.5"/>
    <n v="4.5"/>
    <m/>
    <s v="atac"/>
    <x v="1"/>
    <x v="9"/>
    <x v="60"/>
  </r>
  <r>
    <n v="958"/>
    <s v="KAS"/>
    <m/>
    <x v="2"/>
    <x v="51"/>
    <d v="2018-06-03T00:00:00"/>
    <d v="2018-06-03T00:00:00"/>
    <n v="-4.5"/>
    <n v="4.5"/>
    <m/>
    <s v="atac 21/6"/>
    <x v="1"/>
    <x v="9"/>
    <x v="60"/>
  </r>
  <r>
    <n v="971"/>
    <s v="KAS"/>
    <m/>
    <x v="2"/>
    <x v="52"/>
    <d v="2018-07-03T00:00:00"/>
    <d v="2018-07-03T00:00:00"/>
    <n v="-1.5"/>
    <n v="1.5"/>
    <m/>
    <s v="atac"/>
    <x v="1"/>
    <x v="9"/>
    <x v="60"/>
  </r>
  <r>
    <n v="975"/>
    <s v="KAS"/>
    <m/>
    <x v="2"/>
    <x v="52"/>
    <d v="2018-07-03T00:00:00"/>
    <d v="2018-07-03T00:00:00"/>
    <n v="-3"/>
    <n v="3"/>
    <m/>
    <s v="Atac"/>
    <x v="1"/>
    <x v="9"/>
    <x v="60"/>
  </r>
  <r>
    <n v="986"/>
    <s v="KAS"/>
    <m/>
    <x v="2"/>
    <x v="52"/>
    <d v="2018-07-03T00:00:00"/>
    <d v="2018-07-03T00:00:00"/>
    <n v="-4.5"/>
    <n v="4.5"/>
    <m/>
    <s v="atac 24/7"/>
    <x v="1"/>
    <x v="9"/>
    <x v="60"/>
  </r>
  <r>
    <n v="995"/>
    <s v="KAS"/>
    <m/>
    <x v="2"/>
    <x v="52"/>
    <d v="2018-07-03T00:00:00"/>
    <d v="2018-07-03T00:00:00"/>
    <n v="-3"/>
    <n v="3"/>
    <m/>
    <s v="atac 31/7"/>
    <x v="1"/>
    <x v="9"/>
    <x v="60"/>
  </r>
  <r>
    <n v="1005"/>
    <s v="KAS"/>
    <m/>
    <x v="2"/>
    <x v="37"/>
    <d v="2018-08-01T00:00:00"/>
    <d v="2018-08-01T00:00:00"/>
    <n v="-3"/>
    <n v="3"/>
    <m/>
    <s v="atac"/>
    <x v="1"/>
    <x v="9"/>
    <x v="60"/>
  </r>
  <r>
    <n v="1013"/>
    <s v="KAS"/>
    <m/>
    <x v="2"/>
    <x v="37"/>
    <d v="2018-08-01T00:00:00"/>
    <d v="2018-08-01T00:00:00"/>
    <n v="-3"/>
    <n v="3"/>
    <m/>
    <s v="atac 10/8"/>
    <x v="1"/>
    <x v="9"/>
    <x v="60"/>
  </r>
  <r>
    <n v="1031"/>
    <s v="KAS"/>
    <m/>
    <x v="2"/>
    <x v="37"/>
    <d v="2018-08-01T00:00:00"/>
    <d v="2018-08-01T00:00:00"/>
    <n v="-3"/>
    <n v="3"/>
    <m/>
    <s v="atac 19/8"/>
    <x v="1"/>
    <x v="9"/>
    <x v="60"/>
  </r>
  <r>
    <n v="1032"/>
    <s v="KAS"/>
    <m/>
    <x v="2"/>
    <x v="37"/>
    <d v="2018-08-01T00:00:00"/>
    <d v="2018-08-01T00:00:00"/>
    <n v="-3"/>
    <n v="3"/>
    <m/>
    <s v="atac 23/8"/>
    <x v="1"/>
    <x v="9"/>
    <x v="60"/>
  </r>
  <r>
    <n v="1035"/>
    <s v="KAS"/>
    <m/>
    <x v="2"/>
    <x v="37"/>
    <d v="2018-08-01T00:00:00"/>
    <d v="2018-08-01T00:00:00"/>
    <n v="-4.5"/>
    <n v="4.5"/>
    <m/>
    <s v="atac"/>
    <x v="1"/>
    <x v="9"/>
    <x v="60"/>
  </r>
  <r>
    <n v="1038"/>
    <s v="KAS"/>
    <m/>
    <x v="2"/>
    <x v="12"/>
    <d v="2018-09-01T00:00:00"/>
    <d v="2018-09-01T00:00:00"/>
    <n v="-3"/>
    <n v="3"/>
    <m/>
    <s v="atac 1/9"/>
    <x v="1"/>
    <x v="9"/>
    <x v="60"/>
  </r>
  <r>
    <n v="1041"/>
    <s v="KAS"/>
    <m/>
    <x v="2"/>
    <x v="12"/>
    <d v="2018-09-01T00:00:00"/>
    <d v="2018-09-01T00:00:00"/>
    <n v="-3"/>
    <n v="3"/>
    <m/>
    <s v="atac 2/9"/>
    <x v="1"/>
    <x v="9"/>
    <x v="60"/>
  </r>
  <r>
    <n v="1049"/>
    <s v="KAS"/>
    <m/>
    <x v="2"/>
    <x v="12"/>
    <d v="2018-09-01T00:00:00"/>
    <d v="2018-09-01T00:00:00"/>
    <n v="-3"/>
    <n v="3"/>
    <m/>
    <s v="Atac 12/9"/>
    <x v="1"/>
    <x v="9"/>
    <x v="60"/>
  </r>
  <r>
    <n v="1052"/>
    <s v="KAS"/>
    <m/>
    <x v="2"/>
    <x v="12"/>
    <d v="2018-09-01T00:00:00"/>
    <d v="2018-09-01T00:00:00"/>
    <n v="-3"/>
    <n v="3"/>
    <m/>
    <s v="Atac 9/9"/>
    <x v="1"/>
    <x v="9"/>
    <x v="60"/>
  </r>
  <r>
    <n v="1061"/>
    <s v="KAS"/>
    <m/>
    <x v="2"/>
    <x v="12"/>
    <d v="2018-09-01T00:00:00"/>
    <d v="2018-09-01T00:00:00"/>
    <n v="-6"/>
    <n v="6"/>
    <m/>
    <s v="atac 20/9"/>
    <x v="1"/>
    <x v="9"/>
    <x v="60"/>
  </r>
  <r>
    <n v="1068"/>
    <s v="KAS"/>
    <m/>
    <x v="2"/>
    <x v="12"/>
    <d v="2018-09-01T00:00:00"/>
    <d v="2018-09-01T00:00:00"/>
    <n v="-3"/>
    <n v="3"/>
    <m/>
    <s v="atac 16/9"/>
    <x v="1"/>
    <x v="9"/>
    <x v="60"/>
  </r>
  <r>
    <n v="1077"/>
    <s v="KAS"/>
    <m/>
    <x v="2"/>
    <x v="12"/>
    <d v="2018-09-01T00:00:00"/>
    <d v="2018-09-01T00:00:00"/>
    <n v="-6"/>
    <n v="6"/>
    <m/>
    <s v="atac 22/9"/>
    <x v="1"/>
    <x v="9"/>
    <x v="60"/>
  </r>
  <r>
    <n v="1082"/>
    <s v="KAS"/>
    <m/>
    <x v="2"/>
    <x v="12"/>
    <d v="2018-09-01T00:00:00"/>
    <d v="2018-09-01T00:00:00"/>
    <n v="-3"/>
    <n v="3"/>
    <m/>
    <s v="atac 30?9"/>
    <x v="1"/>
    <x v="9"/>
    <x v="60"/>
  </r>
  <r>
    <n v="1496"/>
    <s v="KAS"/>
    <m/>
    <x v="3"/>
    <x v="53"/>
    <d v="2019-04-01T00:00:00"/>
    <d v="2019-04-01T00:00:00"/>
    <n v="-4.5"/>
    <n v="4.5"/>
    <m/>
    <s v="atac 11/4"/>
    <x v="1"/>
    <x v="9"/>
    <x v="60"/>
  </r>
  <r>
    <n v="1497"/>
    <s v="KAS"/>
    <m/>
    <x v="3"/>
    <x v="53"/>
    <d v="2019-04-01T00:00:00"/>
    <d v="2019-04-01T00:00:00"/>
    <n v="-3"/>
    <n v="3"/>
    <m/>
    <s v="atac 12/4"/>
    <x v="1"/>
    <x v="9"/>
    <x v="60"/>
  </r>
  <r>
    <n v="1506"/>
    <s v="KAS"/>
    <m/>
    <x v="3"/>
    <x v="53"/>
    <d v="2019-04-01T00:00:00"/>
    <d v="2019-04-01T00:00:00"/>
    <n v="-3"/>
    <n v="3"/>
    <m/>
    <s v="atac telefoon ophalen 21/4"/>
    <x v="1"/>
    <x v="9"/>
    <x v="60"/>
  </r>
  <r>
    <n v="1507"/>
    <s v="KAS"/>
    <m/>
    <x v="3"/>
    <x v="53"/>
    <d v="2019-04-01T00:00:00"/>
    <d v="2019-04-01T00:00:00"/>
    <n v="-4.5"/>
    <n v="4.5"/>
    <m/>
    <s v="atac 18/4"/>
    <x v="1"/>
    <x v="9"/>
    <x v="60"/>
  </r>
  <r>
    <n v="1508"/>
    <s v="KAS"/>
    <m/>
    <x v="3"/>
    <x v="53"/>
    <d v="2019-04-01T00:00:00"/>
    <d v="2019-04-01T00:00:00"/>
    <n v="-3"/>
    <n v="3"/>
    <m/>
    <s v="atac 16/4"/>
    <x v="1"/>
    <x v="9"/>
    <x v="60"/>
  </r>
  <r>
    <n v="1525"/>
    <s v="KAS"/>
    <m/>
    <x v="3"/>
    <x v="53"/>
    <n v="43578"/>
    <n v="43578"/>
    <n v="-3"/>
    <n v="3"/>
    <m/>
    <s v="atac 23/4"/>
    <x v="1"/>
    <x v="9"/>
    <x v="60"/>
  </r>
  <r>
    <n v="1537"/>
    <s v="KAS"/>
    <m/>
    <x v="3"/>
    <x v="54"/>
    <d v="2019-05-01T00:00:00"/>
    <d v="2019-05-01T00:00:00"/>
    <n v="-3"/>
    <n v="3"/>
    <m/>
    <s v="ATAC 14/5"/>
    <x v="1"/>
    <x v="9"/>
    <x v="60"/>
  </r>
  <r>
    <n v="1543"/>
    <s v="KAS"/>
    <m/>
    <x v="3"/>
    <x v="54"/>
    <d v="2019-05-01T00:00:00"/>
    <d v="2019-05-01T00:00:00"/>
    <n v="-3"/>
    <n v="3"/>
    <m/>
    <s v="atac21/5"/>
    <x v="1"/>
    <x v="9"/>
    <x v="60"/>
  </r>
  <r>
    <n v="1561"/>
    <s v="KAS"/>
    <m/>
    <x v="3"/>
    <x v="55"/>
    <d v="2019-06-01T00:00:00"/>
    <d v="2019-06-01T00:00:00"/>
    <n v="-4.5"/>
    <n v="4.5"/>
    <m/>
    <s v="atac 8/6"/>
    <x v="1"/>
    <x v="9"/>
    <x v="60"/>
  </r>
  <r>
    <n v="1566"/>
    <s v="KAS"/>
    <m/>
    <x v="3"/>
    <x v="55"/>
    <d v="2019-06-01T00:00:00"/>
    <d v="2019-06-01T00:00:00"/>
    <n v="-4.5"/>
    <n v="4.5"/>
    <m/>
    <s v="atac 14/6"/>
    <x v="1"/>
    <x v="9"/>
    <x v="60"/>
  </r>
  <r>
    <n v="1573"/>
    <s v="KAS"/>
    <m/>
    <x v="3"/>
    <x v="55"/>
    <d v="2019-06-01T00:00:00"/>
    <d v="2019-06-01T00:00:00"/>
    <n v="-3"/>
    <n v="3"/>
    <m/>
    <s v="atac"/>
    <x v="1"/>
    <x v="9"/>
    <x v="60"/>
  </r>
  <r>
    <n v="1581"/>
    <s v="KAS"/>
    <m/>
    <x v="3"/>
    <x v="38"/>
    <d v="2019-07-01T00:00:00"/>
    <d v="2019-07-01T00:00:00"/>
    <n v="-6"/>
    <n v="6"/>
    <m/>
    <s v="atac"/>
    <x v="1"/>
    <x v="9"/>
    <x v="60"/>
  </r>
  <r>
    <n v="1590"/>
    <s v="KAS"/>
    <m/>
    <x v="3"/>
    <x v="38"/>
    <d v="2019-07-01T00:00:00"/>
    <d v="2019-07-01T00:00:00"/>
    <n v="-3"/>
    <n v="3"/>
    <m/>
    <s v="atac 23/7"/>
    <x v="1"/>
    <x v="9"/>
    <x v="60"/>
  </r>
  <r>
    <n v="1592"/>
    <s v="KAS"/>
    <m/>
    <x v="3"/>
    <x v="38"/>
    <d v="2019-07-01T00:00:00"/>
    <d v="2019-07-01T00:00:00"/>
    <n v="-3"/>
    <n v="3"/>
    <m/>
    <s v="atac 16/7"/>
    <x v="1"/>
    <x v="9"/>
    <x v="60"/>
  </r>
  <r>
    <n v="1604"/>
    <s v="KAS"/>
    <m/>
    <x v="3"/>
    <x v="41"/>
    <d v="2019-08-12T00:00:00"/>
    <d v="2019-08-12T00:00:00"/>
    <n v="-1.5"/>
    <n v="1.5"/>
    <m/>
    <s v="atac"/>
    <x v="1"/>
    <x v="9"/>
    <x v="60"/>
  </r>
  <r>
    <n v="1626"/>
    <s v="KAS"/>
    <m/>
    <x v="3"/>
    <x v="18"/>
    <d v="2019-09-06T00:00:00"/>
    <d v="2019-09-06T00:00:00"/>
    <n v="-3"/>
    <n v="3"/>
    <m/>
    <s v="atac"/>
    <x v="1"/>
    <x v="9"/>
    <x v="60"/>
  </r>
  <r>
    <n v="1805"/>
    <s v="NL22RABO0381604934"/>
    <m/>
    <x v="3"/>
    <x v="53"/>
    <d v="2019-04-28T00:00:00"/>
    <d v="2019-04-28T00:00:00"/>
    <n v="-6"/>
    <n v="6"/>
    <m/>
    <s v="atac CAMPING FABULOUS ROMA ITA"/>
    <x v="1"/>
    <x v="9"/>
    <x v="60"/>
  </r>
  <r>
    <n v="1874"/>
    <s v="NL22RABO0381604934"/>
    <m/>
    <x v="3"/>
    <x v="41"/>
    <d v="2019-08-06T00:00:00"/>
    <d v="2019-08-06T00:00:00"/>
    <n v="-7"/>
    <n v="7"/>
    <m/>
    <s v="CAMPING FABULOUS ROMA ITA"/>
    <x v="1"/>
    <x v="9"/>
    <x v="60"/>
  </r>
  <r>
    <n v="1875"/>
    <s v="NL22RABO0381604934"/>
    <m/>
    <x v="3"/>
    <x v="41"/>
    <d v="2019-08-07T00:00:00"/>
    <d v="2019-08-07T00:00:00"/>
    <n v="-9"/>
    <n v="9"/>
    <m/>
    <s v="CAMPING FABULOUS ROMA ITA"/>
    <x v="1"/>
    <x v="9"/>
    <x v="60"/>
  </r>
  <r>
    <n v="1879"/>
    <s v="NL22RABO0381604934"/>
    <m/>
    <x v="3"/>
    <x v="41"/>
    <d v="2019-08-15T00:00:00"/>
    <d v="2019-08-15T00:00:00"/>
    <n v="-3"/>
    <n v="3"/>
    <m/>
    <s v="CAMPING FABULOUS ROMA ITA"/>
    <x v="1"/>
    <x v="9"/>
    <x v="60"/>
  </r>
  <r>
    <n v="23"/>
    <s v="BNPPARIBAS"/>
    <m/>
    <x v="1"/>
    <x v="2"/>
    <d v="2017-02-24T00:00:00"/>
    <d v="2017-02-24T00:00:00"/>
    <n v="-50"/>
    <n v="50"/>
    <m/>
    <s v="opladen OV CHOP"/>
    <x v="1"/>
    <x v="10"/>
    <x v="61"/>
  </r>
  <r>
    <n v="463"/>
    <s v="NL22RABO0381604934"/>
    <m/>
    <x v="1"/>
    <x v="43"/>
    <d v="2017-03-10T00:00:00"/>
    <d v="2017-03-10T00:00:00"/>
    <n v="-25"/>
    <n v="25"/>
    <m/>
    <s v="NS-Arnhem Velp 201 ARNHEM"/>
    <x v="1"/>
    <x v="10"/>
    <x v="61"/>
  </r>
  <r>
    <n v="485"/>
    <s v="NL22RABO0381604934"/>
    <m/>
    <x v="1"/>
    <x v="43"/>
    <d v="2017-03-16T00:00:00"/>
    <d v="2017-03-16T00:00:00"/>
    <n v="-50"/>
    <n v="50"/>
    <m/>
    <s v="NS-Arnhem Velp 202 ARNHEM"/>
    <x v="1"/>
    <x v="10"/>
    <x v="61"/>
  </r>
  <r>
    <n v="519"/>
    <s v="NL22RABO0381604934"/>
    <m/>
    <x v="1"/>
    <x v="43"/>
    <d v="2017-03-27T00:00:00"/>
    <d v="2017-03-27T00:00:00"/>
    <n v="-50"/>
    <n v="50"/>
    <m/>
    <s v="Opladen OV-Chipkaart AMERSFOORT"/>
    <x v="1"/>
    <x v="10"/>
    <x v="61"/>
  </r>
  <r>
    <n v="633"/>
    <s v="NL22RABO0381604934"/>
    <m/>
    <x v="1"/>
    <x v="3"/>
    <d v="2017-10-06T00:00:00"/>
    <d v="2017-10-06T00:00:00"/>
    <n v="-50"/>
    <n v="50"/>
    <m/>
    <s v="CCV*OV BOEK &amp; KANTOOR MUSSELKANAAL"/>
    <x v="1"/>
    <x v="10"/>
    <x v="61"/>
  </r>
  <r>
    <n v="655"/>
    <s v="NL22RABO0381604934"/>
    <m/>
    <x v="1"/>
    <x v="3"/>
    <d v="2017-10-16T00:00:00"/>
    <d v="2017-10-16T00:00:00"/>
    <n v="-37.5"/>
    <n v="37.5"/>
    <m/>
    <s v="NS-Nijmegen 22 NIJMEGEN"/>
    <x v="1"/>
    <x v="10"/>
    <x v="61"/>
  </r>
  <r>
    <n v="676"/>
    <s v="NL22RABO0381604934"/>
    <m/>
    <x v="1"/>
    <x v="3"/>
    <d v="2017-10-23T00:00:00"/>
    <d v="2017-10-23T00:00:00"/>
    <n v="-25"/>
    <n v="25"/>
    <m/>
    <s v="NS-arnhem 205 ARNHEM"/>
    <x v="1"/>
    <x v="10"/>
    <x v="61"/>
  </r>
  <r>
    <n v="689"/>
    <s v="NL22RABO0381604934"/>
    <m/>
    <x v="1"/>
    <x v="3"/>
    <d v="2017-10-30T00:00:00"/>
    <d v="2017-08-19T00:00:00"/>
    <n v="11.34"/>
    <n v="11.34"/>
    <m/>
    <s v="correctie vliegticket, waarsch reiskosten NKL"/>
    <x v="1"/>
    <x v="10"/>
    <x v="61"/>
  </r>
  <r>
    <n v="695"/>
    <s v="NL22RABO0381604934"/>
    <m/>
    <x v="1"/>
    <x v="4"/>
    <d v="2017-11-01T00:00:00"/>
    <d v="2017-11-01T00:00:00"/>
    <n v="-50"/>
    <n v="50"/>
    <m/>
    <s v="NS-Emmen 201 EMMEN"/>
    <x v="1"/>
    <x v="10"/>
    <x v="61"/>
  </r>
  <r>
    <n v="710"/>
    <s v="NL22RABO0381604934"/>
    <m/>
    <x v="1"/>
    <x v="5"/>
    <d v="2017-12-18T00:00:00"/>
    <d v="2017-12-18T00:00:00"/>
    <n v="15.05"/>
    <n v="15.05"/>
    <m/>
    <s v="TLS BV INZ. OV-CHIPKAART"/>
    <x v="1"/>
    <x v="10"/>
    <x v="61"/>
  </r>
  <r>
    <n v="1132"/>
    <s v="NL22RABO0381604934"/>
    <m/>
    <x v="2"/>
    <x v="9"/>
    <d v="2018-02-23T00:00:00"/>
    <d v="2018-02-23T00:00:00"/>
    <n v="-50"/>
    <n v="50"/>
    <m/>
    <s v="CCV*OV THE READ SHOP STADSKANAAL"/>
    <x v="1"/>
    <x v="10"/>
    <x v="61"/>
  </r>
  <r>
    <n v="1164"/>
    <s v="NL22RABO0381604934"/>
    <m/>
    <x v="2"/>
    <x v="10"/>
    <d v="2018-03-14T00:00:00"/>
    <d v="2018-03-14T00:00:00"/>
    <n v="-10"/>
    <n v="10"/>
    <m/>
    <s v="Stichting Derdengelden Buckaroo"/>
    <x v="1"/>
    <x v="10"/>
    <x v="61"/>
  </r>
  <r>
    <n v="1165"/>
    <s v="NL22RABO0381604934"/>
    <m/>
    <x v="2"/>
    <x v="10"/>
    <d v="2018-03-14T00:00:00"/>
    <d v="2018-03-14T00:00:00"/>
    <n v="-50"/>
    <n v="50"/>
    <m/>
    <s v="NS-Eindh airport 201 EINDHOVEN"/>
    <x v="1"/>
    <x v="10"/>
    <x v="61"/>
  </r>
  <r>
    <n v="1288"/>
    <s v="NL22RABO0381604934"/>
    <m/>
    <x v="2"/>
    <x v="11"/>
    <d v="2018-10-02T00:00:00"/>
    <d v="2018-10-02T00:00:00"/>
    <n v="-50"/>
    <n v="50"/>
    <m/>
    <s v="NS ZWOLLE ZWOLLE"/>
    <x v="1"/>
    <x v="10"/>
    <x v="61"/>
  </r>
  <r>
    <n v="1303"/>
    <s v="NL22RABO0381604934"/>
    <m/>
    <x v="2"/>
    <x v="11"/>
    <d v="2018-10-14T00:00:00"/>
    <d v="2018-10-14T00:00:00"/>
    <n v="-50"/>
    <n v="50"/>
    <m/>
    <s v="NS-arnhem 205 ARNHEM"/>
    <x v="1"/>
    <x v="10"/>
    <x v="61"/>
  </r>
  <r>
    <n v="1305"/>
    <s v="NL22RABO0381604934"/>
    <m/>
    <x v="2"/>
    <x v="11"/>
    <d v="2018-10-15T00:00:00"/>
    <d v="2018-10-15T00:00:00"/>
    <n v="-0.01"/>
    <n v="0.01"/>
    <m/>
    <s v="NS GROEP N.V."/>
    <x v="1"/>
    <x v="10"/>
    <x v="61"/>
  </r>
  <r>
    <n v="1340"/>
    <s v="NL22RABO0381604934"/>
    <m/>
    <x v="2"/>
    <x v="7"/>
    <d v="2018-11-01T00:00:00"/>
    <d v="2018-11-01T00:00:00"/>
    <n v="-20"/>
    <n v="20"/>
    <m/>
    <s v="CCV*OV BOEK &amp; KANTOOR MUSSELKANAAL"/>
    <x v="1"/>
    <x v="10"/>
    <x v="61"/>
  </r>
  <r>
    <n v="1341"/>
    <s v="NL22RABO0381604934"/>
    <m/>
    <x v="2"/>
    <x v="7"/>
    <d v="2018-11-01T00:00:00"/>
    <d v="2018-11-01T00:00:00"/>
    <n v="-10"/>
    <n v="10"/>
    <m/>
    <s v="CCV*OV BOEK &amp; KANTOOR MUSSELKANAAL"/>
    <x v="1"/>
    <x v="10"/>
    <x v="61"/>
  </r>
  <r>
    <n v="1343"/>
    <s v="NL22RABO0381604934"/>
    <m/>
    <x v="2"/>
    <x v="7"/>
    <d v="2018-11-02T00:00:00"/>
    <d v="2018-11-02T00:00:00"/>
    <n v="28.01"/>
    <n v="28.01"/>
    <m/>
    <s v="European Leisure Support"/>
    <x v="1"/>
    <x v="10"/>
    <x v="61"/>
  </r>
  <r>
    <n v="1344"/>
    <s v="NL22RABO0381604934"/>
    <m/>
    <x v="2"/>
    <x v="7"/>
    <d v="2018-11-02T00:00:00"/>
    <d v="2018-11-02T00:00:00"/>
    <n v="29.81"/>
    <n v="29.81"/>
    <m/>
    <s v="European Leisure Support"/>
    <x v="1"/>
    <x v="10"/>
    <x v="61"/>
  </r>
  <r>
    <n v="1695"/>
    <s v="NL22RABO0381604934"/>
    <m/>
    <x v="3"/>
    <x v="14"/>
    <d v="2019-03-05T00:00:00"/>
    <d v="2019-03-05T00:00:00"/>
    <n v="-20"/>
    <n v="20"/>
    <m/>
    <s v="NS-Schiphol 209 LUCHTHAVEN SC"/>
    <x v="1"/>
    <x v="10"/>
    <x v="61"/>
  </r>
  <r>
    <n v="1703"/>
    <s v="NL22RABO0381604934"/>
    <m/>
    <x v="3"/>
    <x v="14"/>
    <d v="2019-03-08T00:00:00"/>
    <d v="2019-03-08T00:00:00"/>
    <n v="-50"/>
    <n v="50"/>
    <m/>
    <s v="CCV*OV BOEK &amp; KANTOOR MUSSELKANAAL"/>
    <x v="1"/>
    <x v="10"/>
    <x v="61"/>
  </r>
  <r>
    <n v="1709"/>
    <s v="NL22RABO0381604934"/>
    <m/>
    <x v="3"/>
    <x v="14"/>
    <d v="2019-03-13T00:00:00"/>
    <d v="2019-03-13T00:00:00"/>
    <n v="-50"/>
    <n v="50"/>
    <m/>
    <s v="NS-Arnhem 203 ARNHEM"/>
    <x v="1"/>
    <x v="10"/>
    <x v="61"/>
  </r>
  <r>
    <n v="1775"/>
    <s v="NL22RABO0381604934"/>
    <m/>
    <x v="3"/>
    <x v="14"/>
    <d v="2019-03-31T00:00:00"/>
    <d v="2019-03-31T00:00:00"/>
    <n v="-20"/>
    <n v="20"/>
    <m/>
    <s v="CCV*OV Station Emmen EMMEN"/>
    <x v="1"/>
    <x v="10"/>
    <x v="61"/>
  </r>
  <r>
    <n v="1789"/>
    <s v="NL22RABO0381604934"/>
    <m/>
    <x v="3"/>
    <x v="53"/>
    <d v="2019-04-10T00:00:00"/>
    <d v="2019-04-10T00:00:00"/>
    <n v="-20"/>
    <n v="20"/>
    <m/>
    <s v="CCV*OV Station Emmen EMMEN"/>
    <x v="1"/>
    <x v="10"/>
    <x v="61"/>
  </r>
  <r>
    <n v="1907"/>
    <s v="NL22RABO0381604934"/>
    <m/>
    <x v="3"/>
    <x v="39"/>
    <d v="2019-10-02T00:00:00"/>
    <d v="2019-10-02T00:00:00"/>
    <n v="-50"/>
    <n v="50"/>
    <m/>
    <s v="NS ZWOLLE ZWOLLE"/>
    <x v="1"/>
    <x v="10"/>
    <x v="61"/>
  </r>
  <r>
    <n v="1928"/>
    <s v="NL22RABO0381604934"/>
    <m/>
    <x v="3"/>
    <x v="39"/>
    <d v="2019-10-15T00:00:00"/>
    <d v="2019-10-15T00:00:00"/>
    <n v="-50"/>
    <n v="50"/>
    <m/>
    <s v="NS-Zutphen 201 ZUTPHEN"/>
    <x v="1"/>
    <x v="10"/>
    <x v="61"/>
  </r>
  <r>
    <n v="1947"/>
    <s v="NL22RABO0381604934"/>
    <m/>
    <x v="3"/>
    <x v="39"/>
    <d v="2019-10-22T00:00:00"/>
    <d v="2019-10-22T00:00:00"/>
    <n v="-0.01"/>
    <n v="0.01"/>
    <m/>
    <s v="NS GROEP IZ NS REIZIGERS"/>
    <x v="1"/>
    <x v="10"/>
    <x v="61"/>
  </r>
  <r>
    <n v="1966"/>
    <s v="NL22RABO0381604934"/>
    <m/>
    <x v="3"/>
    <x v="39"/>
    <d v="2019-10-25T00:00:00"/>
    <d v="2019-10-25T00:00:00"/>
    <n v="-50"/>
    <n v="50"/>
    <m/>
    <s v="NS-arnhem 205 ARNHEM"/>
    <x v="1"/>
    <x v="10"/>
    <x v="61"/>
  </r>
  <r>
    <n v="2004"/>
    <s v="NL22RABO0381604934"/>
    <m/>
    <x v="3"/>
    <x v="16"/>
    <d v="2019-11-09T00:00:00"/>
    <d v="2019-11-09T00:00:00"/>
    <n v="-50"/>
    <n v="50"/>
    <m/>
    <s v="CCV*OV The Read Shop S STADSKANAAL"/>
    <x v="1"/>
    <x v="10"/>
    <x v="61"/>
  </r>
  <r>
    <n v="2199"/>
    <s v="NL22RABO0381604934"/>
    <m/>
    <x v="4"/>
    <x v="24"/>
    <d v="2020-06-30T00:00:00"/>
    <d v="2020-06-30T00:00:00"/>
    <n v="-20"/>
    <n v="20"/>
    <m/>
    <s v="NS-Schiphol 226 LUCHTHAVEN SC"/>
    <x v="1"/>
    <x v="10"/>
    <x v="61"/>
  </r>
  <r>
    <n v="2253"/>
    <s v="NL22RABO0381604934"/>
    <m/>
    <x v="4"/>
    <x v="56"/>
    <d v="2020-07-21T00:00:00"/>
    <d v="2020-07-21T00:00:00"/>
    <n v="-30"/>
    <n v="30"/>
    <m/>
    <s v="CCV*OV Bruna Winterswi WINTERSWYK"/>
    <x v="1"/>
    <x v="10"/>
    <x v="61"/>
  </r>
  <r>
    <n v="2316"/>
    <s v="NL22RABO0381604934"/>
    <m/>
    <x v="4"/>
    <x v="60"/>
    <d v="2020-08-12T00:00:00"/>
    <d v="2020-08-12T00:00:00"/>
    <n v="-20"/>
    <n v="20"/>
    <m/>
    <s v="NS-arnhem 207 ARNHEM"/>
    <x v="1"/>
    <x v="10"/>
    <x v="61"/>
  </r>
  <r>
    <n v="2326"/>
    <s v="NL22RABO0381604934"/>
    <m/>
    <x v="4"/>
    <x v="60"/>
    <d v="2020-08-18T00:00:00"/>
    <d v="2020-08-18T00:00:00"/>
    <n v="-20"/>
    <n v="20"/>
    <m/>
    <s v="NS-arnhem 207 ARNHEM"/>
    <x v="1"/>
    <x v="10"/>
    <x v="61"/>
  </r>
  <r>
    <n v="2335"/>
    <s v="NL22RABO0381604934"/>
    <m/>
    <x v="4"/>
    <x v="60"/>
    <d v="2020-08-20T00:00:00"/>
    <d v="2020-08-20T00:00:00"/>
    <n v="-3.85"/>
    <n v="3.85"/>
    <s v="NL40ABNA0537879099"/>
    <s v="NS GROEP IZ NS REIZIGERS"/>
    <x v="1"/>
    <x v="10"/>
    <x v="62"/>
  </r>
  <r>
    <n v="2357"/>
    <s v="NL22RABO0381604934"/>
    <m/>
    <x v="4"/>
    <x v="60"/>
    <d v="2020-08-26T00:00:00"/>
    <d v="2020-08-26T00:00:00"/>
    <n v="-20"/>
    <n v="20"/>
    <m/>
    <s v="NS-Arnhem Velp 201 ARNHEM"/>
    <x v="1"/>
    <x v="10"/>
    <x v="61"/>
  </r>
  <r>
    <n v="2401"/>
    <s v="NL22RABO0381604934"/>
    <m/>
    <x v="4"/>
    <x v="61"/>
    <d v="2020-09-15T00:00:00"/>
    <d v="2020-09-15T00:00:00"/>
    <n v="-15"/>
    <n v="15"/>
    <m/>
    <s v="NS-Venlo 201 VENLO"/>
    <x v="1"/>
    <x v="10"/>
    <x v="61"/>
  </r>
  <r>
    <n v="2412"/>
    <s v="NL22RABO0381604934"/>
    <m/>
    <x v="4"/>
    <x v="61"/>
    <d v="2020-09-24T00:00:00"/>
    <d v="2020-09-24T00:00:00"/>
    <n v="-40"/>
    <n v="40"/>
    <m/>
    <s v="Arnhem 1 Arnhem"/>
    <x v="1"/>
    <x v="10"/>
    <x v="61"/>
  </r>
  <r>
    <n v="2452"/>
    <s v="NL22RABO0381604934"/>
    <m/>
    <x v="4"/>
    <x v="57"/>
    <d v="2020-10-15T00:00:00"/>
    <d v="2020-10-15T00:00:00"/>
    <n v="26.23"/>
    <n v="26.23"/>
    <s v="NL03RABO0157613070"/>
    <s v="European Leisure Support"/>
    <x v="1"/>
    <x v="10"/>
    <x v="61"/>
  </r>
  <r>
    <n v="2470"/>
    <s v="NL22RABO0381604934"/>
    <m/>
    <x v="4"/>
    <x v="57"/>
    <d v="2020-10-21T00:00:00"/>
    <d v="2020-10-21T00:00:00"/>
    <n v="-0.01"/>
    <n v="0.01"/>
    <s v="NL40ABNA0537879099"/>
    <s v="NS GROEP IZ NS REIZIGERS"/>
    <x v="1"/>
    <x v="10"/>
    <x v="61"/>
  </r>
  <r>
    <n v="2491"/>
    <s v="NL22RABO0381604934"/>
    <m/>
    <x v="4"/>
    <x v="59"/>
    <d v="2020-11-03T00:00:00"/>
    <d v="2020-11-03T00:00:00"/>
    <n v="-20"/>
    <n v="20"/>
    <m/>
    <s v="CCV*OV The Read Shop S STADSKANAAL"/>
    <x v="1"/>
    <x v="10"/>
    <x v="61"/>
  </r>
  <r>
    <n v="2492"/>
    <s v="NL22RABO0381604934"/>
    <m/>
    <x v="4"/>
    <x v="59"/>
    <d v="2020-11-03T00:00:00"/>
    <d v="2020-11-03T00:00:00"/>
    <n v="-10"/>
    <n v="10"/>
    <m/>
    <s v="CCV*OV The Read Shop S STADSKANAAL"/>
    <x v="1"/>
    <x v="10"/>
    <x v="61"/>
  </r>
  <r>
    <n v="2540"/>
    <s v="NL22RABO0381604934"/>
    <m/>
    <x v="4"/>
    <x v="58"/>
    <d v="2020-12-07T00:00:00"/>
    <d v="2020-12-07T00:00:00"/>
    <n v="-20"/>
    <n v="20"/>
    <m/>
    <s v="CCV*OV Station Emmen EMMEN"/>
    <x v="1"/>
    <x v="10"/>
    <x v="61"/>
  </r>
  <r>
    <n v="2560"/>
    <s v="NL22RABO0381604934"/>
    <m/>
    <x v="4"/>
    <x v="58"/>
    <d v="2020-12-16T00:00:00"/>
    <d v="2020-12-16T00:00:00"/>
    <n v="-28.78"/>
    <n v="28.78"/>
    <m/>
    <s v="NS-Arnhem 203 ARNHEM"/>
    <x v="1"/>
    <x v="10"/>
    <x v="61"/>
  </r>
  <r>
    <n v="2585"/>
    <s v="POSTEPAY"/>
    <m/>
    <x v="4"/>
    <x v="57"/>
    <d v="2020-09-23T00:00:00"/>
    <d v="2020-09-23T00:00:00"/>
    <n v="-50"/>
    <n v="50"/>
    <m/>
    <s v="ov chip"/>
    <x v="1"/>
    <x v="10"/>
    <x v="61"/>
  </r>
  <r>
    <n v="2586"/>
    <s v="POSTEPAY"/>
    <m/>
    <x v="4"/>
    <x v="61"/>
    <d v="2020-09-23T00:00:00"/>
    <d v="2020-09-23T00:00:00"/>
    <n v="-20"/>
    <n v="20"/>
    <m/>
    <s v="ov chip"/>
    <x v="1"/>
    <x v="10"/>
    <x v="61"/>
  </r>
  <r>
    <n v="2587"/>
    <s v="POSTEPAY"/>
    <m/>
    <x v="4"/>
    <x v="61"/>
    <d v="2020-09-23T00:00:00"/>
    <d v="2020-09-23T00:00:00"/>
    <n v="-20"/>
    <n v="20"/>
    <m/>
    <s v="ov chip"/>
    <x v="1"/>
    <x v="10"/>
    <x v="61"/>
  </r>
  <r>
    <n v="2725"/>
    <s v="NL22RABO0381604934"/>
    <m/>
    <x v="5"/>
    <x v="63"/>
    <d v="2021-03-29T00:00:00"/>
    <d v="2021-03-29T00:00:00"/>
    <n v="-30"/>
    <n v="30"/>
    <m/>
    <s v="Opladen OV-Chipkaart AMERSFOORT"/>
    <x v="1"/>
    <x v="10"/>
    <x v="61"/>
  </r>
  <r>
    <n v="2805"/>
    <s v="NL22RABO0381604934"/>
    <m/>
    <x v="5"/>
    <x v="67"/>
    <d v="2021-05-30T00:00:00"/>
    <d v="2021-05-30T00:00:00"/>
    <n v="-10"/>
    <n v="10"/>
    <m/>
    <s v="NS-Horst-Sevenum 201 HEGELSOM"/>
    <x v="1"/>
    <x v="10"/>
    <x v="61"/>
  </r>
  <r>
    <n v="2830"/>
    <s v="NL22RABO0381604934"/>
    <m/>
    <x v="5"/>
    <x v="68"/>
    <d v="2021-06-09T00:00:00"/>
    <d v="2021-06-09T00:00:00"/>
    <n v="-20"/>
    <n v="20"/>
    <m/>
    <s v="NS-Horst-Sevenum 201 HEGELSOM"/>
    <x v="1"/>
    <x v="10"/>
    <x v="61"/>
  </r>
  <r>
    <n v="2831"/>
    <s v="NL22RABO0381604934"/>
    <m/>
    <x v="5"/>
    <x v="68"/>
    <d v="2021-06-09T00:00:00"/>
    <d v="2021-06-09T00:00:00"/>
    <n v="-10"/>
    <n v="10"/>
    <m/>
    <s v="NS-Horst-Sevenum 201 HEGELSOM"/>
    <x v="1"/>
    <x v="10"/>
    <x v="61"/>
  </r>
  <r>
    <n v="2848"/>
    <s v="NL22RABO0381604934"/>
    <m/>
    <x v="5"/>
    <x v="68"/>
    <d v="2021-06-14T00:00:00"/>
    <d v="2021-06-14T00:00:00"/>
    <n v="-20"/>
    <n v="20"/>
    <m/>
    <s v="CCV*OV Station Blerick VENLO"/>
    <x v="1"/>
    <x v="10"/>
    <x v="61"/>
  </r>
  <r>
    <n v="2896"/>
    <s v="NL22RABO0381604934"/>
    <m/>
    <x v="5"/>
    <x v="69"/>
    <d v="2021-07-15T00:00:00"/>
    <d v="2021-07-15T00:00:00"/>
    <n v="-20"/>
    <n v="20"/>
    <m/>
    <s v="NS-Horst-Sevenum 201 HEGELSOM"/>
    <x v="1"/>
    <x v="10"/>
    <x v="61"/>
  </r>
  <r>
    <n v="2972"/>
    <s v="NL22RABO0381604934"/>
    <m/>
    <x v="5"/>
    <x v="64"/>
    <d v="2021-09-16T00:00:00"/>
    <d v="2021-09-16T00:00:00"/>
    <n v="-20"/>
    <n v="20"/>
    <m/>
    <s v="NS-arnhem 205 ARNHEM"/>
    <x v="1"/>
    <x v="10"/>
    <x v="61"/>
  </r>
  <r>
    <n v="3000"/>
    <s v="NL22RABO0381604934"/>
    <m/>
    <x v="5"/>
    <x v="25"/>
    <d v="2021-10-05T00:00:00"/>
    <d v="2021-10-05T00:00:00"/>
    <n v="-50"/>
    <n v="50"/>
    <m/>
    <s v="CCV*OV The Read Shop S STADSKANAAL"/>
    <x v="1"/>
    <x v="10"/>
    <x v="61"/>
  </r>
  <r>
    <n v="3032"/>
    <s v="NL22RABO0381604934"/>
    <m/>
    <x v="5"/>
    <x v="25"/>
    <d v="2021-10-15T00:00:00"/>
    <d v="2021-10-15T00:00:00"/>
    <n v="-30"/>
    <n v="30"/>
    <m/>
    <s v="HTM Personenvervoer 'S-GRAVENHAGE"/>
    <x v="1"/>
    <x v="10"/>
    <x v="61"/>
  </r>
  <r>
    <n v="3060"/>
    <s v="NL22RABO0381604934"/>
    <m/>
    <x v="5"/>
    <x v="25"/>
    <d v="2021-10-24T00:00:00"/>
    <d v="2021-10-24T00:00:00"/>
    <n v="-50"/>
    <n v="50"/>
    <m/>
    <s v="NS-Arnhem 203 ARNHEM"/>
    <x v="1"/>
    <x v="10"/>
    <x v="61"/>
  </r>
  <r>
    <n v="3065"/>
    <s v="NL22RABO0381604934"/>
    <m/>
    <x v="5"/>
    <x v="25"/>
    <d v="2021-10-25T00:00:00"/>
    <d v="2021-10-25T00:00:00"/>
    <n v="17.5"/>
    <n v="17.5"/>
    <s v="NL10RBRB0948370114"/>
    <s v="W. Smit e/o W.R.F. Smit-Brands"/>
    <x v="1"/>
    <x v="10"/>
    <x v="61"/>
  </r>
  <r>
    <n v="3113"/>
    <s v="NL22RABO0381604934"/>
    <m/>
    <x v="5"/>
    <x v="26"/>
    <d v="2021-11-11T00:00:00"/>
    <d v="2021-11-11T00:00:00"/>
    <n v="-20"/>
    <n v="20"/>
    <m/>
    <s v="Opladen OV-Chipkaart AMERSFOORT"/>
    <x v="1"/>
    <x v="10"/>
    <x v="61"/>
  </r>
  <r>
    <n v="202208007"/>
    <s v="NL22RABO0381604934"/>
    <s v="EUR"/>
    <x v="6"/>
    <x v="32"/>
    <d v="2022-05-31T00:00:00"/>
    <d v="2022-05-31T00:00:00"/>
    <n v="-50"/>
    <n v="50"/>
    <m/>
    <s v="CCV*OV Boek &amp; Kantoor MUSSELKANAAL"/>
    <x v="1"/>
    <x v="10"/>
    <x v="61"/>
  </r>
  <r>
    <n v="202208129"/>
    <s v="NL22RABO0381604934"/>
    <s v="EUR"/>
    <x v="6"/>
    <x v="40"/>
    <d v="2022-08-08T00:00:00"/>
    <d v="2022-08-08T00:00:00"/>
    <n v="-50"/>
    <n v="50"/>
    <m/>
    <s v="SEP*NS Nijmegen Nijmegen"/>
    <x v="1"/>
    <x v="10"/>
    <x v="61"/>
  </r>
  <r>
    <n v="202301004"/>
    <s v="NL22RABO0381604934"/>
    <s v="EUR"/>
    <x v="6"/>
    <x v="34"/>
    <d v="2022-10-03T00:00:00"/>
    <d v="2022-10-03T00:00:00"/>
    <n v="-50"/>
    <m/>
    <m/>
    <s v="CCV*OV The Read Shop S STADSKANAAL"/>
    <x v="1"/>
    <x v="10"/>
    <x v="61"/>
  </r>
  <r>
    <n v="202301038"/>
    <s v="NL22RABO0381604934"/>
    <s v="EUR"/>
    <x v="6"/>
    <x v="34"/>
    <d v="2022-10-27T00:00:00"/>
    <d v="2022-10-27T00:00:00"/>
    <n v="-7.5"/>
    <m/>
    <s v="NL62INGB0005206931"/>
    <s v="ov-chipkaart/Trans Link Systems by Buckaroo"/>
    <x v="1"/>
    <x v="10"/>
    <x v="61"/>
  </r>
  <r>
    <n v="202301044"/>
    <s v="NL22RABO0381604934"/>
    <s v="EUR"/>
    <x v="6"/>
    <x v="35"/>
    <d v="2022-11-03T00:00:00"/>
    <d v="2022-11-03T00:00:00"/>
    <n v="-50"/>
    <m/>
    <m/>
    <s v="CCV*OV Boek &amp; Kantoor MUSSELKANAAL"/>
    <x v="1"/>
    <x v="10"/>
    <x v="61"/>
  </r>
  <r>
    <n v="202301049"/>
    <s v="NL22RABO0381604934"/>
    <s v="EUR"/>
    <x v="6"/>
    <x v="35"/>
    <d v="2022-11-04T00:00:00"/>
    <d v="2022-11-04T00:00:00"/>
    <n v="32.659999999999997"/>
    <m/>
    <s v="NL12RABO0306498111"/>
    <s v="TLS BV inz. OV-Chipkaart"/>
    <x v="1"/>
    <x v="10"/>
    <x v="61"/>
  </r>
  <r>
    <n v="202305028"/>
    <s v="NL22RABO0381604934"/>
    <s v="EUR"/>
    <x v="0"/>
    <x v="0"/>
    <d v="2023-02-25T00:00:00"/>
    <d v="2023-02-25T00:00:00"/>
    <n v="-50"/>
    <n v="337.41"/>
    <m/>
    <s v="SEP*Opladen OV-Chipkaa UTRECHT"/>
    <x v="1"/>
    <x v="10"/>
    <x v="61"/>
  </r>
  <r>
    <n v="544"/>
    <s v="NL22RABO0381604934"/>
    <m/>
    <x v="1"/>
    <x v="44"/>
    <d v="2017-04-26T00:00:00"/>
    <d v="2017-04-26T00:00:00"/>
    <n v="1279.97"/>
    <n v="1279.97"/>
    <m/>
    <s v="EUROPEAN LEISURE SUPPORT"/>
    <x v="3"/>
    <x v="11"/>
    <x v="63"/>
  </r>
  <r>
    <n v="557"/>
    <s v="NL22RABO0381604934"/>
    <m/>
    <x v="1"/>
    <x v="45"/>
    <d v="2017-05-11T00:00:00"/>
    <d v="2017-05-11T00:00:00"/>
    <n v="103.83"/>
    <n v="103.83"/>
    <m/>
    <s v="EUROPEAN LEISURE SUPPORT"/>
    <x v="3"/>
    <x v="11"/>
    <x v="63"/>
  </r>
  <r>
    <n v="561"/>
    <s v="NL22RABO0381604934"/>
    <m/>
    <x v="1"/>
    <x v="45"/>
    <d v="2017-05-25T00:00:00"/>
    <d v="2017-05-25T00:00:00"/>
    <n v="1279.97"/>
    <n v="1279.97"/>
    <m/>
    <s v="EUROPEAN LEISURE SUPPORT"/>
    <x v="3"/>
    <x v="11"/>
    <x v="63"/>
  </r>
  <r>
    <n v="577"/>
    <s v="NL22RABO0381604934"/>
    <m/>
    <x v="1"/>
    <x v="46"/>
    <d v="2017-06-27T00:00:00"/>
    <d v="2017-06-27T00:00:00"/>
    <n v="1279.97"/>
    <n v="1279.97"/>
    <m/>
    <s v="EUROPEAN LEISURE SUPPORT"/>
    <x v="3"/>
    <x v="11"/>
    <x v="63"/>
  </r>
  <r>
    <n v="591"/>
    <s v="NL22RABO0381604934"/>
    <m/>
    <x v="1"/>
    <x v="36"/>
    <d v="2017-07-26T00:00:00"/>
    <d v="2017-07-26T00:00:00"/>
    <n v="1279.97"/>
    <n v="1279.97"/>
    <m/>
    <s v="EUROPEAN LEISURE SUPPORT"/>
    <x v="3"/>
    <x v="11"/>
    <x v="63"/>
  </r>
  <r>
    <n v="607"/>
    <s v="NL22RABO0381604934"/>
    <m/>
    <x v="1"/>
    <x v="47"/>
    <d v="2017-08-25T00:00:00"/>
    <d v="2017-08-25T00:00:00"/>
    <n v="1279.97"/>
    <n v="1279.97"/>
    <m/>
    <s v="EUROPEAN LEISURE SUPPORT"/>
    <x v="3"/>
    <x v="11"/>
    <x v="63"/>
  </r>
  <r>
    <n v="624"/>
    <s v="NL22RABO0381604934"/>
    <m/>
    <x v="1"/>
    <x v="48"/>
    <d v="2017-09-27T00:00:00"/>
    <d v="2017-09-27T00:00:00"/>
    <n v="1799.13"/>
    <n v="1799.13"/>
    <m/>
    <s v="EUROPEAN LEISURE SUPPORT"/>
    <x v="3"/>
    <x v="11"/>
    <x v="63"/>
  </r>
  <r>
    <n v="1187"/>
    <s v="NL22RABO0381604934"/>
    <m/>
    <x v="2"/>
    <x v="10"/>
    <d v="2018-03-27T00:00:00"/>
    <d v="2018-03-27T00:00:00"/>
    <n v="329.25"/>
    <n v="329.25"/>
    <m/>
    <s v="EUROPEAN LEISURE SUPPORT"/>
    <x v="3"/>
    <x v="11"/>
    <x v="63"/>
  </r>
  <r>
    <n v="1199"/>
    <s v="NL22RABO0381604934"/>
    <m/>
    <x v="2"/>
    <x v="49"/>
    <d v="2018-04-15T00:00:00"/>
    <d v="2018-04-15T00:00:00"/>
    <n v="1448.68"/>
    <n v="1448.68"/>
    <m/>
    <s v="EUROPEAN LEISURE SUPPORT"/>
    <x v="3"/>
    <x v="11"/>
    <x v="63"/>
  </r>
  <r>
    <n v="1220"/>
    <s v="NL22RABO0381604934"/>
    <m/>
    <x v="2"/>
    <x v="50"/>
    <d v="2018-05-15T00:00:00"/>
    <d v="2018-05-15T00:00:00"/>
    <n v="1299.25"/>
    <n v="1299.25"/>
    <m/>
    <s v="EUROPEAN LEISURE SUPPORT"/>
    <x v="3"/>
    <x v="11"/>
    <x v="63"/>
  </r>
  <r>
    <n v="1222"/>
    <s v="NL22RABO0381604934"/>
    <m/>
    <x v="2"/>
    <x v="50"/>
    <d v="2018-05-15T00:00:00"/>
    <d v="2018-05-15T00:00:00"/>
    <n v="85.75"/>
    <n v="85.75"/>
    <m/>
    <s v="EUROPEAN LEISURE SUPPORT"/>
    <x v="3"/>
    <x v="11"/>
    <x v="63"/>
  </r>
  <r>
    <n v="1239"/>
    <s v="NL22RABO0381604934"/>
    <m/>
    <x v="2"/>
    <x v="51"/>
    <d v="2018-06-26T00:00:00"/>
    <d v="2018-06-26T00:00:00"/>
    <n v="1299.25"/>
    <n v="1299.25"/>
    <m/>
    <s v="European Leisure Support"/>
    <x v="3"/>
    <x v="11"/>
    <x v="63"/>
  </r>
  <r>
    <n v="1253"/>
    <s v="NL22RABO0381604934"/>
    <m/>
    <x v="2"/>
    <x v="52"/>
    <d v="2018-07-26T00:00:00"/>
    <d v="2018-07-26T00:00:00"/>
    <n v="1299.25"/>
    <n v="1299.25"/>
    <m/>
    <s v="European Leisure Support"/>
    <x v="3"/>
    <x v="11"/>
    <x v="63"/>
  </r>
  <r>
    <n v="1267"/>
    <s v="NL22RABO0381604934"/>
    <m/>
    <x v="2"/>
    <x v="37"/>
    <d v="2018-08-27T00:00:00"/>
    <d v="2018-08-27T00:00:00"/>
    <n v="1299.25"/>
    <n v="1299.25"/>
    <m/>
    <s v="European Leisure Support"/>
    <x v="3"/>
    <x v="11"/>
    <x v="63"/>
  </r>
  <r>
    <n v="1280"/>
    <s v="NL22RABO0381604934"/>
    <m/>
    <x v="2"/>
    <x v="12"/>
    <d v="2018-09-26T00:00:00"/>
    <d v="2018-09-26T00:00:00"/>
    <n v="1612.95"/>
    <n v="1612.95"/>
    <m/>
    <s v="European Leisure Support"/>
    <x v="3"/>
    <x v="11"/>
    <x v="63"/>
  </r>
  <r>
    <n v="1818"/>
    <s v="NL22RABO0381604934"/>
    <m/>
    <x v="3"/>
    <x v="54"/>
    <d v="2019-05-14T00:00:00"/>
    <d v="2019-05-14T00:00:00"/>
    <n v="861.37"/>
    <n v="861.37"/>
    <m/>
    <s v="ROMA GESTIONI S.R.L."/>
    <x v="3"/>
    <x v="11"/>
    <x v="63"/>
  </r>
  <r>
    <n v="1839"/>
    <s v="NL22RABO0381604934"/>
    <m/>
    <x v="3"/>
    <x v="55"/>
    <d v="2019-06-13T00:00:00"/>
    <d v="2019-06-13T00:00:00"/>
    <n v="1313.6"/>
    <n v="1313.6"/>
    <m/>
    <s v="ROMA GESTIONI S.R.L."/>
    <x v="3"/>
    <x v="11"/>
    <x v="63"/>
  </r>
  <r>
    <n v="1856"/>
    <s v="NL22RABO0381604934"/>
    <m/>
    <x v="3"/>
    <x v="38"/>
    <d v="2019-07-12T00:00:00"/>
    <d v="2019-07-12T00:00:00"/>
    <n v="1357.62"/>
    <n v="1357.62"/>
    <m/>
    <s v="ROMA GESTIONI S.R.L."/>
    <x v="3"/>
    <x v="11"/>
    <x v="63"/>
  </r>
  <r>
    <n v="1864"/>
    <s v="NL22RABO0381604934"/>
    <m/>
    <x v="3"/>
    <x v="38"/>
    <d v="2019-07-24T00:00:00"/>
    <d v="2019-07-24T00:00:00"/>
    <n v="223.4"/>
    <n v="223.4"/>
    <m/>
    <s v="ROMA GESTIONI S.R.L."/>
    <x v="3"/>
    <x v="11"/>
    <x v="63"/>
  </r>
  <r>
    <n v="1878"/>
    <s v="NL22RABO0381604934"/>
    <m/>
    <x v="3"/>
    <x v="41"/>
    <d v="2019-08-13T00:00:00"/>
    <d v="2019-08-13T00:00:00"/>
    <n v="1244.8399999999999"/>
    <n v="1244.8399999999999"/>
    <m/>
    <s v="ROMA GESTIONI S.R.L."/>
    <x v="3"/>
    <x v="11"/>
    <x v="63"/>
  </r>
  <r>
    <n v="1892"/>
    <s v="NL22RABO0381604934"/>
    <m/>
    <x v="3"/>
    <x v="18"/>
    <d v="2019-09-12T00:00:00"/>
    <d v="2019-09-12T00:00:00"/>
    <n v="1310"/>
    <n v="1310"/>
    <m/>
    <s v="ROMA GESTIONI S.R.L."/>
    <x v="3"/>
    <x v="11"/>
    <x v="63"/>
  </r>
  <r>
    <n v="1921"/>
    <s v="NL22RABO0381604934"/>
    <m/>
    <x v="3"/>
    <x v="39"/>
    <d v="2019-10-14T00:00:00"/>
    <d v="2019-10-14T00:00:00"/>
    <n v="3252.11"/>
    <n v="3252.11"/>
    <m/>
    <s v="ROMA GESTIONI S.R.L."/>
    <x v="3"/>
    <x v="11"/>
    <x v="63"/>
  </r>
  <r>
    <n v="2260"/>
    <s v="NL22RABO0381604934"/>
    <m/>
    <x v="4"/>
    <x v="56"/>
    <d v="2020-07-24T00:00:00"/>
    <d v="2020-07-24T00:00:00"/>
    <n v="589.83000000000004"/>
    <n v="589.83000000000004"/>
    <m/>
    <s v="European Leisure Support"/>
    <x v="3"/>
    <x v="11"/>
    <x v="63"/>
  </r>
  <r>
    <n v="2354"/>
    <s v="NL22RABO0381604934"/>
    <m/>
    <x v="4"/>
    <x v="60"/>
    <d v="2020-08-26T00:00:00"/>
    <d v="2020-08-26T00:00:00"/>
    <n v="1355.75"/>
    <n v="1355.75"/>
    <s v="NL03RABO0157613070"/>
    <s v="European Leisure Support"/>
    <x v="3"/>
    <x v="11"/>
    <x v="63"/>
  </r>
  <r>
    <n v="2415"/>
    <s v="NL22RABO0381604934"/>
    <m/>
    <x v="4"/>
    <x v="61"/>
    <d v="2020-09-25T00:00:00"/>
    <d v="2020-09-25T00:00:00"/>
    <n v="1617.63"/>
    <n v="1617.63"/>
    <s v="NL03RABO0157613070"/>
    <s v="European Leisure Support"/>
    <x v="3"/>
    <x v="11"/>
    <x v="63"/>
  </r>
  <r>
    <n v="2476"/>
    <s v="NL22RABO0381604934"/>
    <m/>
    <x v="4"/>
    <x v="57"/>
    <d v="2020-10-23T00:00:00"/>
    <d v="2020-10-23T00:00:00"/>
    <n v="68.010000000000005"/>
    <n v="68.010000000000005"/>
    <s v="NL03RABO0157613070"/>
    <s v="European Leisure Support"/>
    <x v="3"/>
    <x v="11"/>
    <x v="63"/>
  </r>
  <r>
    <n v="2644"/>
    <s v="KRUIS"/>
    <m/>
    <x v="5"/>
    <x v="69"/>
    <d v="2021-07-02T00:00:00"/>
    <d v="2021-07-02T00:00:00"/>
    <n v="-4.5"/>
    <n v="4.5"/>
    <m/>
    <s v="Camping Bertrix Bertrix BEL"/>
    <x v="3"/>
    <x v="11"/>
    <x v="63"/>
  </r>
  <r>
    <n v="2749"/>
    <s v="NL22RABO0381604934"/>
    <m/>
    <x v="5"/>
    <x v="66"/>
    <d v="2021-04-23T00:00:00"/>
    <d v="2021-04-23T00:00:00"/>
    <n v="1409.42"/>
    <n v="1409.42"/>
    <s v="NL19RABO0312303726"/>
    <s v="Vacansoleil B.V."/>
    <x v="3"/>
    <x v="11"/>
    <x v="63"/>
  </r>
  <r>
    <n v="2800"/>
    <s v="NL22RABO0381604934"/>
    <m/>
    <x v="5"/>
    <x v="67"/>
    <d v="2021-05-26T00:00:00"/>
    <d v="2021-05-26T00:00:00"/>
    <n v="1481.12"/>
    <n v="1481.12"/>
    <s v="NL19RABO0312303726"/>
    <s v="Vacansoleil B.V."/>
    <x v="3"/>
    <x v="11"/>
    <x v="63"/>
  </r>
  <r>
    <n v="2864"/>
    <s v="NL22RABO0381604934"/>
    <m/>
    <x v="5"/>
    <x v="68"/>
    <d v="2021-06-25T00:00:00"/>
    <d v="2021-06-25T00:00:00"/>
    <n v="1413.73"/>
    <n v="1413.73"/>
    <s v="NL19RABO0312303726"/>
    <s v="Vacansoleil B.V."/>
    <x v="3"/>
    <x v="11"/>
    <x v="63"/>
  </r>
  <r>
    <n v="2908"/>
    <s v="NL22RABO0381604934"/>
    <m/>
    <x v="5"/>
    <x v="69"/>
    <d v="2021-07-26T00:00:00"/>
    <d v="2021-07-26T00:00:00"/>
    <n v="1413.73"/>
    <n v="1413.73"/>
    <s v="NL19RABO0312303726"/>
    <s v="Vacansoleil B.V."/>
    <x v="3"/>
    <x v="11"/>
    <x v="63"/>
  </r>
  <r>
    <n v="2942"/>
    <s v="NL22RABO0381604934"/>
    <m/>
    <x v="5"/>
    <x v="70"/>
    <d v="2021-08-25T00:00:00"/>
    <d v="2021-08-25T00:00:00"/>
    <n v="1418.23"/>
    <n v="1418.23"/>
    <s v="NL19RABO0312303726"/>
    <s v="Vacansoleil B.V."/>
    <x v="3"/>
    <x v="11"/>
    <x v="63"/>
  </r>
  <r>
    <n v="2986"/>
    <s v="NL22RABO0381604934"/>
    <m/>
    <x v="5"/>
    <x v="64"/>
    <d v="2021-09-24T00:00:00"/>
    <d v="2021-09-24T00:00:00"/>
    <n v="2058.75"/>
    <n v="2058.75"/>
    <s v="NL19RABO0312303726"/>
    <s v="Vacansoleil B.V."/>
    <x v="3"/>
    <x v="11"/>
    <x v="63"/>
  </r>
  <r>
    <n v="3061"/>
    <s v="NL22RABO0381604934"/>
    <m/>
    <x v="5"/>
    <x v="25"/>
    <d v="2021-10-25T00:00:00"/>
    <d v="2021-10-25T00:00:00"/>
    <n v="314.45999999999998"/>
    <n v="314.45999999999998"/>
    <s v="NL19RABO0312303726"/>
    <s v="Vacansoleil B.V."/>
    <x v="3"/>
    <x v="11"/>
    <x v="63"/>
  </r>
  <r>
    <n v="3149"/>
    <s v="NL22RABO0381604934"/>
    <m/>
    <x v="5"/>
    <x v="27"/>
    <d v="2021-12-23T00:00:00"/>
    <d v="2021-12-23T00:00:00"/>
    <n v="742.28"/>
    <n v="742.28"/>
    <s v="NL19RABO0312303726"/>
    <s v="Vacansoleil B.V."/>
    <x v="3"/>
    <x v="11"/>
    <x v="63"/>
  </r>
  <r>
    <n v="3267"/>
    <s v="NL22RABO0381604934"/>
    <m/>
    <x v="6"/>
    <x v="28"/>
    <d v="2022-01-05T00:00:00"/>
    <d v="2022-01-05T00:00:00"/>
    <n v="47.49"/>
    <n v="47.49"/>
    <s v="NL19RABO0312303726"/>
    <s v="Vacansoleil B.V."/>
    <x v="3"/>
    <x v="11"/>
    <x v="63"/>
  </r>
  <r>
    <n v="202208044"/>
    <s v="NL22RABO0381604934"/>
    <s v="EUR"/>
    <x v="6"/>
    <x v="71"/>
    <d v="2022-06-24T00:00:00"/>
    <d v="2022-06-24T00:00:00"/>
    <n v="1467.37"/>
    <n v="1467.37"/>
    <s v="NL19RABO0312303726"/>
    <s v="Vacansoleil B.V."/>
    <x v="3"/>
    <x v="11"/>
    <x v="63"/>
  </r>
  <r>
    <n v="202208077"/>
    <s v="NL22RABO0381604934"/>
    <s v="EUR"/>
    <x v="6"/>
    <x v="72"/>
    <d v="2022-07-13T00:00:00"/>
    <d v="2022-07-14T00:00:00"/>
    <n v="-33.85"/>
    <n v="33.85"/>
    <s v="NL92INGB0005302809"/>
    <s v="Dienst Justis via ING"/>
    <x v="3"/>
    <x v="11"/>
    <x v="63"/>
  </r>
  <r>
    <n v="202208093"/>
    <s v="NL22RABO0381604934"/>
    <s v="EUR"/>
    <x v="6"/>
    <x v="72"/>
    <d v="2022-07-25T00:00:00"/>
    <d v="2022-07-25T00:00:00"/>
    <n v="1451.63"/>
    <n v="1451.63"/>
    <s v="NL19RABO0312303726"/>
    <s v="Vacansoleil B.V."/>
    <x v="3"/>
    <x v="11"/>
    <x v="63"/>
  </r>
  <r>
    <n v="202208161"/>
    <s v="NL22RABO0381604934"/>
    <s v="EUR"/>
    <x v="6"/>
    <x v="40"/>
    <d v="2022-08-25T00:00:00"/>
    <d v="2022-08-22T00:00:00"/>
    <n v="1627.63"/>
    <n v="1627.63"/>
    <m/>
    <s v="Vacansoleil B.V."/>
    <x v="3"/>
    <x v="11"/>
    <x v="63"/>
  </r>
  <r>
    <n v="202210044"/>
    <s v="NL22RABO0381604934"/>
    <s v="EUR"/>
    <x v="6"/>
    <x v="73"/>
    <d v="2022-09-26T00:00:00"/>
    <d v="2022-09-26T00:00:00"/>
    <n v="1559.06"/>
    <n v="1559.06"/>
    <s v="NL19RABO0312303726"/>
    <s v="Vacansoleil B.V."/>
    <x v="3"/>
    <x v="11"/>
    <x v="63"/>
  </r>
  <r>
    <n v="202301036"/>
    <s v="NL22RABO0381604934"/>
    <s v="EUR"/>
    <x v="6"/>
    <x v="34"/>
    <d v="2022-10-25T00:00:00"/>
    <d v="2022-10-25T00:00:00"/>
    <n v="764.13"/>
    <m/>
    <s v="NL19RABO0312303726"/>
    <s v="Vacansoleil B.V."/>
    <x v="3"/>
    <x v="11"/>
    <x v="63"/>
  </r>
  <r>
    <n v="202301077"/>
    <s v="NL22RABO0381604934"/>
    <s v="EUR"/>
    <x v="6"/>
    <x v="35"/>
    <d v="2022-11-25T00:00:00"/>
    <d v="2022-11-25T00:00:00"/>
    <n v="0.55000000000000004"/>
    <m/>
    <s v="NL19RABO0312303726"/>
    <s v="Vacansoleil B.V."/>
    <x v="3"/>
    <x v="11"/>
    <x v="63"/>
  </r>
  <r>
    <n v="202305009"/>
    <s v="NL22RABO0381604934"/>
    <s v="EUR"/>
    <x v="0"/>
    <x v="42"/>
    <d v="2023-01-18T00:00:00"/>
    <d v="2023-01-19T00:00:00"/>
    <n v="-33.85"/>
    <n v="415.64"/>
    <s v="NL92INGB0005302809"/>
    <s v="Dienst Justis via ING"/>
    <x v="3"/>
    <x v="11"/>
    <x v="63"/>
  </r>
  <r>
    <n v="202305055"/>
    <s v="NL22RABO0381604934"/>
    <s v="EUR"/>
    <x v="0"/>
    <x v="74"/>
    <d v="2023-03-24T00:00:00"/>
    <d v="2023-03-24T00:00:00"/>
    <n v="2103.2399999999998"/>
    <n v="2518.14"/>
    <s v="NL19RABO0312303726"/>
    <s v="Vacansoleil B.V."/>
    <x v="3"/>
    <x v="11"/>
    <x v="63"/>
  </r>
  <r>
    <n v="202305100"/>
    <s v="NL22RABO0381604934"/>
    <s v="EUR"/>
    <x v="0"/>
    <x v="75"/>
    <d v="2023-04-25T00:00:00"/>
    <d v="2023-04-25T00:00:00"/>
    <n v="1919.59"/>
    <n v="2097.75"/>
    <s v="NL19RABO0312303726"/>
    <s v="Vacansoleil B.V."/>
    <x v="3"/>
    <x v="11"/>
    <x v="63"/>
  </r>
  <r>
    <n v="89"/>
    <s v="BNPPARIBAS"/>
    <m/>
    <x v="1"/>
    <x v="4"/>
    <d v="2017-11-06T00:00:00"/>
    <d v="2017-11-06T00:00:00"/>
    <n v="-4.82"/>
    <n v="4.82"/>
    <m/>
    <s v="FACTURE CARTE DU 021117 SUBWAY CARTE 4974XXXXXXXX8716"/>
    <x v="1"/>
    <x v="12"/>
    <x v="64"/>
  </r>
  <r>
    <n v="98"/>
    <s v="BNPPARIBAS"/>
    <m/>
    <x v="1"/>
    <x v="5"/>
    <d v="2017-12-19T00:00:00"/>
    <d v="2017-12-19T00:00:00"/>
    <n v="-3.89"/>
    <n v="3.89"/>
    <m/>
    <s v="FACTURE CARTE DU 171217 AIRPORT TEA COF CARTE 4974XXXX"/>
    <x v="1"/>
    <x v="12"/>
    <x v="64"/>
  </r>
  <r>
    <n v="101"/>
    <s v="BNPPARIBAS"/>
    <m/>
    <x v="1"/>
    <x v="5"/>
    <d v="2017-12-22T00:00:00"/>
    <d v="2017-12-22T00:00:00"/>
    <n v="-4.29"/>
    <n v="4.29"/>
    <m/>
    <s v="FACTURE CARTE DU 181217 STARBUCKS-KLIA CARTE 4974XXXXX"/>
    <x v="1"/>
    <x v="12"/>
    <x v="64"/>
  </r>
  <r>
    <n v="107"/>
    <s v="KAS"/>
    <m/>
    <x v="1"/>
    <x v="43"/>
    <d v="2017-03-10T00:00:00"/>
    <d v="2017-03-10T00:00:00"/>
    <n v="-0.4"/>
    <n v="0.4"/>
    <m/>
    <s v="broodje soep"/>
    <x v="1"/>
    <x v="12"/>
    <x v="65"/>
  </r>
  <r>
    <n v="109"/>
    <s v="KAS"/>
    <m/>
    <x v="1"/>
    <x v="43"/>
    <d v="2017-03-18T00:00:00"/>
    <d v="2017-03-18T00:00:00"/>
    <n v="-5.7"/>
    <n v="5.7"/>
    <m/>
    <s v="doppio"/>
    <x v="1"/>
    <x v="12"/>
    <x v="66"/>
  </r>
  <r>
    <n v="114"/>
    <s v="KAS"/>
    <m/>
    <x v="1"/>
    <x v="43"/>
    <d v="2017-03-27T00:00:00"/>
    <d v="2017-03-27T00:00:00"/>
    <n v="-2"/>
    <n v="2"/>
    <m/>
    <s v="espresso msk"/>
    <x v="1"/>
    <x v="12"/>
    <x v="66"/>
  </r>
  <r>
    <n v="115"/>
    <s v="KAS"/>
    <m/>
    <x v="1"/>
    <x v="43"/>
    <d v="2017-03-27T00:00:00"/>
    <d v="2017-03-27T00:00:00"/>
    <n v="-2.2999999999999998"/>
    <n v="2.2999999999999998"/>
    <m/>
    <s v="espresso vliegveld"/>
    <x v="1"/>
    <x v="12"/>
    <x v="66"/>
  </r>
  <r>
    <n v="118"/>
    <s v="KAS"/>
    <m/>
    <x v="1"/>
    <x v="43"/>
    <d v="2017-03-27T00:00:00"/>
    <d v="2017-03-27T00:00:00"/>
    <n v="-1.3"/>
    <n v="1.3"/>
    <m/>
    <s v="snickers vliegveld"/>
    <x v="1"/>
    <x v="12"/>
    <x v="65"/>
  </r>
  <r>
    <n v="120"/>
    <s v="KAS"/>
    <m/>
    <x v="1"/>
    <x v="43"/>
    <d v="2017-03-28T00:00:00"/>
    <d v="2017-03-28T00:00:00"/>
    <n v="-3.5"/>
    <n v="3.5"/>
    <m/>
    <s v="espresso+suppli"/>
    <x v="1"/>
    <x v="12"/>
    <x v="66"/>
  </r>
  <r>
    <n v="121"/>
    <s v="KAS"/>
    <m/>
    <x v="1"/>
    <x v="43"/>
    <d v="2017-03-28T00:00:00"/>
    <d v="2017-03-28T00:00:00"/>
    <n v="-15"/>
    <n v="15"/>
    <m/>
    <s v="i cugini"/>
    <x v="1"/>
    <x v="12"/>
    <x v="67"/>
  </r>
  <r>
    <n v="123"/>
    <s v="KAS"/>
    <m/>
    <x v="1"/>
    <x v="43"/>
    <d v="2017-03-31T00:00:00"/>
    <d v="2017-03-31T00:00:00"/>
    <n v="-1.8"/>
    <n v="1.8"/>
    <m/>
    <s v="espresoo 30/3"/>
    <x v="1"/>
    <x v="12"/>
    <x v="66"/>
  </r>
  <r>
    <n v="124"/>
    <s v="KAS"/>
    <m/>
    <x v="1"/>
    <x v="43"/>
    <d v="2017-03-31T00:00:00"/>
    <d v="2017-03-31T00:00:00"/>
    <n v="-3.4"/>
    <n v="3.4"/>
    <m/>
    <s v="espresso+capp 1/4"/>
    <x v="1"/>
    <x v="12"/>
    <x v="66"/>
  </r>
  <r>
    <n v="125"/>
    <s v="KAS"/>
    <m/>
    <x v="1"/>
    <x v="43"/>
    <d v="2017-03-31T00:00:00"/>
    <d v="2017-03-31T00:00:00"/>
    <n v="-1.8"/>
    <n v="1.8"/>
    <m/>
    <s v="espresoo 30/3"/>
    <x v="1"/>
    <x v="12"/>
    <x v="66"/>
  </r>
  <r>
    <n v="126"/>
    <s v="KAS"/>
    <m/>
    <x v="1"/>
    <x v="43"/>
    <d v="2017-03-31T00:00:00"/>
    <d v="2017-03-31T00:00:00"/>
    <n v="-3.4"/>
    <n v="3.4"/>
    <m/>
    <s v="espresso+capp 1/4"/>
    <x v="1"/>
    <x v="12"/>
    <x v="66"/>
  </r>
  <r>
    <n v="128"/>
    <s v="KAS"/>
    <m/>
    <x v="1"/>
    <x v="44"/>
    <d v="2017-04-01T00:00:00"/>
    <d v="2017-04-01T00:00:00"/>
    <n v="-4"/>
    <n v="4"/>
    <m/>
    <s v="cafe roscioli"/>
    <x v="1"/>
    <x v="12"/>
    <x v="66"/>
  </r>
  <r>
    <n v="131"/>
    <s v="KAS"/>
    <m/>
    <x v="1"/>
    <x v="44"/>
    <d v="2017-04-01T00:00:00"/>
    <d v="2017-04-01T00:00:00"/>
    <n v="-3"/>
    <n v="3"/>
    <m/>
    <s v="tiger nootjes"/>
    <x v="1"/>
    <x v="12"/>
    <x v="65"/>
  </r>
  <r>
    <n v="132"/>
    <s v="KAS"/>
    <m/>
    <x v="1"/>
    <x v="44"/>
    <d v="2017-04-01T00:00:00"/>
    <d v="2017-04-01T00:00:00"/>
    <n v="-1"/>
    <n v="1"/>
    <m/>
    <s v="cafetramdepot"/>
    <x v="1"/>
    <x v="12"/>
    <x v="66"/>
  </r>
  <r>
    <n v="134"/>
    <s v="KAS"/>
    <m/>
    <x v="1"/>
    <x v="44"/>
    <d v="2017-04-01T00:00:00"/>
    <d v="2017-04-01T00:00:00"/>
    <n v="-1.8"/>
    <n v="1.8"/>
    <m/>
    <s v="pizza al taglio 5/4"/>
    <x v="1"/>
    <x v="12"/>
    <x v="65"/>
  </r>
  <r>
    <n v="136"/>
    <s v="KAS"/>
    <m/>
    <x v="1"/>
    <x v="44"/>
    <d v="2017-04-02T00:00:00"/>
    <d v="2017-04-02T00:00:00"/>
    <n v="-1.8"/>
    <n v="1.8"/>
    <m/>
    <s v="espresso oasi 2x"/>
    <x v="1"/>
    <x v="12"/>
    <x v="66"/>
  </r>
  <r>
    <n v="137"/>
    <s v="KAS"/>
    <m/>
    <x v="1"/>
    <x v="44"/>
    <d v="2017-04-07T00:00:00"/>
    <d v="2017-04-07T00:00:00"/>
    <n v="-4"/>
    <n v="4"/>
    <m/>
    <s v="favoloso /74 6/4"/>
    <x v="1"/>
    <x v="12"/>
    <x v="64"/>
  </r>
  <r>
    <n v="138"/>
    <s v="KAS"/>
    <m/>
    <x v="1"/>
    <x v="44"/>
    <d v="2017-04-07T00:00:00"/>
    <d v="2017-04-07T00:00:00"/>
    <n v="-11"/>
    <n v="11"/>
    <m/>
    <s v="i cugini 5/4"/>
    <x v="1"/>
    <x v="12"/>
    <x v="67"/>
  </r>
  <r>
    <n v="139"/>
    <s v="KAS"/>
    <m/>
    <x v="1"/>
    <x v="44"/>
    <d v="2017-04-07T00:00:00"/>
    <d v="2017-04-07T00:00:00"/>
    <n v="-3"/>
    <n v="3"/>
    <m/>
    <s v="barbecue"/>
    <x v="1"/>
    <x v="12"/>
    <x v="64"/>
  </r>
  <r>
    <n v="142"/>
    <s v="KAS"/>
    <m/>
    <x v="1"/>
    <x v="44"/>
    <d v="2017-04-07T00:00:00"/>
    <d v="2017-04-07T00:00:00"/>
    <n v="-2"/>
    <n v="2"/>
    <m/>
    <s v="koffie"/>
    <x v="1"/>
    <x v="12"/>
    <x v="66"/>
  </r>
  <r>
    <n v="143"/>
    <s v="KAS"/>
    <m/>
    <x v="1"/>
    <x v="44"/>
    <d v="2017-04-07T00:00:00"/>
    <d v="2017-04-07T00:00:00"/>
    <n v="-2"/>
    <n v="2"/>
    <m/>
    <s v="koffie"/>
    <x v="1"/>
    <x v="12"/>
    <x v="66"/>
  </r>
  <r>
    <n v="144"/>
    <s v="KAS"/>
    <m/>
    <x v="1"/>
    <x v="44"/>
    <d v="2017-04-07T00:00:00"/>
    <d v="2017-04-07T00:00:00"/>
    <n v="-1.5"/>
    <n v="1.5"/>
    <m/>
    <s v="espresso tram depot"/>
    <x v="1"/>
    <x v="12"/>
    <x v="66"/>
  </r>
  <r>
    <n v="145"/>
    <s v="KAS"/>
    <m/>
    <x v="1"/>
    <x v="44"/>
    <d v="2017-04-07T00:00:00"/>
    <d v="2017-04-07T00:00:00"/>
    <n v="-9.5"/>
    <n v="9.5"/>
    <m/>
    <s v="pizza metmarat"/>
    <x v="1"/>
    <x v="12"/>
    <x v="67"/>
  </r>
  <r>
    <n v="147"/>
    <s v="KAS"/>
    <m/>
    <x v="1"/>
    <x v="44"/>
    <d v="2017-04-07T00:00:00"/>
    <d v="2017-04-07T00:00:00"/>
    <n v="-2.2999999999999998"/>
    <n v="2.2999999999999998"/>
    <m/>
    <s v="koffie riscioli"/>
    <x v="1"/>
    <x v="12"/>
    <x v="66"/>
  </r>
  <r>
    <n v="150"/>
    <s v="KAS"/>
    <m/>
    <x v="1"/>
    <x v="44"/>
    <d v="2017-04-11T00:00:00"/>
    <d v="2017-04-11T00:00:00"/>
    <n v="-1"/>
    <n v="1"/>
    <m/>
    <s v="espresso"/>
    <x v="1"/>
    <x v="12"/>
    <x v="66"/>
  </r>
  <r>
    <n v="153"/>
    <s v="KAS"/>
    <m/>
    <x v="1"/>
    <x v="44"/>
    <d v="2017-04-11T00:00:00"/>
    <d v="2017-04-11T00:00:00"/>
    <n v="-1"/>
    <n v="1"/>
    <m/>
    <s v="espresso"/>
    <x v="1"/>
    <x v="12"/>
    <x v="66"/>
  </r>
  <r>
    <n v="154"/>
    <s v="KAS"/>
    <m/>
    <x v="1"/>
    <x v="44"/>
    <d v="2017-04-14T00:00:00"/>
    <d v="2017-04-14T00:00:00"/>
    <n v="-10"/>
    <n v="10"/>
    <m/>
    <s v="pizza favoloso"/>
    <x v="1"/>
    <x v="12"/>
    <x v="67"/>
  </r>
  <r>
    <n v="157"/>
    <s v="KAS"/>
    <m/>
    <x v="1"/>
    <x v="44"/>
    <d v="2017-04-17T00:00:00"/>
    <d v="2017-04-17T00:00:00"/>
    <n v="-1"/>
    <n v="1"/>
    <m/>
    <s v="koffie"/>
    <x v="1"/>
    <x v="12"/>
    <x v="66"/>
  </r>
  <r>
    <n v="160"/>
    <s v="KAS"/>
    <m/>
    <x v="1"/>
    <x v="44"/>
    <d v="2017-04-17T00:00:00"/>
    <d v="2017-04-17T00:00:00"/>
    <n v="-2"/>
    <n v="2"/>
    <m/>
    <s v="favoloso 17/4"/>
    <x v="1"/>
    <x v="12"/>
    <x v="64"/>
  </r>
  <r>
    <n v="161"/>
    <s v="KAS"/>
    <m/>
    <x v="1"/>
    <x v="44"/>
    <d v="2017-04-17T00:00:00"/>
    <d v="2017-04-17T00:00:00"/>
    <n v="-0.5"/>
    <n v="0.5"/>
    <m/>
    <s v="wc"/>
    <x v="1"/>
    <x v="12"/>
    <x v="64"/>
  </r>
  <r>
    <n v="163"/>
    <s v="KAS"/>
    <m/>
    <x v="1"/>
    <x v="44"/>
    <d v="2017-04-17T00:00:00"/>
    <d v="2017-04-17T00:00:00"/>
    <n v="-2.15"/>
    <n v="2.15"/>
    <m/>
    <s v="pizza florida"/>
    <x v="1"/>
    <x v="12"/>
    <x v="65"/>
  </r>
  <r>
    <n v="164"/>
    <s v="KAS"/>
    <m/>
    <x v="1"/>
    <x v="44"/>
    <d v="2017-04-17T00:00:00"/>
    <d v="2017-04-17T00:00:00"/>
    <n v="-12"/>
    <n v="12"/>
    <m/>
    <s v="i cugini"/>
    <x v="1"/>
    <x v="12"/>
    <x v="67"/>
  </r>
  <r>
    <n v="165"/>
    <s v="KAS"/>
    <m/>
    <x v="1"/>
    <x v="44"/>
    <d v="2017-04-17T00:00:00"/>
    <d v="2017-04-17T00:00:00"/>
    <n v="-2"/>
    <n v="2"/>
    <m/>
    <s v="espresso @ faro"/>
    <x v="1"/>
    <x v="12"/>
    <x v="66"/>
  </r>
  <r>
    <n v="166"/>
    <s v="KAS"/>
    <m/>
    <x v="1"/>
    <x v="44"/>
    <d v="2017-04-17T00:00:00"/>
    <d v="2017-04-17T00:00:00"/>
    <n v="-1"/>
    <n v="1"/>
    <m/>
    <s v="espresso @ shari vari"/>
    <x v="1"/>
    <x v="12"/>
    <x v="66"/>
  </r>
  <r>
    <n v="167"/>
    <s v="KAS"/>
    <m/>
    <x v="1"/>
    <x v="44"/>
    <d v="2017-04-17T00:00:00"/>
    <d v="2017-04-17T00:00:00"/>
    <n v="-1"/>
    <n v="1"/>
    <m/>
    <s v="espresso"/>
    <x v="1"/>
    <x v="12"/>
    <x v="66"/>
  </r>
  <r>
    <n v="170"/>
    <s v="KAS"/>
    <m/>
    <x v="1"/>
    <x v="44"/>
    <d v="2017-04-17T00:00:00"/>
    <d v="2017-04-17T00:00:00"/>
    <n v="-15"/>
    <n v="15"/>
    <m/>
    <s v="icugini 22/4"/>
    <x v="1"/>
    <x v="12"/>
    <x v="64"/>
  </r>
  <r>
    <n v="171"/>
    <s v="KAS"/>
    <m/>
    <x v="1"/>
    <x v="44"/>
    <d v="2017-04-17T00:00:00"/>
    <d v="2017-04-17T00:00:00"/>
    <n v="-0.9"/>
    <n v="0.9"/>
    <m/>
    <s v="espre 20/4"/>
    <x v="1"/>
    <x v="12"/>
    <x v="66"/>
  </r>
  <r>
    <n v="172"/>
    <s v="KAS"/>
    <m/>
    <x v="1"/>
    <x v="44"/>
    <d v="2017-04-17T00:00:00"/>
    <d v="2017-04-17T00:00:00"/>
    <n v="-4.5999999999999996"/>
    <n v="4.5999999999999996"/>
    <m/>
    <s v="favoloso 21/4 22/4 20/4"/>
    <x v="1"/>
    <x v="12"/>
    <x v="64"/>
  </r>
  <r>
    <n v="178"/>
    <s v="KAS"/>
    <m/>
    <x v="1"/>
    <x v="44"/>
    <d v="2017-04-26T00:00:00"/>
    <d v="2017-04-26T00:00:00"/>
    <n v="-15"/>
    <n v="15"/>
    <m/>
    <s v="broidjemet romy"/>
    <x v="1"/>
    <x v="12"/>
    <x v="64"/>
  </r>
  <r>
    <n v="179"/>
    <s v="KAS"/>
    <m/>
    <x v="1"/>
    <x v="44"/>
    <d v="2017-04-26T00:00:00"/>
    <d v="2017-04-26T00:00:00"/>
    <n v="-2"/>
    <n v="2"/>
    <m/>
    <s v="koffie 29/4"/>
    <x v="1"/>
    <x v="12"/>
    <x v="66"/>
  </r>
  <r>
    <n v="180"/>
    <s v="KAS"/>
    <m/>
    <x v="1"/>
    <x v="44"/>
    <d v="2017-04-26T00:00:00"/>
    <d v="2017-04-26T00:00:00"/>
    <n v="-2"/>
    <n v="2"/>
    <m/>
    <s v="koffie 28/4 en27/4"/>
    <x v="1"/>
    <x v="12"/>
    <x v="66"/>
  </r>
  <r>
    <n v="182"/>
    <s v="KAS"/>
    <m/>
    <x v="1"/>
    <x v="44"/>
    <d v="2017-04-26T00:00:00"/>
    <d v="2017-04-26T00:00:00"/>
    <n v="-1"/>
    <n v="1"/>
    <m/>
    <s v="koffie 30/4"/>
    <x v="1"/>
    <x v="12"/>
    <x v="66"/>
  </r>
  <r>
    <n v="183"/>
    <s v="KAS"/>
    <m/>
    <x v="1"/>
    <x v="44"/>
    <d v="2017-04-26T00:00:00"/>
    <d v="2017-04-26T00:00:00"/>
    <n v="-20"/>
    <n v="20"/>
    <m/>
    <s v="rob pizza 30/4 +atac 29/4"/>
    <x v="1"/>
    <x v="12"/>
    <x v="64"/>
  </r>
  <r>
    <n v="185"/>
    <s v="KAS"/>
    <m/>
    <x v="1"/>
    <x v="44"/>
    <d v="2017-04-26T00:00:00"/>
    <d v="2017-04-26T00:00:00"/>
    <n v="-5"/>
    <n v="5"/>
    <m/>
    <s v="tramezzino+espresoo 2/5"/>
    <x v="1"/>
    <x v="12"/>
    <x v="64"/>
  </r>
  <r>
    <n v="186"/>
    <s v="KAS"/>
    <m/>
    <x v="1"/>
    <x v="44"/>
    <d v="2017-04-26T00:00:00"/>
    <d v="2017-04-26T00:00:00"/>
    <n v="-3"/>
    <n v="3"/>
    <m/>
    <s v="koffie 1/5 tm 35"/>
    <x v="1"/>
    <x v="12"/>
    <x v="66"/>
  </r>
  <r>
    <n v="189"/>
    <s v="KAS"/>
    <m/>
    <x v="1"/>
    <x v="45"/>
    <d v="2017-05-02T00:00:00"/>
    <d v="2017-05-02T00:00:00"/>
    <n v="-3"/>
    <n v="3"/>
    <m/>
    <s v="capp + brioche5/5"/>
    <x v="1"/>
    <x v="12"/>
    <x v="66"/>
  </r>
  <r>
    <n v="190"/>
    <s v="KAS"/>
    <m/>
    <x v="1"/>
    <x v="45"/>
    <d v="2017-05-02T00:00:00"/>
    <d v="2017-05-02T00:00:00"/>
    <n v="-1"/>
    <n v="1"/>
    <m/>
    <s v="koffie 5/5"/>
    <x v="1"/>
    <x v="12"/>
    <x v="66"/>
  </r>
  <r>
    <n v="191"/>
    <s v="KAS"/>
    <m/>
    <x v="1"/>
    <x v="45"/>
    <d v="2017-05-02T00:00:00"/>
    <d v="2017-05-02T00:00:00"/>
    <n v="-2"/>
    <n v="2"/>
    <m/>
    <s v="capp 6/5"/>
    <x v="1"/>
    <x v="12"/>
    <x v="66"/>
  </r>
  <r>
    <n v="195"/>
    <s v="KAS"/>
    <m/>
    <x v="1"/>
    <x v="45"/>
    <d v="2017-05-02T00:00:00"/>
    <d v="2017-05-02T00:00:00"/>
    <n v="-2"/>
    <n v="2"/>
    <m/>
    <s v="koffie 2x 4/5"/>
    <x v="1"/>
    <x v="12"/>
    <x v="66"/>
  </r>
  <r>
    <n v="196"/>
    <s v="KAS"/>
    <m/>
    <x v="1"/>
    <x v="45"/>
    <d v="2017-05-02T00:00:00"/>
    <d v="2017-05-02T00:00:00"/>
    <n v="-5"/>
    <n v="5"/>
    <m/>
    <s v="wrap"/>
    <x v="1"/>
    <x v="12"/>
    <x v="64"/>
  </r>
  <r>
    <n v="197"/>
    <s v="KAS"/>
    <m/>
    <x v="1"/>
    <x v="45"/>
    <d v="2017-05-02T00:00:00"/>
    <d v="2017-05-02T00:00:00"/>
    <n v="-3"/>
    <n v="3"/>
    <m/>
    <s v="spritz"/>
    <x v="1"/>
    <x v="12"/>
    <x v="64"/>
  </r>
  <r>
    <n v="199"/>
    <s v="KAS"/>
    <m/>
    <x v="1"/>
    <x v="45"/>
    <d v="2017-05-02T00:00:00"/>
    <d v="2017-05-02T00:00:00"/>
    <n v="-0.8"/>
    <n v="0.8"/>
    <m/>
    <s v="aqya"/>
    <x v="1"/>
    <x v="12"/>
    <x v="64"/>
  </r>
  <r>
    <n v="201"/>
    <s v="KAS"/>
    <m/>
    <x v="1"/>
    <x v="45"/>
    <d v="2017-05-02T00:00:00"/>
    <d v="2017-05-02T00:00:00"/>
    <n v="-1"/>
    <n v="1"/>
    <m/>
    <s v="espresso mercato centrale 7/5"/>
    <x v="1"/>
    <x v="12"/>
    <x v="66"/>
  </r>
  <r>
    <n v="203"/>
    <s v="KAS"/>
    <m/>
    <x v="1"/>
    <x v="45"/>
    <d v="2017-05-02T00:00:00"/>
    <d v="2017-05-02T00:00:00"/>
    <n v="-1.93"/>
    <n v="1.93"/>
    <m/>
    <s v="salade rome 7/5"/>
    <x v="1"/>
    <x v="12"/>
    <x v="64"/>
  </r>
  <r>
    <n v="204"/>
    <s v="KAS"/>
    <m/>
    <x v="1"/>
    <x v="45"/>
    <d v="2017-05-02T00:00:00"/>
    <d v="2017-05-02T00:00:00"/>
    <n v="-1"/>
    <n v="1"/>
    <m/>
    <s v="favoloso cornetto 9/5"/>
    <x v="1"/>
    <x v="12"/>
    <x v="64"/>
  </r>
  <r>
    <n v="205"/>
    <s v="KAS"/>
    <m/>
    <x v="1"/>
    <x v="45"/>
    <d v="2017-05-09T00:00:00"/>
    <d v="2017-05-09T00:00:00"/>
    <n v="-5"/>
    <n v="5"/>
    <m/>
    <s v="100 montaditos"/>
    <x v="1"/>
    <x v="12"/>
    <x v="64"/>
  </r>
  <r>
    <n v="206"/>
    <s v="KAS"/>
    <m/>
    <x v="1"/>
    <x v="45"/>
    <d v="2017-05-09T00:00:00"/>
    <d v="2017-05-09T00:00:00"/>
    <n v="-2"/>
    <n v="2"/>
    <m/>
    <s v="espresso "/>
    <x v="1"/>
    <x v="12"/>
    <x v="66"/>
  </r>
  <r>
    <n v="209"/>
    <s v="KAS"/>
    <m/>
    <x v="1"/>
    <x v="45"/>
    <d v="2017-05-09T00:00:00"/>
    <d v="2017-05-09T00:00:00"/>
    <n v="-2"/>
    <n v="2"/>
    <m/>
    <s v="espresso 11/5"/>
    <x v="1"/>
    <x v="12"/>
    <x v="66"/>
  </r>
  <r>
    <n v="213"/>
    <s v="KAS"/>
    <m/>
    <x v="1"/>
    <x v="45"/>
    <d v="2017-05-09T00:00:00"/>
    <d v="2017-05-09T00:00:00"/>
    <n v="-1.6"/>
    <n v="1.6"/>
    <m/>
    <s v="espresso 13/5"/>
    <x v="1"/>
    <x v="12"/>
    <x v="66"/>
  </r>
  <r>
    <n v="214"/>
    <s v="KAS"/>
    <m/>
    <x v="1"/>
    <x v="45"/>
    <d v="2017-05-09T00:00:00"/>
    <d v="2017-05-09T00:00:00"/>
    <n v="-4"/>
    <n v="4"/>
    <m/>
    <s v="koffie 13/5"/>
    <x v="1"/>
    <x v="12"/>
    <x v="66"/>
  </r>
  <r>
    <n v="215"/>
    <s v="KAS"/>
    <m/>
    <x v="1"/>
    <x v="45"/>
    <d v="2017-05-09T00:00:00"/>
    <d v="2017-05-09T00:00:00"/>
    <n v="-4.8"/>
    <n v="4.8"/>
    <m/>
    <s v="spritz 13/5"/>
    <x v="1"/>
    <x v="12"/>
    <x v="64"/>
  </r>
  <r>
    <n v="216"/>
    <s v="KAS"/>
    <m/>
    <x v="1"/>
    <x v="45"/>
    <d v="2017-05-09T00:00:00"/>
    <d v="2017-05-09T00:00:00"/>
    <n v="-2.8"/>
    <n v="2.8"/>
    <m/>
    <s v="panino 13/5"/>
    <x v="1"/>
    <x v="12"/>
    <x v="64"/>
  </r>
  <r>
    <n v="217"/>
    <s v="KAS"/>
    <m/>
    <x v="1"/>
    <x v="45"/>
    <d v="2017-05-13T00:00:00"/>
    <d v="2017-05-13T00:00:00"/>
    <n v="-1.8"/>
    <n v="1.8"/>
    <m/>
    <s v="koffie+water 13/5"/>
    <x v="1"/>
    <x v="12"/>
    <x v="66"/>
  </r>
  <r>
    <n v="218"/>
    <s v="KAS"/>
    <m/>
    <x v="1"/>
    <x v="45"/>
    <d v="2017-05-13T00:00:00"/>
    <d v="2017-05-13T00:00:00"/>
    <n v="-13"/>
    <n v="13"/>
    <m/>
    <s v="pizza met sabrina"/>
    <x v="1"/>
    <x v="12"/>
    <x v="67"/>
  </r>
  <r>
    <n v="219"/>
    <s v="KAS"/>
    <m/>
    <x v="1"/>
    <x v="45"/>
    <d v="2017-05-13T00:00:00"/>
    <d v="2017-05-13T00:00:00"/>
    <n v="-3.5"/>
    <n v="3.5"/>
    <m/>
    <s v="pizza al taglio 16/5"/>
    <x v="1"/>
    <x v="12"/>
    <x v="65"/>
  </r>
  <r>
    <n v="220"/>
    <s v="KAS"/>
    <m/>
    <x v="1"/>
    <x v="45"/>
    <d v="2017-05-13T00:00:00"/>
    <d v="2017-05-13T00:00:00"/>
    <n v="-4.4000000000000004"/>
    <n v="4.4000000000000004"/>
    <m/>
    <s v="favoloso"/>
    <x v="1"/>
    <x v="12"/>
    <x v="64"/>
  </r>
  <r>
    <n v="224"/>
    <s v="KAS"/>
    <m/>
    <x v="1"/>
    <x v="45"/>
    <d v="2017-05-17T00:00:00"/>
    <d v="2017-05-17T00:00:00"/>
    <n v="-2"/>
    <n v="2"/>
    <m/>
    <s v="sprite 17/5"/>
    <x v="1"/>
    <x v="12"/>
    <x v="64"/>
  </r>
  <r>
    <n v="225"/>
    <s v="KAS"/>
    <m/>
    <x v="1"/>
    <x v="45"/>
    <d v="2017-05-17T00:00:00"/>
    <d v="2017-05-17T00:00:00"/>
    <n v="-1.8"/>
    <n v="1.8"/>
    <m/>
    <s v="ijsje 17/5"/>
    <x v="1"/>
    <x v="12"/>
    <x v="65"/>
  </r>
  <r>
    <n v="229"/>
    <s v="KAS"/>
    <m/>
    <x v="1"/>
    <x v="45"/>
    <d v="2017-05-17T00:00:00"/>
    <d v="2017-05-17T00:00:00"/>
    <n v="-4"/>
    <n v="4"/>
    <m/>
    <s v="faro espresso"/>
    <x v="1"/>
    <x v="12"/>
    <x v="66"/>
  </r>
  <r>
    <n v="230"/>
    <s v="KAS"/>
    <m/>
    <x v="1"/>
    <x v="45"/>
    <d v="2017-05-17T00:00:00"/>
    <d v="2017-05-17T00:00:00"/>
    <n v="-2.2999999999999998"/>
    <n v="2.2999999999999998"/>
    <m/>
    <s v="pizza al taglio "/>
    <x v="1"/>
    <x v="12"/>
    <x v="65"/>
  </r>
  <r>
    <n v="232"/>
    <s v="KAS"/>
    <m/>
    <x v="1"/>
    <x v="45"/>
    <d v="2017-05-20T00:00:00"/>
    <d v="2017-05-20T00:00:00"/>
    <n v="-2"/>
    <n v="2"/>
    <m/>
    <s v="2 dgn espresso"/>
    <x v="1"/>
    <x v="12"/>
    <x v="66"/>
  </r>
  <r>
    <n v="234"/>
    <s v="KAS"/>
    <m/>
    <x v="1"/>
    <x v="45"/>
    <d v="2017-05-20T00:00:00"/>
    <d v="2017-05-20T00:00:00"/>
    <n v="-15"/>
    <n v="15"/>
    <m/>
    <s v="pizza 20/5"/>
    <x v="1"/>
    <x v="12"/>
    <x v="67"/>
  </r>
  <r>
    <n v="235"/>
    <s v="KAS"/>
    <m/>
    <x v="1"/>
    <x v="45"/>
    <d v="2017-05-25T00:00:00"/>
    <d v="2017-05-25T00:00:00"/>
    <n v="-5"/>
    <n v="5"/>
    <m/>
    <s v="piadina 23/"/>
    <x v="1"/>
    <x v="12"/>
    <x v="64"/>
  </r>
  <r>
    <n v="237"/>
    <s v="KAS"/>
    <m/>
    <x v="1"/>
    <x v="45"/>
    <d v="2017-05-25T00:00:00"/>
    <d v="2017-05-25T00:00:00"/>
    <n v="-11.9"/>
    <n v="11.9"/>
    <m/>
    <s v="favoloso 7 dgn"/>
    <x v="1"/>
    <x v="12"/>
    <x v="64"/>
  </r>
  <r>
    <n v="238"/>
    <s v="KAS"/>
    <m/>
    <x v="1"/>
    <x v="45"/>
    <d v="2017-05-25T00:00:00"/>
    <d v="2017-05-25T00:00:00"/>
    <n v="-2.7"/>
    <n v="2.7"/>
    <m/>
    <s v="bier 26/5"/>
    <x v="1"/>
    <x v="12"/>
    <x v="64"/>
  </r>
  <r>
    <n v="239"/>
    <s v="KAS"/>
    <m/>
    <x v="1"/>
    <x v="45"/>
    <d v="2017-05-25T00:00:00"/>
    <d v="2017-05-25T00:00:00"/>
    <n v="-1.1000000000000001"/>
    <n v="1.1000000000000001"/>
    <m/>
    <s v="capp 22/5"/>
    <x v="1"/>
    <x v="12"/>
    <x v="66"/>
  </r>
  <r>
    <n v="241"/>
    <s v="KAS"/>
    <m/>
    <x v="1"/>
    <x v="45"/>
    <d v="2017-05-29T00:00:00"/>
    <d v="2017-05-29T00:00:00"/>
    <n v="-3.2"/>
    <n v="3.2"/>
    <m/>
    <s v="koffie 30/5"/>
    <x v="1"/>
    <x v="12"/>
    <x v="66"/>
  </r>
  <r>
    <n v="242"/>
    <s v="KAS"/>
    <m/>
    <x v="1"/>
    <x v="45"/>
    <d v="2017-05-29T00:00:00"/>
    <d v="2017-05-29T00:00:00"/>
    <n v="-1"/>
    <n v="1"/>
    <m/>
    <s v="water 28/5"/>
    <x v="1"/>
    <x v="12"/>
    <x v="64"/>
  </r>
  <r>
    <n v="243"/>
    <s v="KAS"/>
    <m/>
    <x v="1"/>
    <x v="45"/>
    <d v="2017-05-29T00:00:00"/>
    <d v="2017-05-29T00:00:00"/>
    <n v="-3.6"/>
    <n v="3.6"/>
    <m/>
    <s v="ko f fie 2dgn"/>
    <x v="1"/>
    <x v="12"/>
    <x v="66"/>
  </r>
  <r>
    <n v="245"/>
    <s v="KAS"/>
    <m/>
    <x v="1"/>
    <x v="45"/>
    <d v="2017-05-29T00:00:00"/>
    <d v="2017-05-29T00:00:00"/>
    <n v="-2"/>
    <n v="2"/>
    <m/>
    <s v="water"/>
    <x v="1"/>
    <x v="12"/>
    <x v="64"/>
  </r>
  <r>
    <n v="247"/>
    <s v="KAS"/>
    <m/>
    <x v="1"/>
    <x v="45"/>
    <d v="2017-05-29T00:00:00"/>
    <d v="2017-05-29T00:00:00"/>
    <n v="-1.8"/>
    <n v="1.8"/>
    <m/>
    <s v="koffie "/>
    <x v="1"/>
    <x v="12"/>
    <x v="66"/>
  </r>
  <r>
    <n v="248"/>
    <s v="KAS"/>
    <m/>
    <x v="1"/>
    <x v="45"/>
    <d v="2017-05-29T00:00:00"/>
    <d v="2017-05-29T00:00:00"/>
    <n v="-1"/>
    <n v="1"/>
    <m/>
    <s v="koffie"/>
    <x v="1"/>
    <x v="12"/>
    <x v="66"/>
  </r>
  <r>
    <n v="254"/>
    <s v="KAS"/>
    <m/>
    <x v="1"/>
    <x v="46"/>
    <d v="2017-06-02T00:00:00"/>
    <d v="2017-06-02T00:00:00"/>
    <n v="-1.6"/>
    <n v="1.6"/>
    <m/>
    <s v="favoloso espr"/>
    <x v="1"/>
    <x v="12"/>
    <x v="64"/>
  </r>
  <r>
    <n v="255"/>
    <s v="KAS"/>
    <m/>
    <x v="1"/>
    <x v="46"/>
    <d v="2017-06-02T00:00:00"/>
    <d v="2017-06-02T00:00:00"/>
    <n v="-5.0999999999999996"/>
    <n v="5.0999999999999996"/>
    <m/>
    <s v="favoloso espr"/>
    <x v="1"/>
    <x v="12"/>
    <x v="64"/>
  </r>
  <r>
    <n v="256"/>
    <s v="KAS"/>
    <m/>
    <x v="1"/>
    <x v="46"/>
    <d v="2017-06-02T00:00:00"/>
    <d v="2017-06-02T00:00:00"/>
    <n v="-3.4"/>
    <n v="3.4"/>
    <m/>
    <s v="bier+water"/>
    <x v="1"/>
    <x v="12"/>
    <x v="64"/>
  </r>
  <r>
    <n v="257"/>
    <s v="KAS"/>
    <m/>
    <x v="1"/>
    <x v="46"/>
    <d v="2017-06-02T00:00:00"/>
    <d v="2017-06-02T00:00:00"/>
    <n v="-17"/>
    <n v="17"/>
    <m/>
    <s v="i cugini"/>
    <x v="1"/>
    <x v="12"/>
    <x v="67"/>
  </r>
  <r>
    <n v="259"/>
    <s v="KAS"/>
    <m/>
    <x v="1"/>
    <x v="46"/>
    <d v="2017-06-03T00:00:00"/>
    <d v="2017-06-03T00:00:00"/>
    <n v="-2.4"/>
    <n v="2.4"/>
    <m/>
    <s v="ijs+water 7/6"/>
    <x v="1"/>
    <x v="12"/>
    <x v="65"/>
  </r>
  <r>
    <n v="260"/>
    <s v="KAS"/>
    <m/>
    <x v="1"/>
    <x v="46"/>
    <d v="2017-06-08T00:00:00"/>
    <d v="2017-06-08T00:00:00"/>
    <n v="-4.4000000000000004"/>
    <n v="4.4000000000000004"/>
    <m/>
    <s v="pizza 46"/>
    <x v="1"/>
    <x v="12"/>
    <x v="64"/>
  </r>
  <r>
    <n v="262"/>
    <s v="KAS"/>
    <m/>
    <x v="1"/>
    <x v="46"/>
    <d v="2017-06-10T00:00:00"/>
    <d v="2017-06-10T00:00:00"/>
    <n v="-7.7"/>
    <n v="7.7"/>
    <m/>
    <s v="8 dgnkoffie"/>
    <x v="1"/>
    <x v="12"/>
    <x v="66"/>
  </r>
  <r>
    <n v="265"/>
    <s v="KAS"/>
    <m/>
    <x v="1"/>
    <x v="46"/>
    <d v="2017-06-10T00:00:00"/>
    <d v="2017-06-10T00:00:00"/>
    <n v="-2.4"/>
    <n v="2.4"/>
    <m/>
    <s v="bier 13/6"/>
    <x v="1"/>
    <x v="12"/>
    <x v="64"/>
  </r>
  <r>
    <n v="266"/>
    <s v="KAS"/>
    <m/>
    <x v="1"/>
    <x v="46"/>
    <d v="2017-06-10T00:00:00"/>
    <d v="2017-06-10T00:00:00"/>
    <n v="-1"/>
    <n v="1"/>
    <m/>
    <s v="capp 13/6"/>
    <x v="1"/>
    <x v="12"/>
    <x v="66"/>
  </r>
  <r>
    <n v="267"/>
    <s v="KAS"/>
    <m/>
    <x v="1"/>
    <x v="46"/>
    <d v="2017-06-10T00:00:00"/>
    <d v="2017-06-10T00:00:00"/>
    <n v="-2.8"/>
    <n v="2.8"/>
    <m/>
    <s v="panino 11/6"/>
    <x v="1"/>
    <x v="12"/>
    <x v="64"/>
  </r>
  <r>
    <n v="268"/>
    <s v="KAS"/>
    <m/>
    <x v="1"/>
    <x v="46"/>
    <d v="2017-06-10T00:00:00"/>
    <d v="2017-06-10T00:00:00"/>
    <n v="-2.8"/>
    <n v="2.8"/>
    <m/>
    <s v="bier 12/6"/>
    <x v="1"/>
    <x v="12"/>
    <x v="64"/>
  </r>
  <r>
    <n v="272"/>
    <s v="KAS"/>
    <m/>
    <x v="1"/>
    <x v="46"/>
    <d v="2017-06-12T00:00:00"/>
    <d v="2017-06-12T00:00:00"/>
    <n v="-1.6"/>
    <n v="1.6"/>
    <m/>
    <s v="ijsje 10/6"/>
    <x v="1"/>
    <x v="12"/>
    <x v="65"/>
  </r>
  <r>
    <n v="273"/>
    <s v="KAS"/>
    <m/>
    <x v="1"/>
    <x v="46"/>
    <d v="2017-06-12T00:00:00"/>
    <d v="2017-06-12T00:00:00"/>
    <n v="-1"/>
    <n v="1"/>
    <m/>
    <s v="capp 12/6"/>
    <x v="1"/>
    <x v="12"/>
    <x v="66"/>
  </r>
  <r>
    <n v="274"/>
    <s v="KAS"/>
    <m/>
    <x v="1"/>
    <x v="46"/>
    <d v="2017-06-12T00:00:00"/>
    <d v="2017-06-12T00:00:00"/>
    <n v="-4.8"/>
    <n v="4.8"/>
    <m/>
    <s v="!unch 13/6"/>
    <x v="1"/>
    <x v="12"/>
    <x v="64"/>
  </r>
  <r>
    <n v="275"/>
    <s v="KAS"/>
    <m/>
    <x v="1"/>
    <x v="46"/>
    <d v="2017-06-12T00:00:00"/>
    <d v="2017-06-12T00:00:00"/>
    <n v="-5"/>
    <n v="5"/>
    <m/>
    <s v="koffies vr rob"/>
    <x v="1"/>
    <x v="12"/>
    <x v="66"/>
  </r>
  <r>
    <n v="277"/>
    <s v="KAS"/>
    <m/>
    <x v="1"/>
    <x v="46"/>
    <d v="2017-06-12T00:00:00"/>
    <d v="2017-06-12T00:00:00"/>
    <n v="-2.4"/>
    <n v="2.4"/>
    <m/>
    <s v="ijsje+water 18/6"/>
    <x v="1"/>
    <x v="12"/>
    <x v="65"/>
  </r>
  <r>
    <n v="278"/>
    <s v="KAS"/>
    <m/>
    <x v="1"/>
    <x v="46"/>
    <d v="2017-06-12T00:00:00"/>
    <d v="2017-06-12T00:00:00"/>
    <n v="-2"/>
    <n v="2"/>
    <m/>
    <s v="bier 18/6"/>
    <x v="1"/>
    <x v="12"/>
    <x v="64"/>
  </r>
  <r>
    <n v="279"/>
    <s v="KAS"/>
    <m/>
    <x v="1"/>
    <x v="46"/>
    <d v="2017-06-12T00:00:00"/>
    <d v="2017-06-12T00:00:00"/>
    <n v="-2.8"/>
    <n v="2.8"/>
    <m/>
    <s v="panino 16/6"/>
    <x v="1"/>
    <x v="12"/>
    <x v="64"/>
  </r>
  <r>
    <n v="280"/>
    <s v="KAS"/>
    <m/>
    <x v="1"/>
    <x v="46"/>
    <d v="2017-06-12T00:00:00"/>
    <d v="2017-06-12T00:00:00"/>
    <n v="-9"/>
    <n v="9"/>
    <m/>
    <s v="5 dgn espresso+capp "/>
    <x v="1"/>
    <x v="12"/>
    <x v="66"/>
  </r>
  <r>
    <n v="284"/>
    <s v="KAS"/>
    <m/>
    <x v="1"/>
    <x v="46"/>
    <d v="2017-06-12T00:00:00"/>
    <d v="2017-06-12T00:00:00"/>
    <n v="-18.2"/>
    <n v="18.2"/>
    <m/>
    <s v="7 dagenkoffie+capp"/>
    <x v="1"/>
    <x v="12"/>
    <x v="66"/>
  </r>
  <r>
    <n v="287"/>
    <s v="KAS"/>
    <m/>
    <x v="1"/>
    <x v="46"/>
    <d v="2017-06-24T00:00:00"/>
    <d v="2017-06-24T00:00:00"/>
    <n v="-2"/>
    <n v="2"/>
    <m/>
    <s v="pizza slice 19/6"/>
    <x v="1"/>
    <x v="12"/>
    <x v="64"/>
  </r>
  <r>
    <n v="288"/>
    <s v="KAS"/>
    <m/>
    <x v="1"/>
    <x v="46"/>
    <d v="2017-06-24T00:00:00"/>
    <d v="2017-06-24T00:00:00"/>
    <n v="-4"/>
    <n v="4"/>
    <m/>
    <s v="ijsje 23/6 metclaudia"/>
    <x v="1"/>
    <x v="12"/>
    <x v="65"/>
  </r>
  <r>
    <n v="289"/>
    <s v="KAS"/>
    <m/>
    <x v="1"/>
    <x v="46"/>
    <d v="2017-06-24T00:00:00"/>
    <d v="2017-06-24T00:00:00"/>
    <n v="-2"/>
    <n v="2"/>
    <m/>
    <s v="bier"/>
    <x v="1"/>
    <x v="12"/>
    <x v="64"/>
  </r>
  <r>
    <n v="292"/>
    <s v="KAS"/>
    <m/>
    <x v="1"/>
    <x v="46"/>
    <d v="2017-06-24T00:00:00"/>
    <d v="2017-06-24T00:00:00"/>
    <n v="-4"/>
    <n v="4"/>
    <m/>
    <s v="pizza al taglio  20/6"/>
    <x v="1"/>
    <x v="12"/>
    <x v="65"/>
  </r>
  <r>
    <n v="297"/>
    <s v="KAS"/>
    <m/>
    <x v="1"/>
    <x v="46"/>
    <d v="2017-06-29T00:00:00"/>
    <d v="2017-06-29T00:00:00"/>
    <n v="-13"/>
    <n v="13"/>
    <m/>
    <s v="5 dagenkoffie"/>
    <x v="1"/>
    <x v="12"/>
    <x v="66"/>
  </r>
  <r>
    <n v="298"/>
    <s v="KAS"/>
    <m/>
    <x v="1"/>
    <x v="46"/>
    <d v="2017-06-29T00:00:00"/>
    <d v="2017-06-29T00:00:00"/>
    <n v="-13"/>
    <n v="13"/>
    <m/>
    <s v="pompei entree"/>
    <x v="1"/>
    <x v="12"/>
    <x v="64"/>
  </r>
  <r>
    <n v="300"/>
    <s v="KAS"/>
    <m/>
    <x v="1"/>
    <x v="36"/>
    <d v="2017-07-05T00:00:00"/>
    <d v="2017-07-05T00:00:00"/>
    <n v="-2.8"/>
    <n v="2.8"/>
    <m/>
    <s v="panino 5/7"/>
    <x v="1"/>
    <x v="12"/>
    <x v="65"/>
  </r>
  <r>
    <n v="303"/>
    <s v="KAS"/>
    <m/>
    <x v="1"/>
    <x v="36"/>
    <d v="2017-07-05T00:00:00"/>
    <d v="2017-07-05T00:00:00"/>
    <n v="-6.6"/>
    <n v="6.6"/>
    <m/>
    <s v="ijsjes+bier"/>
    <x v="1"/>
    <x v="12"/>
    <x v="65"/>
  </r>
  <r>
    <n v="304"/>
    <s v="KAS"/>
    <m/>
    <x v="1"/>
    <x v="36"/>
    <d v="2017-07-05T00:00:00"/>
    <d v="2017-07-05T00:00:00"/>
    <n v="-11.87"/>
    <n v="11.87"/>
    <m/>
    <s v="koffie en capp 5dgn"/>
    <x v="1"/>
    <x v="12"/>
    <x v="66"/>
  </r>
  <r>
    <n v="305"/>
    <s v="KAS"/>
    <m/>
    <x v="1"/>
    <x v="36"/>
    <d v="2017-07-05T00:00:00"/>
    <d v="2017-07-05T00:00:00"/>
    <n v="-10"/>
    <n v="10"/>
    <m/>
    <s v="pizza met vacansoleil team"/>
    <x v="1"/>
    <x v="12"/>
    <x v="67"/>
  </r>
  <r>
    <n v="308"/>
    <s v="KAS"/>
    <m/>
    <x v="1"/>
    <x v="36"/>
    <d v="2017-07-05T00:00:00"/>
    <d v="2017-07-05T00:00:00"/>
    <n v="-17.62"/>
    <n v="17.62"/>
    <m/>
    <s v="koffie+capp 10dgn"/>
    <x v="1"/>
    <x v="12"/>
    <x v="66"/>
  </r>
  <r>
    <n v="309"/>
    <s v="KAS"/>
    <m/>
    <x v="1"/>
    <x v="36"/>
    <d v="2017-07-05T00:00:00"/>
    <d v="2017-07-05T00:00:00"/>
    <n v="-4.8"/>
    <n v="4.8"/>
    <m/>
    <s v="ijsje met romy enanna"/>
    <x v="1"/>
    <x v="12"/>
    <x v="65"/>
  </r>
  <r>
    <n v="311"/>
    <s v="KAS"/>
    <m/>
    <x v="1"/>
    <x v="36"/>
    <d v="2017-07-05T00:00:00"/>
    <d v="2017-07-05T00:00:00"/>
    <n v="-2.7"/>
    <n v="2.7"/>
    <m/>
    <s v="espressobij lidl"/>
    <x v="1"/>
    <x v="12"/>
    <x v="66"/>
  </r>
  <r>
    <n v="312"/>
    <s v="KAS"/>
    <m/>
    <x v="1"/>
    <x v="36"/>
    <d v="2017-07-16T00:00:00"/>
    <d v="2017-07-16T00:00:00"/>
    <n v="-15"/>
    <n v="15"/>
    <m/>
    <s v="pizza i cugini"/>
    <x v="1"/>
    <x v="12"/>
    <x v="67"/>
  </r>
  <r>
    <n v="314"/>
    <s v="KAS"/>
    <m/>
    <x v="1"/>
    <x v="36"/>
    <d v="2017-07-16T00:00:00"/>
    <d v="2017-07-16T00:00:00"/>
    <n v="-4"/>
    <n v="4"/>
    <m/>
    <s v="koffie strandtent"/>
    <x v="1"/>
    <x v="12"/>
    <x v="66"/>
  </r>
  <r>
    <n v="315"/>
    <s v="KAS"/>
    <m/>
    <x v="1"/>
    <x v="36"/>
    <d v="2017-07-16T00:00:00"/>
    <d v="2017-07-16T00:00:00"/>
    <n v="-20.8"/>
    <n v="20.8"/>
    <m/>
    <s v="8 dgn capp en cafe stelpost"/>
    <x v="1"/>
    <x v="12"/>
    <x v="66"/>
  </r>
  <r>
    <n v="316"/>
    <s v="KAS"/>
    <m/>
    <x v="1"/>
    <x v="36"/>
    <d v="2017-07-16T00:00:00"/>
    <d v="2017-07-16T00:00:00"/>
    <n v="-3.8"/>
    <n v="3.8"/>
    <m/>
    <s v="ijsjes stelpost"/>
    <x v="1"/>
    <x v="12"/>
    <x v="65"/>
  </r>
  <r>
    <n v="317"/>
    <s v="KAS"/>
    <m/>
    <x v="1"/>
    <x v="36"/>
    <d v="2017-07-16T00:00:00"/>
    <d v="2017-07-16T00:00:00"/>
    <n v="-3"/>
    <n v="3"/>
    <m/>
    <s v="pizza verjaardag anna"/>
    <x v="1"/>
    <x v="12"/>
    <x v="64"/>
  </r>
  <r>
    <n v="318"/>
    <s v="KAS"/>
    <m/>
    <x v="1"/>
    <x v="36"/>
    <d v="2017-07-16T00:00:00"/>
    <d v="2017-07-16T00:00:00"/>
    <n v="-5.2"/>
    <n v="5.2"/>
    <m/>
    <s v="pizza florida"/>
    <x v="1"/>
    <x v="12"/>
    <x v="65"/>
  </r>
  <r>
    <n v="320"/>
    <s v="KAS"/>
    <m/>
    <x v="1"/>
    <x v="36"/>
    <d v="2017-07-16T00:00:00"/>
    <d v="2017-07-16T00:00:00"/>
    <n v="-2"/>
    <n v="2"/>
    <m/>
    <s v="tiger nootjes"/>
    <x v="1"/>
    <x v="12"/>
    <x v="65"/>
  </r>
  <r>
    <n v="322"/>
    <s v="KAS"/>
    <m/>
    <x v="1"/>
    <x v="36"/>
    <d v="2017-07-16T00:00:00"/>
    <d v="2017-07-16T00:00:00"/>
    <n v="-2"/>
    <n v="2"/>
    <m/>
    <s v="koffies rome"/>
    <x v="1"/>
    <x v="12"/>
    <x v="66"/>
  </r>
  <r>
    <n v="323"/>
    <s v="KAS"/>
    <m/>
    <x v="1"/>
    <x v="36"/>
    <d v="2017-07-16T00:00:00"/>
    <d v="2017-07-16T00:00:00"/>
    <n v="-7.8"/>
    <n v="7.8"/>
    <m/>
    <s v="3 dgn kpffie stelpost"/>
    <x v="1"/>
    <x v="12"/>
    <x v="66"/>
  </r>
  <r>
    <n v="324"/>
    <s v="KAS"/>
    <m/>
    <x v="1"/>
    <x v="36"/>
    <d v="2017-07-16T00:00:00"/>
    <d v="2017-07-16T00:00:00"/>
    <n v="-2.4"/>
    <n v="2.4"/>
    <m/>
    <s v="frite"/>
    <x v="1"/>
    <x v="12"/>
    <x v="64"/>
  </r>
  <r>
    <n v="326"/>
    <s v="KAS"/>
    <m/>
    <x v="1"/>
    <x v="36"/>
    <d v="2017-07-16T00:00:00"/>
    <d v="2017-07-16T00:00:00"/>
    <n v="-15"/>
    <n v="15"/>
    <m/>
    <s v="resto campsite 31/8"/>
    <x v="1"/>
    <x v="12"/>
    <x v="64"/>
  </r>
  <r>
    <n v="327"/>
    <s v="KAS"/>
    <m/>
    <x v="1"/>
    <x v="36"/>
    <d v="2017-07-16T00:00:00"/>
    <d v="2017-07-16T00:00:00"/>
    <n v="-1.2"/>
    <n v="1.2"/>
    <m/>
    <s v="kauwgom"/>
    <x v="1"/>
    <x v="12"/>
    <x v="65"/>
  </r>
  <r>
    <n v="330"/>
    <s v="KAS"/>
    <m/>
    <x v="1"/>
    <x v="47"/>
    <d v="2017-08-02T00:00:00"/>
    <d v="2017-08-02T00:00:00"/>
    <n v="-15"/>
    <n v="15"/>
    <m/>
    <s v="sette in ochi 2/8"/>
    <x v="1"/>
    <x v="12"/>
    <x v="64"/>
  </r>
  <r>
    <n v="332"/>
    <s v="KAS"/>
    <m/>
    <x v="1"/>
    <x v="47"/>
    <d v="2017-08-02T00:00:00"/>
    <d v="2017-08-02T00:00:00"/>
    <n v="-4"/>
    <n v="4"/>
    <m/>
    <s v="ijsjes"/>
    <x v="1"/>
    <x v="12"/>
    <x v="65"/>
  </r>
  <r>
    <n v="333"/>
    <s v="KAS"/>
    <m/>
    <x v="1"/>
    <x v="47"/>
    <d v="2017-08-02T00:00:00"/>
    <d v="2017-08-02T00:00:00"/>
    <n v="-13"/>
    <n v="13"/>
    <m/>
    <s v="2x sprutz"/>
    <x v="1"/>
    <x v="12"/>
    <x v="64"/>
  </r>
  <r>
    <n v="334"/>
    <s v="KAS"/>
    <m/>
    <x v="1"/>
    <x v="47"/>
    <d v="2017-08-02T00:00:00"/>
    <d v="2017-08-02T00:00:00"/>
    <n v="-30"/>
    <n v="30"/>
    <m/>
    <s v="taxi"/>
    <x v="1"/>
    <x v="12"/>
    <x v="64"/>
  </r>
  <r>
    <n v="337"/>
    <s v="KAS"/>
    <m/>
    <x v="1"/>
    <x v="47"/>
    <d v="2017-08-02T00:00:00"/>
    <d v="2017-08-02T00:00:00"/>
    <n v="-2.5"/>
    <n v="2.5"/>
    <m/>
    <s v="tramdepot koffie"/>
    <x v="1"/>
    <x v="12"/>
    <x v="66"/>
  </r>
  <r>
    <n v="339"/>
    <s v="KAS"/>
    <m/>
    <x v="1"/>
    <x v="47"/>
    <d v="2017-08-02T00:00:00"/>
    <d v="2017-08-02T00:00:00"/>
    <n v="-5"/>
    <n v="5"/>
    <m/>
    <s v="fanta+water"/>
    <x v="1"/>
    <x v="12"/>
    <x v="66"/>
  </r>
  <r>
    <n v="340"/>
    <s v="KAS"/>
    <m/>
    <x v="1"/>
    <x v="47"/>
    <d v="2017-08-02T00:00:00"/>
    <d v="2017-08-02T00:00:00"/>
    <n v="-15"/>
    <n v="15"/>
    <m/>
    <s v="favoloso"/>
    <x v="1"/>
    <x v="12"/>
    <x v="64"/>
  </r>
  <r>
    <n v="341"/>
    <s v="KAS"/>
    <m/>
    <x v="1"/>
    <x v="47"/>
    <d v="2017-08-02T00:00:00"/>
    <d v="2017-08-02T00:00:00"/>
    <n v="-2.4"/>
    <n v="2.4"/>
    <m/>
    <s v="ijsje+water"/>
    <x v="1"/>
    <x v="12"/>
    <x v="65"/>
  </r>
  <r>
    <n v="342"/>
    <s v="KAS"/>
    <m/>
    <x v="1"/>
    <x v="47"/>
    <d v="2017-08-02T00:00:00"/>
    <d v="2017-08-02T00:00:00"/>
    <n v="-7"/>
    <n v="7"/>
    <m/>
    <s v="cappucino 5x"/>
    <x v="1"/>
    <x v="12"/>
    <x v="66"/>
  </r>
  <r>
    <n v="343"/>
    <s v="KAS"/>
    <m/>
    <x v="1"/>
    <x v="47"/>
    <d v="2017-08-02T00:00:00"/>
    <d v="2017-08-02T00:00:00"/>
    <n v="-9.6"/>
    <n v="9.6"/>
    <m/>
    <s v="drankes 29/7"/>
    <x v="1"/>
    <x v="12"/>
    <x v="64"/>
  </r>
  <r>
    <n v="345"/>
    <s v="KAS"/>
    <m/>
    <x v="1"/>
    <x v="47"/>
    <d v="2017-08-08T00:00:00"/>
    <d v="2017-08-08T00:00:00"/>
    <n v="-13.93"/>
    <n v="13.93"/>
    <m/>
    <s v="9 dagen capp+koffie"/>
    <x v="1"/>
    <x v="12"/>
    <x v="66"/>
  </r>
  <r>
    <n v="348"/>
    <s v="KAS"/>
    <m/>
    <x v="1"/>
    <x v="47"/>
    <d v="2017-08-11T00:00:00"/>
    <d v="2017-08-11T00:00:00"/>
    <n v="-4.4000000000000004"/>
    <n v="4.4000000000000004"/>
    <m/>
    <s v="bier+water "/>
    <x v="1"/>
    <x v="12"/>
    <x v="64"/>
  </r>
  <r>
    <n v="351"/>
    <s v="KAS"/>
    <m/>
    <x v="1"/>
    <x v="47"/>
    <d v="2017-08-21T00:00:00"/>
    <d v="2017-08-21T00:00:00"/>
    <n v="-16"/>
    <n v="16"/>
    <m/>
    <s v="8 dgn capp en espr"/>
    <x v="1"/>
    <x v="12"/>
    <x v="66"/>
  </r>
  <r>
    <n v="352"/>
    <s v="KAS"/>
    <m/>
    <x v="1"/>
    <x v="47"/>
    <d v="2017-08-21T00:00:00"/>
    <d v="2017-08-21T00:00:00"/>
    <n v="-10.69"/>
    <n v="10.69"/>
    <m/>
    <s v="ijs en tapbier 8dgn"/>
    <x v="1"/>
    <x v="12"/>
    <x v="64"/>
  </r>
  <r>
    <n v="355"/>
    <s v="KAS"/>
    <m/>
    <x v="1"/>
    <x v="47"/>
    <d v="2017-08-21T00:00:00"/>
    <d v="2017-08-21T00:00:00"/>
    <n v="-2.4"/>
    <n v="2.4"/>
    <m/>
    <s v="ijsje+water 25/8"/>
    <x v="1"/>
    <x v="12"/>
    <x v="65"/>
  </r>
  <r>
    <n v="357"/>
    <s v="KAS"/>
    <m/>
    <x v="1"/>
    <x v="47"/>
    <d v="2017-08-21T00:00:00"/>
    <d v="2017-08-21T00:00:00"/>
    <n v="-14"/>
    <n v="14"/>
    <m/>
    <s v="7 dgn koffie en capp"/>
    <x v="1"/>
    <x v="12"/>
    <x v="66"/>
  </r>
  <r>
    <n v="360"/>
    <s v="KAS"/>
    <m/>
    <x v="1"/>
    <x v="47"/>
    <d v="2017-08-21T00:00:00"/>
    <d v="2017-08-21T00:00:00"/>
    <n v="-2.4"/>
    <n v="2.4"/>
    <m/>
    <s v="Espresso met rob"/>
    <x v="1"/>
    <x v="12"/>
    <x v="66"/>
  </r>
  <r>
    <n v="361"/>
    <s v="KAS"/>
    <m/>
    <x v="1"/>
    <x v="47"/>
    <d v="2017-08-21T00:00:00"/>
    <d v="2017-08-21T00:00:00"/>
    <n v="-0.9"/>
    <n v="0.9"/>
    <m/>
    <s v="Espress"/>
    <x v="1"/>
    <x v="12"/>
    <x v="66"/>
  </r>
  <r>
    <n v="363"/>
    <s v="KAS"/>
    <m/>
    <x v="1"/>
    <x v="47"/>
    <d v="2017-08-30T00:00:00"/>
    <d v="2017-08-30T00:00:00"/>
    <n v="-2"/>
    <n v="2"/>
    <m/>
    <s v="espresso 2 dgn"/>
    <x v="1"/>
    <x v="12"/>
    <x v="66"/>
  </r>
  <r>
    <n v="364"/>
    <s v="KAS"/>
    <m/>
    <x v="1"/>
    <x v="47"/>
    <d v="2017-08-30T00:00:00"/>
    <d v="2017-08-30T00:00:00"/>
    <n v="-2.2000000000000002"/>
    <n v="2.2000000000000002"/>
    <m/>
    <s v="snicker+water"/>
    <x v="1"/>
    <x v="12"/>
    <x v="65"/>
  </r>
  <r>
    <n v="366"/>
    <s v="KAS"/>
    <m/>
    <x v="1"/>
    <x v="48"/>
    <d v="2017-09-05T00:00:00"/>
    <d v="2017-09-05T00:00:00"/>
    <n v="-3.7"/>
    <n v="3.7"/>
    <m/>
    <s v="alice pizza"/>
    <x v="1"/>
    <x v="12"/>
    <x v="64"/>
  </r>
  <r>
    <n v="367"/>
    <s v="KAS"/>
    <m/>
    <x v="1"/>
    <x v="48"/>
    <d v="2017-09-05T00:00:00"/>
    <d v="2017-09-05T00:00:00"/>
    <n v="-2.2000000000000002"/>
    <n v="2.2000000000000002"/>
    <m/>
    <s v="caffe met roberta"/>
    <x v="1"/>
    <x v="12"/>
    <x v="66"/>
  </r>
  <r>
    <n v="369"/>
    <s v="KAS"/>
    <m/>
    <x v="1"/>
    <x v="48"/>
    <d v="2017-09-05T00:00:00"/>
    <d v="2017-09-05T00:00:00"/>
    <n v="-3"/>
    <n v="3"/>
    <m/>
    <s v="bier+water"/>
    <x v="1"/>
    <x v="12"/>
    <x v="64"/>
  </r>
  <r>
    <n v="370"/>
    <s v="KAS"/>
    <m/>
    <x v="1"/>
    <x v="48"/>
    <d v="2017-09-05T00:00:00"/>
    <d v="2017-09-05T00:00:00"/>
    <n v="-1.2"/>
    <n v="1.2"/>
    <m/>
    <s v="snicker"/>
    <x v="1"/>
    <x v="12"/>
    <x v="65"/>
  </r>
  <r>
    <n v="371"/>
    <s v="KAS"/>
    <m/>
    <x v="1"/>
    <x v="48"/>
    <d v="2017-09-05T00:00:00"/>
    <d v="2017-09-05T00:00:00"/>
    <n v="-1.8"/>
    <n v="1.8"/>
    <m/>
    <s v="koffie ostia antica"/>
    <x v="1"/>
    <x v="12"/>
    <x v="66"/>
  </r>
  <r>
    <n v="376"/>
    <s v="KAS"/>
    <m/>
    <x v="1"/>
    <x v="48"/>
    <d v="2017-09-05T00:00:00"/>
    <d v="2017-09-05T00:00:00"/>
    <n v="-5.3"/>
    <n v="5.3"/>
    <m/>
    <s v="vivi bistrot"/>
    <x v="1"/>
    <x v="12"/>
    <x v="64"/>
  </r>
  <r>
    <n v="377"/>
    <s v="KAS"/>
    <m/>
    <x v="1"/>
    <x v="48"/>
    <d v="2017-09-05T00:00:00"/>
    <d v="2017-09-05T00:00:00"/>
    <n v="-8"/>
    <n v="8"/>
    <m/>
    <s v="Pizza favolosa"/>
    <x v="1"/>
    <x v="12"/>
    <x v="67"/>
  </r>
  <r>
    <n v="378"/>
    <s v="KAS"/>
    <m/>
    <x v="1"/>
    <x v="48"/>
    <d v="2017-09-05T00:00:00"/>
    <d v="2017-09-05T00:00:00"/>
    <n v="-11.54"/>
    <n v="11.54"/>
    <m/>
    <s v="Koffie 7 dgn"/>
    <x v="1"/>
    <x v="12"/>
    <x v="66"/>
  </r>
  <r>
    <n v="379"/>
    <s v="KAS"/>
    <m/>
    <x v="1"/>
    <x v="48"/>
    <d v="2017-09-05T00:00:00"/>
    <d v="2017-09-05T00:00:00"/>
    <n v="-15"/>
    <n v="15"/>
    <m/>
    <s v="aperitivo met carla"/>
    <x v="1"/>
    <x v="12"/>
    <x v="64"/>
  </r>
  <r>
    <n v="382"/>
    <s v="KAS"/>
    <m/>
    <x v="1"/>
    <x v="48"/>
    <d v="2017-09-14T00:00:00"/>
    <d v="2017-09-14T00:00:00"/>
    <n v="-3"/>
    <n v="3"/>
    <m/>
    <s v="koffie aan zee 14/9"/>
    <x v="1"/>
    <x v="12"/>
    <x v="66"/>
  </r>
  <r>
    <n v="383"/>
    <s v="KAS"/>
    <m/>
    <x v="1"/>
    <x v="48"/>
    <d v="2017-09-14T00:00:00"/>
    <d v="2017-09-14T00:00:00"/>
    <n v="-8"/>
    <n v="8"/>
    <m/>
    <s v="pizza 12/9"/>
    <x v="1"/>
    <x v="12"/>
    <x v="65"/>
  </r>
  <r>
    <n v="384"/>
    <s v="KAS"/>
    <m/>
    <x v="1"/>
    <x v="48"/>
    <d v="2017-09-14T00:00:00"/>
    <d v="2017-09-14T00:00:00"/>
    <n v="-4"/>
    <n v="4"/>
    <m/>
    <s v="salade favoloso 20/9"/>
    <x v="1"/>
    <x v="12"/>
    <x v="64"/>
  </r>
  <r>
    <n v="385"/>
    <s v="KAS"/>
    <m/>
    <x v="1"/>
    <x v="48"/>
    <d v="2017-09-14T00:00:00"/>
    <d v="2017-09-14T00:00:00"/>
    <n v="-3.4"/>
    <n v="3.4"/>
    <m/>
    <s v="bier+water 17/9"/>
    <x v="1"/>
    <x v="12"/>
    <x v="64"/>
  </r>
  <r>
    <n v="387"/>
    <s v="KAS"/>
    <m/>
    <x v="1"/>
    <x v="48"/>
    <d v="2017-09-14T00:00:00"/>
    <d v="2017-09-14T00:00:00"/>
    <n v="-2.6"/>
    <n v="2.6"/>
    <m/>
    <s v="curvone"/>
    <x v="1"/>
    <x v="12"/>
    <x v="66"/>
  </r>
  <r>
    <n v="389"/>
    <s v="KAS"/>
    <m/>
    <x v="1"/>
    <x v="48"/>
    <d v="2017-09-14T00:00:00"/>
    <d v="2017-09-14T00:00:00"/>
    <n v="-2"/>
    <n v="2"/>
    <m/>
    <s v="postzegels"/>
    <x v="1"/>
    <x v="12"/>
    <x v="64"/>
  </r>
  <r>
    <n v="390"/>
    <s v="KAS"/>
    <m/>
    <x v="1"/>
    <x v="48"/>
    <d v="2017-09-14T00:00:00"/>
    <d v="2017-09-14T00:00:00"/>
    <n v="-4"/>
    <n v="4"/>
    <m/>
    <s v="piza al taglio"/>
    <x v="1"/>
    <x v="12"/>
    <x v="65"/>
  </r>
  <r>
    <n v="391"/>
    <s v="KAS"/>
    <m/>
    <x v="1"/>
    <x v="48"/>
    <d v="2017-09-14T00:00:00"/>
    <d v="2017-09-14T00:00:00"/>
    <n v="-0.38"/>
    <n v="0.38"/>
    <m/>
    <s v="water"/>
    <x v="1"/>
    <x v="12"/>
    <x v="64"/>
  </r>
  <r>
    <n v="392"/>
    <s v="KAS"/>
    <m/>
    <x v="1"/>
    <x v="48"/>
    <d v="2017-09-14T00:00:00"/>
    <d v="2017-09-14T00:00:00"/>
    <n v="-10.8"/>
    <n v="10.8"/>
    <m/>
    <s v="6 dgn capp+koffie"/>
    <x v="1"/>
    <x v="12"/>
    <x v="66"/>
  </r>
  <r>
    <n v="396"/>
    <s v="KAS"/>
    <m/>
    <x v="1"/>
    <x v="48"/>
    <d v="2017-09-20T00:00:00"/>
    <d v="2017-09-20T00:00:00"/>
    <n v="-2.9"/>
    <n v="2.9"/>
    <m/>
    <s v="espresso faro"/>
    <x v="1"/>
    <x v="12"/>
    <x v="66"/>
  </r>
  <r>
    <n v="398"/>
    <s v="KAS"/>
    <m/>
    <x v="1"/>
    <x v="48"/>
    <d v="2017-09-22T00:00:00"/>
    <d v="2017-09-22T00:00:00"/>
    <n v="-21.6"/>
    <n v="21.6"/>
    <m/>
    <s v="12 dgn espr en capp"/>
    <x v="1"/>
    <x v="12"/>
    <x v="66"/>
  </r>
  <r>
    <n v="399"/>
    <s v="KAS"/>
    <m/>
    <x v="1"/>
    <x v="3"/>
    <d v="2017-10-01T00:00:00"/>
    <d v="2017-10-01T00:00:00"/>
    <n v="-1.5"/>
    <n v="1.5"/>
    <m/>
    <s v="capp luchthaven"/>
    <x v="1"/>
    <x v="12"/>
    <x v="66"/>
  </r>
  <r>
    <n v="402"/>
    <s v="KAS"/>
    <m/>
    <x v="1"/>
    <x v="3"/>
    <d v="2017-10-01T00:00:00"/>
    <d v="2017-10-01T00:00:00"/>
    <n v="-7"/>
    <n v="7"/>
    <m/>
    <s v="yogadate "/>
    <x v="1"/>
    <x v="12"/>
    <x v="64"/>
  </r>
  <r>
    <n v="403"/>
    <s v="KAS"/>
    <m/>
    <x v="1"/>
    <x v="3"/>
    <d v="2017-10-01T00:00:00"/>
    <d v="2017-10-01T00:00:00"/>
    <n v="-2"/>
    <n v="2"/>
    <m/>
    <s v="brew2cup"/>
    <x v="1"/>
    <x v="12"/>
    <x v="66"/>
  </r>
  <r>
    <n v="404"/>
    <s v="KAS"/>
    <m/>
    <x v="1"/>
    <x v="3"/>
    <d v="2017-10-01T00:00:00"/>
    <d v="2017-10-01T00:00:00"/>
    <n v="-4.25"/>
    <n v="4.25"/>
    <m/>
    <s v="ho-me"/>
    <x v="1"/>
    <x v="12"/>
    <x v="64"/>
  </r>
  <r>
    <n v="405"/>
    <s v="KAS"/>
    <m/>
    <x v="1"/>
    <x v="3"/>
    <d v="2017-10-01T00:00:00"/>
    <d v="2017-10-01T00:00:00"/>
    <n v="-1.8"/>
    <n v="1.8"/>
    <m/>
    <s v="kaasbroodje"/>
    <x v="1"/>
    <x v="12"/>
    <x v="64"/>
  </r>
  <r>
    <n v="406"/>
    <s v="KAS"/>
    <m/>
    <x v="1"/>
    <x v="3"/>
    <d v="2017-10-01T00:00:00"/>
    <d v="2017-10-01T00:00:00"/>
    <n v="-1.3"/>
    <n v="1.3"/>
    <m/>
    <s v="loempia"/>
    <x v="1"/>
    <x v="12"/>
    <x v="64"/>
  </r>
  <r>
    <n v="408"/>
    <s v="KAS"/>
    <m/>
    <x v="1"/>
    <x v="3"/>
    <d v="2017-10-01T00:00:00"/>
    <d v="2017-10-01T00:00:00"/>
    <n v="-2.1"/>
    <n v="2.1"/>
    <m/>
    <s v="plastic bolletjes"/>
    <x v="1"/>
    <x v="12"/>
    <x v="64"/>
  </r>
  <r>
    <n v="409"/>
    <s v="KAS"/>
    <m/>
    <x v="1"/>
    <x v="3"/>
    <d v="2017-10-01T00:00:00"/>
    <d v="2017-10-01T00:00:00"/>
    <n v="-2.5"/>
    <n v="2.5"/>
    <m/>
    <s v="josephine koffie"/>
    <x v="1"/>
    <x v="12"/>
    <x v="66"/>
  </r>
  <r>
    <n v="413"/>
    <s v="KAS"/>
    <m/>
    <x v="1"/>
    <x v="3"/>
    <d v="2017-10-01T00:00:00"/>
    <d v="2017-10-01T00:00:00"/>
    <n v="-8"/>
    <n v="8"/>
    <m/>
    <s v="moortgat"/>
    <x v="1"/>
    <x v="12"/>
    <x v="64"/>
  </r>
  <r>
    <n v="414"/>
    <s v="KAS"/>
    <m/>
    <x v="1"/>
    <x v="3"/>
    <d v="2017-10-01T00:00:00"/>
    <d v="2017-10-01T00:00:00"/>
    <n v="-2.4"/>
    <n v="2.4"/>
    <m/>
    <s v="caspar"/>
    <x v="1"/>
    <x v="12"/>
    <x v="64"/>
  </r>
  <r>
    <n v="415"/>
    <s v="KAS"/>
    <m/>
    <x v="1"/>
    <x v="3"/>
    <d v="2017-10-01T00:00:00"/>
    <d v="2017-10-01T00:00:00"/>
    <n v="-5.5"/>
    <n v="5.5"/>
    <m/>
    <s v="metropole"/>
    <x v="1"/>
    <x v="12"/>
    <x v="64"/>
  </r>
  <r>
    <n v="445"/>
    <s v="NL22RABO0381604934"/>
    <m/>
    <x v="1"/>
    <x v="43"/>
    <d v="2017-03-02T00:00:00"/>
    <d v="2017-03-02T00:00:00"/>
    <n v="-4.5"/>
    <n v="4.5"/>
    <m/>
    <s v="BREW2CUP ARNHEM"/>
    <x v="1"/>
    <x v="12"/>
    <x v="66"/>
  </r>
  <r>
    <n v="447"/>
    <s v="NL22RABO0381604934"/>
    <m/>
    <x v="1"/>
    <x v="43"/>
    <d v="2017-03-02T00:00:00"/>
    <d v="2017-03-02T00:00:00"/>
    <n v="-7.5"/>
    <n v="7.5"/>
    <m/>
    <s v="CASPAR ARNHEM"/>
    <x v="1"/>
    <x v="12"/>
    <x v="64"/>
  </r>
  <r>
    <n v="448"/>
    <s v="NL22RABO0381604934"/>
    <m/>
    <x v="1"/>
    <x v="43"/>
    <d v="2017-03-03T00:00:00"/>
    <d v="2017-03-03T00:00:00"/>
    <n v="-2.5"/>
    <n v="2.5"/>
    <m/>
    <s v="BREW2CUP ARNHEM"/>
    <x v="1"/>
    <x v="12"/>
    <x v="66"/>
  </r>
  <r>
    <n v="449"/>
    <s v="NL22RABO0381604934"/>
    <m/>
    <x v="1"/>
    <x v="43"/>
    <d v="2017-03-04T00:00:00"/>
    <d v="2017-03-04T00:00:00"/>
    <n v="-5.2"/>
    <n v="5.2"/>
    <m/>
    <s v="CASPAR ARNHEM"/>
    <x v="1"/>
    <x v="12"/>
    <x v="64"/>
  </r>
  <r>
    <n v="451"/>
    <s v="NL22RABO0381604934"/>
    <m/>
    <x v="1"/>
    <x v="43"/>
    <d v="2017-03-04T00:00:00"/>
    <d v="2017-03-04T00:00:00"/>
    <n v="-9.75"/>
    <n v="9.75"/>
    <m/>
    <s v="Doppio Arnhem ARNHEM"/>
    <x v="1"/>
    <x v="12"/>
    <x v="66"/>
  </r>
  <r>
    <n v="454"/>
    <s v="NL22RABO0381604934"/>
    <m/>
    <x v="1"/>
    <x v="43"/>
    <d v="2017-03-06T00:00:00"/>
    <d v="2017-03-06T00:00:00"/>
    <n v="-2.5"/>
    <n v="2.5"/>
    <m/>
    <s v="Dudok Groep BV ROTTERDAM"/>
    <x v="1"/>
    <x v="12"/>
    <x v="66"/>
  </r>
  <r>
    <n v="457"/>
    <s v="NL22RABO0381604934"/>
    <m/>
    <x v="1"/>
    <x v="43"/>
    <d v="2017-03-07T00:00:00"/>
    <d v="2017-03-07T00:00:00"/>
    <n v="-3.35"/>
    <n v="3.35"/>
    <m/>
    <s v="Doppio Arnhem ARNHEM"/>
    <x v="1"/>
    <x v="12"/>
    <x v="66"/>
  </r>
  <r>
    <n v="458"/>
    <s v="NL22RABO0381604934"/>
    <m/>
    <x v="1"/>
    <x v="43"/>
    <d v="2017-03-07T00:00:00"/>
    <d v="2017-03-07T00:00:00"/>
    <n v="-11.2"/>
    <n v="11.2"/>
    <m/>
    <s v="CASPAR ARNHEM"/>
    <x v="1"/>
    <x v="12"/>
    <x v="64"/>
  </r>
  <r>
    <n v="460"/>
    <s v="NL22RABO0381604934"/>
    <m/>
    <x v="1"/>
    <x v="43"/>
    <d v="2017-03-08T00:00:00"/>
    <d v="2017-03-08T00:00:00"/>
    <n v="-10.199999999999999"/>
    <n v="10.199999999999999"/>
    <m/>
    <s v="CASPAR ARNHEM"/>
    <x v="1"/>
    <x v="12"/>
    <x v="64"/>
  </r>
  <r>
    <n v="462"/>
    <s v="NL22RABO0381604934"/>
    <m/>
    <x v="1"/>
    <x v="43"/>
    <d v="2017-03-09T00:00:00"/>
    <d v="2017-03-09T00:00:00"/>
    <n v="-9.9"/>
    <n v="9.9"/>
    <m/>
    <s v="CASPAR ARNHEM"/>
    <x v="1"/>
    <x v="12"/>
    <x v="64"/>
  </r>
  <r>
    <n v="464"/>
    <s v="NL22RABO0381604934"/>
    <m/>
    <x v="1"/>
    <x v="43"/>
    <d v="2017-03-10T00:00:00"/>
    <d v="2017-03-10T00:00:00"/>
    <n v="-6.2"/>
    <n v="6.2"/>
    <m/>
    <s v="Sweet Cup AMSTERDAM"/>
    <x v="1"/>
    <x v="12"/>
    <x v="66"/>
  </r>
  <r>
    <n v="465"/>
    <s v="NL22RABO0381604934"/>
    <m/>
    <x v="1"/>
    <x v="43"/>
    <d v="2017-03-10T00:00:00"/>
    <d v="2017-03-10T00:00:00"/>
    <n v="-5"/>
    <n v="5"/>
    <m/>
    <s v="Lot Sixty One AMSTERDAM"/>
    <x v="1"/>
    <x v="12"/>
    <x v="66"/>
  </r>
  <r>
    <n v="466"/>
    <s v="NL22RABO0381604934"/>
    <m/>
    <x v="1"/>
    <x v="43"/>
    <d v="2017-03-10T00:00:00"/>
    <d v="2017-03-10T00:00:00"/>
    <n v="-5"/>
    <n v="5"/>
    <m/>
    <s v="HartBiet AMSTERDAM"/>
    <x v="1"/>
    <x v="12"/>
    <x v="66"/>
  </r>
  <r>
    <n v="467"/>
    <s v="NL22RABO0381604934"/>
    <m/>
    <x v="1"/>
    <x v="43"/>
    <d v="2017-03-10T00:00:00"/>
    <d v="2017-03-10T00:00:00"/>
    <n v="-8.5"/>
    <n v="8.5"/>
    <m/>
    <s v="Da Portare via A'dam AMSTERDAM"/>
    <x v="1"/>
    <x v="12"/>
    <x v="64"/>
  </r>
  <r>
    <n v="468"/>
    <s v="NL22RABO0381604934"/>
    <m/>
    <x v="1"/>
    <x v="43"/>
    <d v="2017-03-11T00:00:00"/>
    <d v="2017-03-11T00:00:00"/>
    <n v="-3.1"/>
    <n v="3.1"/>
    <m/>
    <s v="Doppio Arnhem ARNHEM"/>
    <x v="1"/>
    <x v="12"/>
    <x v="66"/>
  </r>
  <r>
    <n v="469"/>
    <s v="NL22RABO0381604934"/>
    <m/>
    <x v="1"/>
    <x v="43"/>
    <d v="2017-03-12T00:00:00"/>
    <d v="2017-03-12T00:00:00"/>
    <n v="-7.7"/>
    <n v="7.7"/>
    <m/>
    <s v="CASPAR ARNHEM"/>
    <x v="1"/>
    <x v="12"/>
    <x v="64"/>
  </r>
  <r>
    <n v="473"/>
    <s v="NL22RABO0381604934"/>
    <m/>
    <x v="1"/>
    <x v="43"/>
    <d v="2017-03-13T00:00:00"/>
    <d v="2017-03-13T00:00:00"/>
    <n v="-3.1"/>
    <n v="3.1"/>
    <m/>
    <s v="Doppio Arnhem ARNHEM"/>
    <x v="1"/>
    <x v="12"/>
    <x v="66"/>
  </r>
  <r>
    <n v="474"/>
    <s v="NL22RABO0381604934"/>
    <m/>
    <x v="1"/>
    <x v="43"/>
    <d v="2017-03-13T00:00:00"/>
    <d v="2017-03-13T00:00:00"/>
    <n v="-1.8"/>
    <n v="1.8"/>
    <m/>
    <s v="FEBO Arnhem ARNHEM"/>
    <x v="1"/>
    <x v="12"/>
    <x v="64"/>
  </r>
  <r>
    <n v="475"/>
    <s v="NL22RABO0381604934"/>
    <m/>
    <x v="1"/>
    <x v="43"/>
    <d v="2017-03-13T00:00:00"/>
    <d v="2017-03-13T00:00:00"/>
    <n v="-1.8"/>
    <n v="1.8"/>
    <m/>
    <s v="FEBO Arnhem ARNHEM"/>
    <x v="1"/>
    <x v="12"/>
    <x v="64"/>
  </r>
  <r>
    <n v="476"/>
    <s v="NL22RABO0381604934"/>
    <m/>
    <x v="1"/>
    <x v="43"/>
    <d v="2017-03-13T00:00:00"/>
    <d v="2017-03-13T00:00:00"/>
    <n v="-2.4"/>
    <n v="2.4"/>
    <m/>
    <s v="CCV*CAFE TOUCHE ARNHEM"/>
    <x v="1"/>
    <x v="12"/>
    <x v="64"/>
  </r>
  <r>
    <n v="477"/>
    <s v="NL22RABO0381604934"/>
    <m/>
    <x v="1"/>
    <x v="43"/>
    <d v="2017-03-13T00:00:00"/>
    <d v="2017-03-13T00:00:00"/>
    <n v="-12.49"/>
    <n v="12.49"/>
    <m/>
    <s v="BZZYArnhemPOS Arnhem"/>
    <x v="1"/>
    <x v="12"/>
    <x v="64"/>
  </r>
  <r>
    <n v="479"/>
    <s v="NL22RABO0381604934"/>
    <m/>
    <x v="1"/>
    <x v="43"/>
    <d v="2017-03-14T00:00:00"/>
    <d v="2017-03-14T00:00:00"/>
    <n v="-2.8"/>
    <n v="2.8"/>
    <m/>
    <s v="BREW2CUP ARNHEM"/>
    <x v="1"/>
    <x v="12"/>
    <x v="66"/>
  </r>
  <r>
    <n v="480"/>
    <s v="NL22RABO0381604934"/>
    <m/>
    <x v="1"/>
    <x v="43"/>
    <d v="2017-03-14T00:00:00"/>
    <d v="2017-03-14T00:00:00"/>
    <n v="-1.7"/>
    <n v="1.7"/>
    <m/>
    <s v="Bakker Bart ARNHEM"/>
    <x v="1"/>
    <x v="12"/>
    <x v="65"/>
  </r>
  <r>
    <n v="481"/>
    <s v="NL22RABO0381604934"/>
    <m/>
    <x v="1"/>
    <x v="43"/>
    <d v="2017-03-15T00:00:00"/>
    <d v="2017-03-15T00:00:00"/>
    <n v="-9"/>
    <n v="9"/>
    <m/>
    <s v="CASPAR ARNHEM"/>
    <x v="1"/>
    <x v="12"/>
    <x v="64"/>
  </r>
  <r>
    <n v="482"/>
    <s v="NL22RABO0381604934"/>
    <m/>
    <x v="1"/>
    <x v="43"/>
    <d v="2017-03-15T00:00:00"/>
    <d v="2017-03-15T00:00:00"/>
    <n v="-3.35"/>
    <n v="3.35"/>
    <m/>
    <s v="Doppio Arnhem ARNHEM"/>
    <x v="1"/>
    <x v="12"/>
    <x v="66"/>
  </r>
  <r>
    <n v="484"/>
    <s v="NL22RABO0381604934"/>
    <m/>
    <x v="1"/>
    <x v="43"/>
    <d v="2017-03-15T00:00:00"/>
    <d v="2017-03-15T00:00:00"/>
    <n v="-8.1"/>
    <n v="8.1"/>
    <m/>
    <s v="CASPAR ARNHEM"/>
    <x v="1"/>
    <x v="12"/>
    <x v="64"/>
  </r>
  <r>
    <n v="486"/>
    <s v="NL22RABO0381604934"/>
    <m/>
    <x v="1"/>
    <x v="43"/>
    <d v="2017-03-16T00:00:00"/>
    <d v="2017-03-16T00:00:00"/>
    <n v="-3.2"/>
    <n v="3.2"/>
    <m/>
    <s v="De Blonde Pater B.V. NIJMEGEN"/>
    <x v="1"/>
    <x v="12"/>
    <x v="66"/>
  </r>
  <r>
    <n v="490"/>
    <s v="NL22RABO0381604934"/>
    <m/>
    <x v="1"/>
    <x v="43"/>
    <d v="2017-03-16T00:00:00"/>
    <d v="2017-03-16T00:00:00"/>
    <n v="-7.9"/>
    <n v="7.9"/>
    <m/>
    <s v="CASPAR ARNHEM"/>
    <x v="1"/>
    <x v="12"/>
    <x v="64"/>
  </r>
  <r>
    <n v="492"/>
    <s v="NL22RABO0381604934"/>
    <m/>
    <x v="1"/>
    <x v="43"/>
    <d v="2017-03-17T00:00:00"/>
    <d v="2017-03-17T00:00:00"/>
    <n v="-2"/>
    <n v="2"/>
    <m/>
    <s v="IZ *BEANBROTHERS COFFE Eindhoven"/>
    <x v="1"/>
    <x v="12"/>
    <x v="66"/>
  </r>
  <r>
    <n v="494"/>
    <s v="NL22RABO0381604934"/>
    <m/>
    <x v="1"/>
    <x v="43"/>
    <d v="2017-03-17T00:00:00"/>
    <d v="2017-03-17T00:00:00"/>
    <n v="-2.5"/>
    <n v="2.5"/>
    <m/>
    <s v="Coffeelab UC B.V. EINDHOVEN"/>
    <x v="1"/>
    <x v="12"/>
    <x v="66"/>
  </r>
  <r>
    <n v="495"/>
    <s v="NL22RABO0381604934"/>
    <m/>
    <x v="1"/>
    <x v="43"/>
    <d v="2017-03-17T00:00:00"/>
    <d v="2017-03-17T00:00:00"/>
    <n v="-1.7"/>
    <n v="1.7"/>
    <m/>
    <s v="Smullers auto 6309 EHV EINDHOVEN"/>
    <x v="1"/>
    <x v="12"/>
    <x v="65"/>
  </r>
  <r>
    <n v="496"/>
    <s v="NL22RABO0381604934"/>
    <m/>
    <x v="1"/>
    <x v="43"/>
    <d v="2017-03-17T00:00:00"/>
    <d v="2017-03-17T00:00:00"/>
    <n v="-6.99"/>
    <n v="6.99"/>
    <m/>
    <s v="BZZYArnhemPOS Arnhem"/>
    <x v="1"/>
    <x v="12"/>
    <x v="64"/>
  </r>
  <r>
    <n v="497"/>
    <s v="NL22RABO0381604934"/>
    <m/>
    <x v="1"/>
    <x v="43"/>
    <d v="2017-03-18T00:00:00"/>
    <d v="2017-03-18T00:00:00"/>
    <n v="-5.2"/>
    <n v="5.2"/>
    <m/>
    <s v="CASPAR ARNHEM"/>
    <x v="1"/>
    <x v="12"/>
    <x v="64"/>
  </r>
  <r>
    <n v="500"/>
    <s v="NL22RABO0381604934"/>
    <m/>
    <x v="1"/>
    <x v="43"/>
    <d v="2017-03-18T00:00:00"/>
    <d v="2017-03-18T00:00:00"/>
    <n v="-4.55"/>
    <n v="4.55"/>
    <m/>
    <s v="CCV*STELLA BY STARLIGH ARNHEM"/>
    <x v="1"/>
    <x v="12"/>
    <x v="64"/>
  </r>
  <r>
    <n v="501"/>
    <s v="NL22RABO0381604934"/>
    <m/>
    <x v="1"/>
    <x v="43"/>
    <d v="2017-03-19T00:00:00"/>
    <d v="2017-03-19T00:00:00"/>
    <n v="-7.7"/>
    <n v="7.7"/>
    <m/>
    <s v="CASPAR ARNHEM"/>
    <x v="1"/>
    <x v="12"/>
    <x v="64"/>
  </r>
  <r>
    <n v="503"/>
    <s v="NL22RABO0381604934"/>
    <m/>
    <x v="1"/>
    <x v="43"/>
    <d v="2017-03-19T00:00:00"/>
    <d v="2017-03-19T00:00:00"/>
    <n v="-4.25"/>
    <n v="4.25"/>
    <m/>
    <s v="CAFETARIA HO ME ARNHEM"/>
    <x v="1"/>
    <x v="12"/>
    <x v="64"/>
  </r>
  <r>
    <n v="504"/>
    <s v="NL22RABO0381604934"/>
    <m/>
    <x v="1"/>
    <x v="43"/>
    <d v="2017-03-20T00:00:00"/>
    <d v="2017-03-20T00:00:00"/>
    <n v="-8.1999999999999993"/>
    <n v="8.1999999999999993"/>
    <m/>
    <s v="CASPAR ARNHEM"/>
    <x v="1"/>
    <x v="12"/>
    <x v="64"/>
  </r>
  <r>
    <n v="505"/>
    <s v="NL22RABO0381604934"/>
    <m/>
    <x v="1"/>
    <x v="43"/>
    <d v="2017-03-20T00:00:00"/>
    <d v="2017-03-20T00:00:00"/>
    <n v="-3.75"/>
    <n v="3.75"/>
    <m/>
    <s v="Dudok Groep BV ROTTERDAM"/>
    <x v="1"/>
    <x v="12"/>
    <x v="66"/>
  </r>
  <r>
    <n v="508"/>
    <s v="NL22RABO0381604934"/>
    <m/>
    <x v="1"/>
    <x v="43"/>
    <d v="2017-03-21T00:00:00"/>
    <d v="2017-03-21T00:00:00"/>
    <n v="-11.55"/>
    <n v="11.55"/>
    <m/>
    <s v="Cafe Babo ARNHEM"/>
    <x v="1"/>
    <x v="12"/>
    <x v="64"/>
  </r>
  <r>
    <n v="509"/>
    <s v="NL22RABO0381604934"/>
    <m/>
    <x v="1"/>
    <x v="43"/>
    <d v="2017-03-21T00:00:00"/>
    <d v="2017-03-21T00:00:00"/>
    <n v="-5.2"/>
    <n v="5.2"/>
    <m/>
    <s v="CASPAR ARNHEM"/>
    <x v="1"/>
    <x v="12"/>
    <x v="64"/>
  </r>
  <r>
    <n v="530"/>
    <s v="NL22RABO0381604934"/>
    <m/>
    <x v="1"/>
    <x v="44"/>
    <d v="2017-04-06T00:00:00"/>
    <d v="2017-04-06T00:00:00"/>
    <n v="-1.65"/>
    <n v="1.65"/>
    <m/>
    <s v="MCDONALD'S ROMA PIAZZA\ROMA         \"/>
    <x v="1"/>
    <x v="12"/>
    <x v="64"/>
  </r>
  <r>
    <n v="537"/>
    <s v="NL22RABO0381604934"/>
    <m/>
    <x v="1"/>
    <x v="44"/>
    <d v="2017-04-17T00:00:00"/>
    <d v="2017-04-17T00:00:00"/>
    <n v="-5.2"/>
    <n v="5.2"/>
    <m/>
    <s v="LA QUARTA             \ROMA         \"/>
    <x v="1"/>
    <x v="12"/>
    <x v="64"/>
  </r>
  <r>
    <n v="560"/>
    <s v="NL22RABO0381604934"/>
    <m/>
    <x v="1"/>
    <x v="45"/>
    <d v="2017-05-24T00:00:00"/>
    <d v="2017-05-24T00:00:00"/>
    <n v="-6.4"/>
    <n v="6.4"/>
    <m/>
    <s v="LA QUARTA             \ROMA         \"/>
    <x v="1"/>
    <x v="12"/>
    <x v="64"/>
  </r>
  <r>
    <n v="569"/>
    <s v="NL22RABO0381604934"/>
    <m/>
    <x v="1"/>
    <x v="46"/>
    <d v="2017-06-06T00:00:00"/>
    <d v="2017-06-06T00:00:00"/>
    <n v="-22"/>
    <n v="22"/>
    <m/>
    <s v="LA QUARTA             \ROMA         \"/>
    <x v="1"/>
    <x v="12"/>
    <x v="64"/>
  </r>
  <r>
    <n v="598"/>
    <s v="NL22RABO0381604934"/>
    <m/>
    <x v="1"/>
    <x v="47"/>
    <d v="2017-08-07T00:00:00"/>
    <d v="2017-08-07T00:00:00"/>
    <n v="-8.8000000000000007"/>
    <n v="8.8000000000000007"/>
    <m/>
    <s v="LA QUARTA             \ROMA         \"/>
    <x v="1"/>
    <x v="12"/>
    <x v="64"/>
  </r>
  <r>
    <n v="606"/>
    <s v="NL22RABO0381604934"/>
    <m/>
    <x v="1"/>
    <x v="47"/>
    <d v="2017-08-24T00:00:00"/>
    <d v="2017-08-24T00:00:00"/>
    <n v="-62"/>
    <n v="62"/>
    <m/>
    <s v="I CUGINI              \ROMA         \"/>
    <x v="1"/>
    <x v="12"/>
    <x v="67"/>
  </r>
  <r>
    <n v="635"/>
    <s v="NL22RABO0381604934"/>
    <m/>
    <x v="1"/>
    <x v="3"/>
    <d v="2017-10-09T00:00:00"/>
    <d v="2017-10-09T00:00:00"/>
    <n v="-4.5"/>
    <n v="4.5"/>
    <m/>
    <s v="CASPAR ARNHEM"/>
    <x v="1"/>
    <x v="12"/>
    <x v="64"/>
  </r>
  <r>
    <n v="637"/>
    <s v="NL22RABO0381604934"/>
    <m/>
    <x v="1"/>
    <x v="3"/>
    <d v="2017-10-10T00:00:00"/>
    <d v="2017-10-10T00:00:00"/>
    <n v="-9.6"/>
    <n v="9.6"/>
    <m/>
    <s v="CASPAR ARNHEM"/>
    <x v="1"/>
    <x v="12"/>
    <x v="64"/>
  </r>
  <r>
    <n v="647"/>
    <s v="NL22RABO0381604934"/>
    <m/>
    <x v="1"/>
    <x v="3"/>
    <d v="2017-10-13T00:00:00"/>
    <d v="2017-10-13T00:00:00"/>
    <n v="-7"/>
    <n v="7"/>
    <m/>
    <s v="ACP*T TAPHUYS ARNHEM ARNHEM"/>
    <x v="1"/>
    <x v="12"/>
    <x v="64"/>
  </r>
  <r>
    <n v="648"/>
    <s v="NL22RABO0381604934"/>
    <m/>
    <x v="1"/>
    <x v="3"/>
    <d v="2017-10-14T00:00:00"/>
    <d v="2017-10-14T00:00:00"/>
    <n v="-10"/>
    <n v="10"/>
    <m/>
    <s v="CASPAR ARNHEM"/>
    <x v="1"/>
    <x v="12"/>
    <x v="64"/>
  </r>
  <r>
    <n v="649"/>
    <s v="NL22RABO0381604934"/>
    <m/>
    <x v="1"/>
    <x v="3"/>
    <d v="2017-10-14T00:00:00"/>
    <d v="2017-10-14T00:00:00"/>
    <n v="-3"/>
    <n v="3"/>
    <m/>
    <s v="Wasfokkinglekkertoch ARNHEM"/>
    <x v="1"/>
    <x v="12"/>
    <x v="66"/>
  </r>
  <r>
    <n v="651"/>
    <s v="NL22RABO0381604934"/>
    <m/>
    <x v="1"/>
    <x v="3"/>
    <d v="2017-10-14T00:00:00"/>
    <d v="2017-10-14T00:00:00"/>
    <n v="-2.5"/>
    <n v="2.5"/>
    <m/>
    <s v="CCV*DUDOK ARNHEM ARNHEM"/>
    <x v="1"/>
    <x v="12"/>
    <x v="66"/>
  </r>
  <r>
    <n v="652"/>
    <s v="NL22RABO0381604934"/>
    <m/>
    <x v="1"/>
    <x v="3"/>
    <d v="2017-10-15T00:00:00"/>
    <d v="2017-10-15T00:00:00"/>
    <n v="-3.1"/>
    <n v="3.1"/>
    <m/>
    <s v="Doppio Arnhem ARNHEM"/>
    <x v="1"/>
    <x v="12"/>
    <x v="66"/>
  </r>
  <r>
    <n v="654"/>
    <s v="NL22RABO0381604934"/>
    <m/>
    <x v="1"/>
    <x v="3"/>
    <d v="2017-10-16T00:00:00"/>
    <d v="2017-10-16T00:00:00"/>
    <n v="-14.7"/>
    <n v="14.7"/>
    <m/>
    <s v="CASPAR ARNHEM"/>
    <x v="1"/>
    <x v="12"/>
    <x v="64"/>
  </r>
  <r>
    <n v="656"/>
    <s v="NL22RABO0381604934"/>
    <m/>
    <x v="1"/>
    <x v="3"/>
    <d v="2017-10-16T00:00:00"/>
    <d v="2017-10-16T00:00:00"/>
    <n v="-1.7"/>
    <n v="1.7"/>
    <m/>
    <s v="Smullers NM 2112 NIJMEGEN"/>
    <x v="1"/>
    <x v="12"/>
    <x v="65"/>
  </r>
  <r>
    <n v="660"/>
    <s v="NL22RABO0381604934"/>
    <m/>
    <x v="1"/>
    <x v="3"/>
    <d v="2017-10-19T00:00:00"/>
    <d v="2017-10-19T00:00:00"/>
    <n v="-3.1"/>
    <n v="3.1"/>
    <m/>
    <s v="Doppio Arnhem ARNHEM"/>
    <x v="1"/>
    <x v="12"/>
    <x v="66"/>
  </r>
  <r>
    <n v="662"/>
    <s v="NL22RABO0381604934"/>
    <m/>
    <x v="1"/>
    <x v="3"/>
    <d v="2017-10-19T00:00:00"/>
    <d v="2017-10-19T00:00:00"/>
    <n v="-4.25"/>
    <n v="4.25"/>
    <m/>
    <s v="CAFETARIA HO ME ARNHEM"/>
    <x v="1"/>
    <x v="12"/>
    <x v="64"/>
  </r>
  <r>
    <n v="663"/>
    <s v="NL22RABO0381604934"/>
    <m/>
    <x v="1"/>
    <x v="3"/>
    <d v="2017-10-19T00:00:00"/>
    <d v="2017-10-19T00:00:00"/>
    <n v="-22.75"/>
    <n v="22.75"/>
    <m/>
    <s v="Bar Absolute ARNHEM"/>
    <x v="1"/>
    <x v="12"/>
    <x v="64"/>
  </r>
  <r>
    <n v="665"/>
    <s v="NL22RABO0381604934"/>
    <m/>
    <x v="1"/>
    <x v="3"/>
    <d v="2017-10-20T00:00:00"/>
    <d v="2017-10-20T00:00:00"/>
    <n v="-6"/>
    <n v="6"/>
    <m/>
    <s v="RAP*The Hoxton Adam AMSTERDAM"/>
    <x v="1"/>
    <x v="12"/>
    <x v="64"/>
  </r>
  <r>
    <n v="666"/>
    <s v="NL22RABO0381604934"/>
    <m/>
    <x v="1"/>
    <x v="3"/>
    <d v="2017-10-20T00:00:00"/>
    <d v="2017-10-20T00:00:00"/>
    <n v="-5.3"/>
    <n v="5.3"/>
    <m/>
    <s v="CCV*Koffie Academie AMSTERDAM"/>
    <x v="1"/>
    <x v="12"/>
    <x v="66"/>
  </r>
  <r>
    <n v="667"/>
    <s v="NL22RABO0381604934"/>
    <m/>
    <x v="1"/>
    <x v="3"/>
    <d v="2017-10-20T00:00:00"/>
    <d v="2017-10-20T00:00:00"/>
    <n v="-5.6"/>
    <n v="5.6"/>
    <m/>
    <s v="CCV*Koffie Academie AMSTERDAM"/>
    <x v="1"/>
    <x v="12"/>
    <x v="66"/>
  </r>
  <r>
    <n v="668"/>
    <s v="NL22RABO0381604934"/>
    <m/>
    <x v="1"/>
    <x v="3"/>
    <d v="2017-10-20T00:00:00"/>
    <d v="2017-10-20T00:00:00"/>
    <n v="-9.5"/>
    <n v="9.5"/>
    <m/>
    <s v="CCV*Parck AMSTERDAM"/>
    <x v="1"/>
    <x v="12"/>
    <x v="64"/>
  </r>
  <r>
    <n v="669"/>
    <s v="NL22RABO0381604934"/>
    <m/>
    <x v="1"/>
    <x v="3"/>
    <d v="2017-10-21T00:00:00"/>
    <d v="2017-10-21T00:00:00"/>
    <n v="-3.1"/>
    <n v="3.1"/>
    <m/>
    <s v="Doppio Arnhem ARNHEM"/>
    <x v="1"/>
    <x v="12"/>
    <x v="66"/>
  </r>
  <r>
    <n v="672"/>
    <s v="NL22RABO0381604934"/>
    <m/>
    <x v="1"/>
    <x v="3"/>
    <d v="2017-10-22T00:00:00"/>
    <d v="2017-10-22T00:00:00"/>
    <n v="-3"/>
    <n v="3"/>
    <m/>
    <s v="BREW2CUP ARNHEM"/>
    <x v="1"/>
    <x v="12"/>
    <x v="66"/>
  </r>
  <r>
    <n v="673"/>
    <s v="NL22RABO0381604934"/>
    <m/>
    <x v="1"/>
    <x v="3"/>
    <d v="2017-10-22T00:00:00"/>
    <d v="2017-10-22T00:00:00"/>
    <n v="-2.5"/>
    <n v="2.5"/>
    <m/>
    <s v="CCV*DUDOK ARNHEM ARNHEM"/>
    <x v="1"/>
    <x v="12"/>
    <x v="66"/>
  </r>
  <r>
    <n v="675"/>
    <s v="NL22RABO0381604934"/>
    <m/>
    <x v="1"/>
    <x v="3"/>
    <d v="2017-10-22T00:00:00"/>
    <d v="2017-10-22T00:00:00"/>
    <n v="-10.8"/>
    <n v="10.8"/>
    <m/>
    <s v="CASPAR ARNHEM"/>
    <x v="1"/>
    <x v="12"/>
    <x v="64"/>
  </r>
  <r>
    <n v="677"/>
    <s v="NL22RABO0381604934"/>
    <m/>
    <x v="1"/>
    <x v="3"/>
    <d v="2017-10-23T00:00:00"/>
    <d v="2017-10-23T00:00:00"/>
    <n v="-2.5"/>
    <n v="2.5"/>
    <m/>
    <s v="Huiskamer AH 9222 ARNHEM"/>
    <x v="1"/>
    <x v="12"/>
    <x v="66"/>
  </r>
  <r>
    <n v="682"/>
    <s v="NL22RABO0381604934"/>
    <m/>
    <x v="1"/>
    <x v="3"/>
    <d v="2017-10-25T00:00:00"/>
    <d v="2017-10-25T00:00:00"/>
    <n v="-1.5"/>
    <n v="1.5"/>
    <m/>
    <s v="Croissanterie Linda STADSKANAAL"/>
    <x v="1"/>
    <x v="12"/>
    <x v="66"/>
  </r>
  <r>
    <n v="693"/>
    <s v="NL22RABO0381604934"/>
    <m/>
    <x v="1"/>
    <x v="3"/>
    <d v="2017-10-31T00:00:00"/>
    <d v="2017-10-31T00:00:00"/>
    <n v="-1.75"/>
    <n v="1.75"/>
    <m/>
    <s v="Croissanterie Linda STADSKANAAL"/>
    <x v="1"/>
    <x v="12"/>
    <x v="66"/>
  </r>
  <r>
    <n v="696"/>
    <s v="NL22RABO0381604934"/>
    <m/>
    <x v="1"/>
    <x v="4"/>
    <d v="2017-11-01T00:00:00"/>
    <d v="2017-11-01T00:00:00"/>
    <n v="-1"/>
    <n v="1"/>
    <m/>
    <s v="Kiosk ZL 9104 ALMERE"/>
    <x v="1"/>
    <x v="12"/>
    <x v="65"/>
  </r>
  <r>
    <n v="699"/>
    <s v="NL22RABO0381604934"/>
    <m/>
    <x v="1"/>
    <x v="4"/>
    <d v="2017-11-01T00:00:00"/>
    <d v="2017-11-01T00:00:00"/>
    <n v="-20.149999999999999"/>
    <n v="20.149999999999999"/>
    <m/>
    <s v="NOODLEBAR CENTRAAL AMSTERDAM"/>
    <x v="1"/>
    <x v="12"/>
    <x v="64"/>
  </r>
  <r>
    <n v="823"/>
    <s v="KAS"/>
    <m/>
    <x v="2"/>
    <x v="9"/>
    <d v="2018-02-21T00:00:00"/>
    <d v="2018-02-21T00:00:00"/>
    <n v="-6.4"/>
    <n v="6.4"/>
    <m/>
    <s v="Caspar"/>
    <x v="1"/>
    <x v="12"/>
    <x v="64"/>
  </r>
  <r>
    <n v="824"/>
    <s v="KAS"/>
    <m/>
    <x v="2"/>
    <x v="9"/>
    <d v="2018-02-21T00:00:00"/>
    <d v="2018-02-21T00:00:00"/>
    <n v="-1"/>
    <n v="1"/>
    <m/>
    <s v="notenrotsje brew2cup"/>
    <x v="1"/>
    <x v="12"/>
    <x v="65"/>
  </r>
  <r>
    <n v="830"/>
    <s v="KAS"/>
    <m/>
    <x v="2"/>
    <x v="10"/>
    <d v="2018-03-02T00:00:00"/>
    <d v="2018-03-02T00:00:00"/>
    <n v="-1.3"/>
    <n v="1.3"/>
    <m/>
    <s v="snickers"/>
    <x v="1"/>
    <x v="12"/>
    <x v="65"/>
  </r>
  <r>
    <n v="836"/>
    <s v="KAS"/>
    <m/>
    <x v="2"/>
    <x v="10"/>
    <d v="2018-03-09T00:00:00"/>
    <d v="2018-03-09T00:00:00"/>
    <n v="-13"/>
    <n v="13"/>
    <m/>
    <s v="pizza"/>
    <x v="1"/>
    <x v="12"/>
    <x v="67"/>
  </r>
  <r>
    <n v="837"/>
    <s v="KAS"/>
    <m/>
    <x v="2"/>
    <x v="10"/>
    <d v="2018-03-09T00:00:00"/>
    <d v="2018-03-09T00:00:00"/>
    <n v="-5.5"/>
    <n v="5.5"/>
    <m/>
    <s v="pizza al taglio woensdag"/>
    <x v="1"/>
    <x v="12"/>
    <x v="65"/>
  </r>
  <r>
    <n v="838"/>
    <s v="KAS"/>
    <m/>
    <x v="2"/>
    <x v="10"/>
    <d v="2018-03-09T00:00:00"/>
    <d v="2018-03-09T00:00:00"/>
    <n v="-14"/>
    <n v="14"/>
    <m/>
    <s v="koffieforfait"/>
    <x v="1"/>
    <x v="12"/>
    <x v="66"/>
  </r>
  <r>
    <n v="840"/>
    <s v="KAS"/>
    <m/>
    <x v="2"/>
    <x v="10"/>
    <d v="2018-03-09T00:00:00"/>
    <d v="2018-03-09T00:00:00"/>
    <n v="-1"/>
    <n v="1"/>
    <m/>
    <s v="cornetto"/>
    <x v="1"/>
    <x v="12"/>
    <x v="65"/>
  </r>
  <r>
    <n v="844"/>
    <s v="KAS"/>
    <m/>
    <x v="2"/>
    <x v="10"/>
    <d v="2018-03-09T00:00:00"/>
    <d v="2018-03-09T00:00:00"/>
    <n v="-5.7"/>
    <n v="5.7"/>
    <m/>
    <s v="pizza al tagio pantheon"/>
    <x v="1"/>
    <x v="12"/>
    <x v="65"/>
  </r>
  <r>
    <n v="845"/>
    <s v="KAS"/>
    <m/>
    <x v="2"/>
    <x v="10"/>
    <d v="2018-03-09T00:00:00"/>
    <d v="2018-03-09T00:00:00"/>
    <n v="-1.2"/>
    <n v="1.2"/>
    <m/>
    <s v="snickers"/>
    <x v="1"/>
    <x v="12"/>
    <x v="65"/>
  </r>
  <r>
    <n v="848"/>
    <s v="KAS"/>
    <m/>
    <x v="2"/>
    <x v="10"/>
    <d v="2018-03-31T00:00:00"/>
    <d v="2018-03-31T00:00:00"/>
    <n v="-4"/>
    <n v="4"/>
    <m/>
    <s v="ontbijt"/>
    <x v="1"/>
    <x v="12"/>
    <x v="64"/>
  </r>
  <r>
    <n v="851"/>
    <s v="KAS"/>
    <m/>
    <x v="2"/>
    <x v="10"/>
    <d v="2018-03-31T00:00:00"/>
    <d v="2018-03-31T00:00:00"/>
    <n v="-3.5"/>
    <n v="3.5"/>
    <m/>
    <s v="espresso+suppli"/>
    <x v="1"/>
    <x v="12"/>
    <x v="66"/>
  </r>
  <r>
    <n v="853"/>
    <s v="KAS"/>
    <m/>
    <x v="2"/>
    <x v="10"/>
    <d v="2018-03-31T00:00:00"/>
    <d v="2018-03-31T00:00:00"/>
    <n v="-15"/>
    <n v="15"/>
    <m/>
    <s v="i cugini"/>
    <x v="1"/>
    <x v="12"/>
    <x v="67"/>
  </r>
  <r>
    <n v="855"/>
    <s v="KAS"/>
    <m/>
    <x v="2"/>
    <x v="49"/>
    <d v="2018-04-15T00:00:00"/>
    <d v="2018-04-15T00:00:00"/>
    <n v="-18"/>
    <n v="18"/>
    <m/>
    <s v="9 dgn koffie"/>
    <x v="1"/>
    <x v="12"/>
    <x v="66"/>
  </r>
  <r>
    <n v="858"/>
    <s v="KAS"/>
    <m/>
    <x v="2"/>
    <x v="49"/>
    <d v="2018-04-15T00:00:00"/>
    <d v="2018-04-15T00:00:00"/>
    <n v="-5.0999999999999996"/>
    <n v="5.0999999999999996"/>
    <m/>
    <s v="spritz 6/4"/>
    <x v="1"/>
    <x v="12"/>
    <x v="64"/>
  </r>
  <r>
    <n v="859"/>
    <s v="KAS"/>
    <m/>
    <x v="2"/>
    <x v="49"/>
    <d v="2018-04-15T00:00:00"/>
    <d v="2018-04-15T00:00:00"/>
    <n v="-2"/>
    <n v="2"/>
    <m/>
    <s v="2xcornetto"/>
    <x v="1"/>
    <x v="12"/>
    <x v="64"/>
  </r>
  <r>
    <n v="864"/>
    <s v="KAS"/>
    <m/>
    <x v="2"/>
    <x v="49"/>
    <d v="2018-04-15T00:00:00"/>
    <d v="2018-04-15T00:00:00"/>
    <n v="-10.24"/>
    <n v="10.24"/>
    <m/>
    <s v="capp 8x"/>
    <x v="1"/>
    <x v="12"/>
    <x v="66"/>
  </r>
  <r>
    <n v="865"/>
    <s v="KAS"/>
    <m/>
    <x v="2"/>
    <x v="49"/>
    <d v="2018-04-15T00:00:00"/>
    <d v="2018-04-15T00:00:00"/>
    <n v="-7.2"/>
    <n v="7.2"/>
    <m/>
    <s v="espresso 8x"/>
    <x v="1"/>
    <x v="12"/>
    <x v="66"/>
  </r>
  <r>
    <n v="866"/>
    <s v="KAS"/>
    <m/>
    <x v="2"/>
    <x v="49"/>
    <d v="2018-04-15T00:00:00"/>
    <d v="2018-04-15T00:00:00"/>
    <n v="-1.9"/>
    <n v="1.9"/>
    <m/>
    <s v="pizza 18/4"/>
    <x v="1"/>
    <x v="12"/>
    <x v="65"/>
  </r>
  <r>
    <n v="871"/>
    <s v="KAS"/>
    <m/>
    <x v="2"/>
    <x v="49"/>
    <d v="2018-04-15T00:00:00"/>
    <d v="2018-04-15T00:00:00"/>
    <n v="-7"/>
    <n v="7"/>
    <m/>
    <s v="curry 13/4 (uit eten)"/>
    <x v="1"/>
    <x v="12"/>
    <x v="64"/>
  </r>
  <r>
    <n v="872"/>
    <s v="KAS"/>
    <m/>
    <x v="2"/>
    <x v="49"/>
    <d v="2018-04-15T00:00:00"/>
    <d v="2018-04-15T00:00:00"/>
    <n v="-3.7"/>
    <n v="3.7"/>
    <m/>
    <s v="pizza 11/4"/>
    <x v="1"/>
    <x v="12"/>
    <x v="65"/>
  </r>
  <r>
    <n v="875"/>
    <s v="KAS"/>
    <m/>
    <x v="2"/>
    <x v="49"/>
    <d v="2018-04-15T00:00:00"/>
    <d v="2018-04-15T00:00:00"/>
    <n v="-1.6"/>
    <n v="1.6"/>
    <m/>
    <s v="2x cornetto"/>
    <x v="1"/>
    <x v="12"/>
    <x v="64"/>
  </r>
  <r>
    <n v="876"/>
    <s v="KAS"/>
    <m/>
    <x v="2"/>
    <x v="49"/>
    <d v="2018-04-15T00:00:00"/>
    <d v="2018-04-15T00:00:00"/>
    <n v="-3"/>
    <n v="3"/>
    <m/>
    <s v="pizza 18/4"/>
    <x v="1"/>
    <x v="12"/>
    <x v="65"/>
  </r>
  <r>
    <n v="878"/>
    <s v="KAS"/>
    <m/>
    <x v="2"/>
    <x v="49"/>
    <d v="2018-04-15T00:00:00"/>
    <d v="2018-04-15T00:00:00"/>
    <n v="-2.5"/>
    <n v="2.5"/>
    <m/>
    <s v="tremezzino"/>
    <x v="1"/>
    <x v="12"/>
    <x v="64"/>
  </r>
  <r>
    <n v="879"/>
    <s v="KAS"/>
    <m/>
    <x v="2"/>
    <x v="49"/>
    <d v="2018-04-15T00:00:00"/>
    <d v="2018-04-15T00:00:00"/>
    <n v="-2"/>
    <n v="2"/>
    <m/>
    <s v="capp+cafe 19/4"/>
    <x v="1"/>
    <x v="12"/>
    <x v="66"/>
  </r>
  <r>
    <n v="881"/>
    <s v="KAS"/>
    <m/>
    <x v="2"/>
    <x v="49"/>
    <d v="2018-04-15T00:00:00"/>
    <d v="2018-04-15T00:00:00"/>
    <n v="-4"/>
    <n v="4"/>
    <m/>
    <s v="bier na acroyoga"/>
    <x v="1"/>
    <x v="12"/>
    <x v="64"/>
  </r>
  <r>
    <n v="882"/>
    <s v="KAS"/>
    <m/>
    <x v="2"/>
    <x v="49"/>
    <d v="2018-04-15T00:00:00"/>
    <d v="2018-04-15T00:00:00"/>
    <n v="-5"/>
    <n v="5"/>
    <m/>
    <s v="pizza met poppy"/>
    <x v="1"/>
    <x v="12"/>
    <x v="64"/>
  </r>
  <r>
    <n v="886"/>
    <s v="KAS"/>
    <m/>
    <x v="2"/>
    <x v="49"/>
    <d v="2018-04-15T00:00:00"/>
    <d v="2018-04-15T00:00:00"/>
    <n v="-9"/>
    <n v="9"/>
    <m/>
    <s v="spritz met roberta"/>
    <x v="1"/>
    <x v="12"/>
    <x v="64"/>
  </r>
  <r>
    <n v="887"/>
    <s v="KAS"/>
    <m/>
    <x v="2"/>
    <x v="49"/>
    <d v="2018-04-15T00:00:00"/>
    <d v="2018-04-15T00:00:00"/>
    <n v="-0.9"/>
    <n v="0.9"/>
    <m/>
    <s v="water"/>
    <x v="1"/>
    <x v="12"/>
    <x v="64"/>
  </r>
  <r>
    <n v="892"/>
    <s v="KAS"/>
    <m/>
    <x v="2"/>
    <x v="49"/>
    <d v="2018-04-15T00:00:00"/>
    <d v="2018-04-15T00:00:00"/>
    <n v="-12.5"/>
    <n v="12.5"/>
    <m/>
    <s v="pizza 28/4"/>
    <x v="1"/>
    <x v="12"/>
    <x v="67"/>
  </r>
  <r>
    <n v="895"/>
    <s v="KAS"/>
    <m/>
    <x v="2"/>
    <x v="49"/>
    <d v="2018-04-15T00:00:00"/>
    <d v="2018-04-15T00:00:00"/>
    <n v="-2.5"/>
    <n v="2.5"/>
    <m/>
    <s v="goedepanino piazza navona miora food viazanardelli 18"/>
    <x v="1"/>
    <x v="12"/>
    <x v="64"/>
  </r>
  <r>
    <n v="898"/>
    <s v="KAS"/>
    <m/>
    <x v="2"/>
    <x v="49"/>
    <d v="2018-04-15T00:00:00"/>
    <d v="2018-04-15T00:00:00"/>
    <n v="-2.2000000000000002"/>
    <n v="2.2000000000000002"/>
    <m/>
    <s v="fanta "/>
    <x v="1"/>
    <x v="12"/>
    <x v="64"/>
  </r>
  <r>
    <n v="900"/>
    <s v="KAS"/>
    <m/>
    <x v="2"/>
    <x v="49"/>
    <d v="2018-04-15T00:00:00"/>
    <d v="2018-04-15T00:00:00"/>
    <n v="-19.079999999999998"/>
    <n v="19.079999999999998"/>
    <m/>
    <s v="koffie / capp 9 dgn"/>
    <x v="1"/>
    <x v="12"/>
    <x v="66"/>
  </r>
  <r>
    <n v="904"/>
    <s v="KAS"/>
    <m/>
    <x v="2"/>
    <x v="50"/>
    <d v="2018-05-15T00:00:00"/>
    <d v="2018-05-15T00:00:00"/>
    <n v="-21.2"/>
    <n v="21.2"/>
    <m/>
    <s v="10 dgn espr/capp"/>
    <x v="1"/>
    <x v="12"/>
    <x v="66"/>
  </r>
  <r>
    <n v="907"/>
    <s v="KAS"/>
    <m/>
    <x v="2"/>
    <x v="50"/>
    <d v="2018-05-15T00:00:00"/>
    <d v="2018-05-15T00:00:00"/>
    <n v="-10"/>
    <n v="10"/>
    <m/>
    <s v="pizza rome"/>
    <x v="1"/>
    <x v="12"/>
    <x v="67"/>
  </r>
  <r>
    <n v="908"/>
    <s v="KAS"/>
    <m/>
    <x v="2"/>
    <x v="50"/>
    <d v="2018-05-15T00:00:00"/>
    <d v="2018-05-15T00:00:00"/>
    <n v="-10"/>
    <n v="10"/>
    <m/>
    <s v="pizza favolosa"/>
    <x v="1"/>
    <x v="12"/>
    <x v="67"/>
  </r>
  <r>
    <n v="909"/>
    <s v="KAS"/>
    <m/>
    <x v="2"/>
    <x v="50"/>
    <d v="2018-05-15T00:00:00"/>
    <d v="2018-05-15T00:00:00"/>
    <n v="-10"/>
    <n v="10"/>
    <m/>
    <s v="pizzapenta2000"/>
    <x v="1"/>
    <x v="12"/>
    <x v="64"/>
  </r>
  <r>
    <n v="910"/>
    <s v="KAS"/>
    <m/>
    <x v="2"/>
    <x v="50"/>
    <d v="2018-05-15T00:00:00"/>
    <d v="2018-05-15T00:00:00"/>
    <n v="-16"/>
    <n v="16"/>
    <m/>
    <s v="gnocchi 7 ocche"/>
    <x v="1"/>
    <x v="12"/>
    <x v="64"/>
  </r>
  <r>
    <n v="911"/>
    <s v="KAS"/>
    <m/>
    <x v="2"/>
    <x v="50"/>
    <d v="2018-05-15T00:00:00"/>
    <d v="2018-05-15T00:00:00"/>
    <n v="-9"/>
    <n v="9"/>
    <m/>
    <s v="piza florida"/>
    <x v="1"/>
    <x v="12"/>
    <x v="65"/>
  </r>
  <r>
    <n v="913"/>
    <s v="KAS"/>
    <m/>
    <x v="2"/>
    <x v="50"/>
    <d v="2018-05-15T00:00:00"/>
    <d v="2018-05-15T00:00:00"/>
    <n v="-12"/>
    <n v="12"/>
    <m/>
    <s v="coloseum"/>
    <x v="1"/>
    <x v="12"/>
    <x v="64"/>
  </r>
  <r>
    <n v="916"/>
    <s v="KAS"/>
    <m/>
    <x v="2"/>
    <x v="50"/>
    <d v="2018-05-15T00:00:00"/>
    <d v="2018-05-15T00:00:00"/>
    <n v="-2.8"/>
    <n v="2.8"/>
    <m/>
    <s v="bier"/>
    <x v="1"/>
    <x v="12"/>
    <x v="64"/>
  </r>
  <r>
    <n v="917"/>
    <s v="KAS"/>
    <m/>
    <x v="2"/>
    <x v="50"/>
    <d v="2018-05-15T00:00:00"/>
    <d v="2018-05-15T00:00:00"/>
    <n v="-2.2000000000000002"/>
    <n v="2.2000000000000002"/>
    <m/>
    <s v="bier"/>
    <x v="1"/>
    <x v="12"/>
    <x v="64"/>
  </r>
  <r>
    <n v="920"/>
    <s v="KAS"/>
    <m/>
    <x v="2"/>
    <x v="50"/>
    <d v="2018-05-15T00:00:00"/>
    <d v="2018-05-15T00:00:00"/>
    <n v="-1.2"/>
    <n v="1.2"/>
    <m/>
    <s v="snickers"/>
    <x v="1"/>
    <x v="12"/>
    <x v="65"/>
  </r>
  <r>
    <n v="922"/>
    <s v="KAS"/>
    <m/>
    <x v="2"/>
    <x v="50"/>
    <d v="2018-05-15T00:00:00"/>
    <d v="2018-05-15T00:00:00"/>
    <n v="-8"/>
    <n v="8"/>
    <m/>
    <s v="koffie 4 dgn"/>
    <x v="1"/>
    <x v="12"/>
    <x v="66"/>
  </r>
  <r>
    <n v="925"/>
    <s v="KAS"/>
    <m/>
    <x v="2"/>
    <x v="50"/>
    <d v="2018-05-15T00:00:00"/>
    <d v="2018-05-15T00:00:00"/>
    <n v="-14.7"/>
    <n v="14.7"/>
    <m/>
    <s v="7 dgn koffie"/>
    <x v="1"/>
    <x v="12"/>
    <x v="66"/>
  </r>
  <r>
    <n v="928"/>
    <s v="KAS"/>
    <m/>
    <x v="2"/>
    <x v="50"/>
    <d v="2018-05-15T00:00:00"/>
    <d v="2018-05-15T00:00:00"/>
    <n v="-1.2"/>
    <n v="1.2"/>
    <m/>
    <s v="snickers"/>
    <x v="1"/>
    <x v="12"/>
    <x v="65"/>
  </r>
  <r>
    <n v="930"/>
    <s v="KAS"/>
    <m/>
    <x v="2"/>
    <x v="50"/>
    <d v="2018-05-15T00:00:00"/>
    <d v="2018-05-15T00:00:00"/>
    <n v="2"/>
    <n v="2"/>
    <m/>
    <s v="mcdonads met caroline"/>
    <x v="1"/>
    <x v="12"/>
    <x v="64"/>
  </r>
  <r>
    <n v="931"/>
    <s v="KAS"/>
    <m/>
    <x v="2"/>
    <x v="50"/>
    <d v="2018-05-15T00:00:00"/>
    <d v="2018-05-15T00:00:00"/>
    <n v="-2.9"/>
    <n v="2.9"/>
    <m/>
    <s v="pizza florida 26/5"/>
    <x v="1"/>
    <x v="12"/>
    <x v="65"/>
  </r>
  <r>
    <n v="934"/>
    <s v="KAS"/>
    <m/>
    <x v="2"/>
    <x v="50"/>
    <d v="2018-05-15T00:00:00"/>
    <d v="2018-05-15T00:00:00"/>
    <n v="-5"/>
    <n v="5"/>
    <m/>
    <s v="drinken station carolina"/>
    <x v="1"/>
    <x v="12"/>
    <x v="64"/>
  </r>
  <r>
    <n v="935"/>
    <s v="KAS"/>
    <m/>
    <x v="2"/>
    <x v="50"/>
    <d v="2018-05-15T00:00:00"/>
    <d v="2018-05-15T00:00:00"/>
    <n v="-16.8"/>
    <n v="16.8"/>
    <m/>
    <s v="8 dgn koffie"/>
    <x v="1"/>
    <x v="12"/>
    <x v="66"/>
  </r>
  <r>
    <n v="936"/>
    <s v="KAS"/>
    <m/>
    <x v="2"/>
    <x v="50"/>
    <d v="2018-05-15T00:00:00"/>
    <d v="2018-05-15T00:00:00"/>
    <n v="-2.5"/>
    <n v="2.5"/>
    <m/>
    <s v="ijsje fata morgana"/>
    <x v="1"/>
    <x v="12"/>
    <x v="64"/>
  </r>
  <r>
    <n v="940"/>
    <s v="KAS"/>
    <m/>
    <x v="2"/>
    <x v="50"/>
    <d v="2018-05-15T00:00:00"/>
    <d v="2018-05-15T00:00:00"/>
    <n v="-6"/>
    <n v="6"/>
    <m/>
    <s v="koffie 3 dgn"/>
    <x v="1"/>
    <x v="12"/>
    <x v="66"/>
  </r>
  <r>
    <n v="941"/>
    <s v="KAS"/>
    <m/>
    <x v="2"/>
    <x v="51"/>
    <d v="2018-06-03T00:00:00"/>
    <d v="2018-06-03T00:00:00"/>
    <n v="-11"/>
    <n v="11"/>
    <m/>
    <s v="bierfestival3/6"/>
    <x v="1"/>
    <x v="12"/>
    <x v="64"/>
  </r>
  <r>
    <n v="944"/>
    <s v="KAS"/>
    <m/>
    <x v="2"/>
    <x v="51"/>
    <d v="2018-06-03T00:00:00"/>
    <d v="2018-06-03T00:00:00"/>
    <n v="-14"/>
    <n v="14"/>
    <m/>
    <s v="7xcapp+koffie"/>
    <x v="1"/>
    <x v="12"/>
    <x v="66"/>
  </r>
  <r>
    <n v="945"/>
    <s v="KAS"/>
    <m/>
    <x v="2"/>
    <x v="51"/>
    <d v="2018-06-03T00:00:00"/>
    <d v="2018-06-03T00:00:00"/>
    <n v="-4"/>
    <n v="4"/>
    <m/>
    <s v="ijsjes 2x"/>
    <x v="1"/>
    <x v="12"/>
    <x v="65"/>
  </r>
  <r>
    <n v="946"/>
    <s v="KAS"/>
    <m/>
    <x v="2"/>
    <x v="51"/>
    <d v="2018-06-03T00:00:00"/>
    <d v="2018-06-03T00:00:00"/>
    <n v="-0.8"/>
    <n v="0.8"/>
    <m/>
    <s v="water"/>
    <x v="1"/>
    <x v="12"/>
    <x v="65"/>
  </r>
  <r>
    <n v="951"/>
    <s v="KAS"/>
    <m/>
    <x v="2"/>
    <x v="51"/>
    <d v="2018-06-03T00:00:00"/>
    <d v="2018-06-03T00:00:00"/>
    <n v="-21"/>
    <n v="21"/>
    <m/>
    <s v="karaokeparty"/>
    <x v="1"/>
    <x v="12"/>
    <x v="64"/>
  </r>
  <r>
    <n v="952"/>
    <s v="KAS"/>
    <m/>
    <x v="2"/>
    <x v="51"/>
    <d v="2018-06-03T00:00:00"/>
    <d v="2018-06-03T00:00:00"/>
    <n v="-2"/>
    <n v="2"/>
    <m/>
    <s v="ijsje 11/6"/>
    <x v="1"/>
    <x v="12"/>
    <x v="65"/>
  </r>
  <r>
    <n v="956"/>
    <s v="KAS"/>
    <m/>
    <x v="2"/>
    <x v="51"/>
    <d v="2018-06-03T00:00:00"/>
    <d v="2018-06-03T00:00:00"/>
    <n v="-22"/>
    <n v="22"/>
    <m/>
    <s v="10 dgn espr/capp"/>
    <x v="1"/>
    <x v="12"/>
    <x v="66"/>
  </r>
  <r>
    <n v="959"/>
    <s v="KAS"/>
    <m/>
    <x v="2"/>
    <x v="51"/>
    <d v="2018-06-03T00:00:00"/>
    <d v="2018-06-03T00:00:00"/>
    <n v="-11.5"/>
    <n v="11.5"/>
    <m/>
    <s v="pizza 23/6"/>
    <x v="1"/>
    <x v="12"/>
    <x v="67"/>
  </r>
  <r>
    <n v="960"/>
    <s v="KAS"/>
    <m/>
    <x v="2"/>
    <x v="51"/>
    <d v="2018-06-03T00:00:00"/>
    <d v="2018-06-03T00:00:00"/>
    <n v="-10"/>
    <n v="10"/>
    <m/>
    <s v="5 dgn koffie capp"/>
    <x v="1"/>
    <x v="12"/>
    <x v="66"/>
  </r>
  <r>
    <n v="962"/>
    <s v="KAS"/>
    <m/>
    <x v="2"/>
    <x v="51"/>
    <d v="2018-06-03T00:00:00"/>
    <d v="2018-06-03T00:00:00"/>
    <n v="-11.1"/>
    <n v="11.1"/>
    <m/>
    <s v="6 dgn koffie"/>
    <x v="1"/>
    <x v="12"/>
    <x v="66"/>
  </r>
  <r>
    <n v="964"/>
    <s v="KAS"/>
    <m/>
    <x v="2"/>
    <x v="51"/>
    <d v="2018-06-03T00:00:00"/>
    <d v="2018-06-03T00:00:00"/>
    <n v="-2"/>
    <n v="2"/>
    <m/>
    <s v="water il curvone"/>
    <x v="1"/>
    <x v="12"/>
    <x v="65"/>
  </r>
  <r>
    <n v="965"/>
    <s v="KAS"/>
    <m/>
    <x v="2"/>
    <x v="51"/>
    <d v="2018-06-03T00:00:00"/>
    <d v="2018-06-03T00:00:00"/>
    <n v="-3.5"/>
    <n v="3.5"/>
    <m/>
    <s v="bierjte 29/6"/>
    <x v="1"/>
    <x v="12"/>
    <x v="64"/>
  </r>
  <r>
    <n v="966"/>
    <s v="KAS"/>
    <m/>
    <x v="2"/>
    <x v="51"/>
    <d v="2018-06-03T00:00:00"/>
    <d v="2018-06-03T00:00:00"/>
    <n v="-3"/>
    <n v="3"/>
    <m/>
    <s v="ijsje+water acilia"/>
    <x v="1"/>
    <x v="12"/>
    <x v="65"/>
  </r>
  <r>
    <n v="967"/>
    <s v="KAS"/>
    <m/>
    <x v="2"/>
    <x v="52"/>
    <d v="2018-07-03T00:00:00"/>
    <d v="2018-07-03T00:00:00"/>
    <n v="-7.4"/>
    <n v="7.4"/>
    <m/>
    <s v="4 dgn koffie"/>
    <x v="1"/>
    <x v="12"/>
    <x v="66"/>
  </r>
  <r>
    <n v="970"/>
    <s v="KAS"/>
    <m/>
    <x v="2"/>
    <x v="52"/>
    <d v="2018-07-03T00:00:00"/>
    <d v="2018-07-03T00:00:00"/>
    <n v="-8.5"/>
    <n v="8.5"/>
    <m/>
    <s v="broodje ioanna 1/7"/>
    <x v="1"/>
    <x v="12"/>
    <x v="64"/>
  </r>
  <r>
    <n v="973"/>
    <s v="KAS"/>
    <m/>
    <x v="2"/>
    <x v="52"/>
    <d v="2018-07-03T00:00:00"/>
    <d v="2018-07-03T00:00:00"/>
    <n v="-0.7"/>
    <n v="0.7"/>
    <m/>
    <s v="water pizza florida"/>
    <x v="1"/>
    <x v="12"/>
    <x v="65"/>
  </r>
  <r>
    <n v="977"/>
    <s v="KAS"/>
    <m/>
    <x v="2"/>
    <x v="52"/>
    <d v="2018-07-03T00:00:00"/>
    <d v="2018-07-03T00:00:00"/>
    <n v="-2.8"/>
    <n v="2.8"/>
    <m/>
    <s v="pizza flroida"/>
    <x v="1"/>
    <x v="12"/>
    <x v="65"/>
  </r>
  <r>
    <n v="978"/>
    <s v="KAS"/>
    <m/>
    <x v="2"/>
    <x v="52"/>
    <d v="2018-07-03T00:00:00"/>
    <d v="2018-07-03T00:00:00"/>
    <n v="-3.82"/>
    <n v="3.82"/>
    <m/>
    <s v="broodje caprese"/>
    <x v="1"/>
    <x v="12"/>
    <x v="64"/>
  </r>
  <r>
    <n v="979"/>
    <s v="KAS"/>
    <m/>
    <x v="2"/>
    <x v="52"/>
    <d v="2018-07-03T00:00:00"/>
    <d v="2018-07-03T00:00:00"/>
    <n v="-0.8"/>
    <n v="0.8"/>
    <m/>
    <s v="water 8/7"/>
    <x v="1"/>
    <x v="12"/>
    <x v="65"/>
  </r>
  <r>
    <n v="981"/>
    <s v="KAS"/>
    <m/>
    <x v="2"/>
    <x v="52"/>
    <d v="2018-07-03T00:00:00"/>
    <d v="2018-07-03T00:00:00"/>
    <n v="-23.32"/>
    <n v="23.32"/>
    <m/>
    <s v="11 dgn koffie"/>
    <x v="1"/>
    <x v="12"/>
    <x v="66"/>
  </r>
  <r>
    <n v="983"/>
    <s v="KAS"/>
    <m/>
    <x v="2"/>
    <x v="52"/>
    <d v="2018-07-03T00:00:00"/>
    <d v="2018-07-03T00:00:00"/>
    <n v="-25.2"/>
    <n v="25.2"/>
    <m/>
    <s v="12 dgn koffie/capp"/>
    <x v="1"/>
    <x v="12"/>
    <x v="66"/>
  </r>
  <r>
    <n v="985"/>
    <s v="KAS"/>
    <m/>
    <x v="2"/>
    <x v="52"/>
    <d v="2018-07-03T00:00:00"/>
    <d v="2018-07-03T00:00:00"/>
    <n v="-5.6"/>
    <n v="5.6"/>
    <m/>
    <s v="bier gelateria"/>
    <x v="1"/>
    <x v="12"/>
    <x v="64"/>
  </r>
  <r>
    <n v="987"/>
    <s v="KAS"/>
    <m/>
    <x v="2"/>
    <x v="52"/>
    <d v="2018-07-03T00:00:00"/>
    <d v="2018-07-03T00:00:00"/>
    <n v="-15"/>
    <n v="15"/>
    <m/>
    <s v="pizza 24/7"/>
    <x v="1"/>
    <x v="12"/>
    <x v="64"/>
  </r>
  <r>
    <n v="996"/>
    <s v="KAS"/>
    <m/>
    <x v="2"/>
    <x v="52"/>
    <d v="2018-07-03T00:00:00"/>
    <d v="2018-07-03T00:00:00"/>
    <n v="-18.59"/>
    <n v="18.59"/>
    <m/>
    <s v="6 dgn koffie water cap"/>
    <x v="1"/>
    <x v="12"/>
    <x v="66"/>
  </r>
  <r>
    <n v="997"/>
    <s v="KAS"/>
    <m/>
    <x v="2"/>
    <x v="52"/>
    <d v="2018-07-03T00:00:00"/>
    <d v="2018-07-03T00:00:00"/>
    <n v="-10"/>
    <n v="10"/>
    <m/>
    <s v="bier met Aurora"/>
    <x v="1"/>
    <x v="12"/>
    <x v="64"/>
  </r>
  <r>
    <n v="1000"/>
    <s v="KAS"/>
    <m/>
    <x v="2"/>
    <x v="37"/>
    <d v="2018-08-01T00:00:00"/>
    <d v="2018-08-01T00:00:00"/>
    <n v="-4.6399999999999997"/>
    <n v="4.6399999999999997"/>
    <m/>
    <s v="rondje koffie"/>
    <x v="1"/>
    <x v="12"/>
    <x v="66"/>
  </r>
  <r>
    <n v="1001"/>
    <s v="KAS"/>
    <m/>
    <x v="2"/>
    <x v="37"/>
    <d v="2018-08-01T00:00:00"/>
    <d v="2018-08-01T00:00:00"/>
    <n v="-2.8"/>
    <n v="2.8"/>
    <m/>
    <s v="biertje 3/8"/>
    <x v="1"/>
    <x v="12"/>
    <x v="64"/>
  </r>
  <r>
    <n v="1002"/>
    <s v="KAS"/>
    <m/>
    <x v="2"/>
    <x v="37"/>
    <d v="2018-08-01T00:00:00"/>
    <d v="2018-08-01T00:00:00"/>
    <n v="-6"/>
    <n v="6"/>
    <m/>
    <s v="koffie 3 dgn"/>
    <x v="1"/>
    <x v="12"/>
    <x v="66"/>
  </r>
  <r>
    <n v="1004"/>
    <s v="KAS"/>
    <m/>
    <x v="2"/>
    <x v="37"/>
    <d v="2018-08-01T00:00:00"/>
    <d v="2018-08-01T00:00:00"/>
    <n v="-2"/>
    <n v="2"/>
    <m/>
    <s v="Muffin"/>
    <x v="1"/>
    <x v="12"/>
    <x v="64"/>
  </r>
  <r>
    <n v="1006"/>
    <s v="KAS"/>
    <m/>
    <x v="2"/>
    <x v="37"/>
    <d v="2018-08-01T00:00:00"/>
    <d v="2018-08-01T00:00:00"/>
    <n v="-2.5"/>
    <n v="2.5"/>
    <m/>
    <s v="ijsje 5/8"/>
    <x v="1"/>
    <x v="12"/>
    <x v="65"/>
  </r>
  <r>
    <n v="1011"/>
    <s v="KAS"/>
    <m/>
    <x v="2"/>
    <x v="37"/>
    <d v="2018-08-01T00:00:00"/>
    <d v="2018-08-01T00:00:00"/>
    <n v="-22"/>
    <n v="22"/>
    <m/>
    <s v="koffie 11 dgn"/>
    <x v="1"/>
    <x v="12"/>
    <x v="66"/>
  </r>
  <r>
    <n v="1014"/>
    <s v="KAS"/>
    <m/>
    <x v="2"/>
    <x v="37"/>
    <d v="2018-08-01T00:00:00"/>
    <d v="2018-08-01T00:00:00"/>
    <n v="-2.5"/>
    <n v="2.5"/>
    <m/>
    <s v="ijsje 10/8"/>
    <x v="1"/>
    <x v="12"/>
    <x v="65"/>
  </r>
  <r>
    <n v="1015"/>
    <s v="KAS"/>
    <m/>
    <x v="2"/>
    <x v="37"/>
    <d v="2018-08-01T00:00:00"/>
    <d v="2018-08-01T00:00:00"/>
    <n v="-4"/>
    <n v="4"/>
    <m/>
    <s v="2 dgn koffie"/>
    <x v="1"/>
    <x v="12"/>
    <x v="66"/>
  </r>
  <r>
    <n v="1020"/>
    <s v="KAS"/>
    <m/>
    <x v="2"/>
    <x v="37"/>
    <d v="2018-08-01T00:00:00"/>
    <d v="2018-08-01T00:00:00"/>
    <n v="-10"/>
    <n v="10"/>
    <m/>
    <s v="aperitivo 19/8"/>
    <x v="1"/>
    <x v="12"/>
    <x v="64"/>
  </r>
  <r>
    <n v="1023"/>
    <s v="KAS"/>
    <m/>
    <x v="2"/>
    <x v="37"/>
    <d v="2018-08-01T00:00:00"/>
    <d v="2018-08-01T00:00:00"/>
    <n v="-2.5"/>
    <n v="2.5"/>
    <m/>
    <s v="panino 23/8"/>
    <x v="1"/>
    <x v="12"/>
    <x v="65"/>
  </r>
  <r>
    <n v="1026"/>
    <s v="KAS"/>
    <m/>
    <x v="2"/>
    <x v="37"/>
    <d v="2018-08-01T00:00:00"/>
    <d v="2018-08-01T00:00:00"/>
    <n v="-30.24"/>
    <n v="30.24"/>
    <m/>
    <s v="12 dgn koffie"/>
    <x v="1"/>
    <x v="12"/>
    <x v="66"/>
  </r>
  <r>
    <n v="1029"/>
    <s v="KAS"/>
    <m/>
    <x v="2"/>
    <x v="37"/>
    <d v="2018-08-01T00:00:00"/>
    <d v="2018-08-01T00:00:00"/>
    <n v="-1"/>
    <n v="1"/>
    <m/>
    <s v="water 23/8"/>
    <x v="1"/>
    <x v="12"/>
    <x v="65"/>
  </r>
  <r>
    <n v="1030"/>
    <s v="KAS"/>
    <m/>
    <x v="2"/>
    <x v="37"/>
    <d v="2018-08-01T00:00:00"/>
    <d v="2018-08-01T00:00:00"/>
    <n v="-5.04"/>
    <n v="5.04"/>
    <m/>
    <s v="2 dgn koffie "/>
    <x v="1"/>
    <x v="12"/>
    <x v="66"/>
  </r>
  <r>
    <n v="1033"/>
    <s v="KAS"/>
    <m/>
    <x v="2"/>
    <x v="37"/>
    <d v="2018-08-01T00:00:00"/>
    <d v="2018-08-01T00:00:00"/>
    <n v="-6.45"/>
    <n v="6.45"/>
    <m/>
    <s v="3 dgn koffie"/>
    <x v="1"/>
    <x v="12"/>
    <x v="66"/>
  </r>
  <r>
    <n v="1034"/>
    <s v="KAS"/>
    <m/>
    <x v="2"/>
    <x v="37"/>
    <d v="2018-08-01T00:00:00"/>
    <d v="2018-08-01T00:00:00"/>
    <n v="-4"/>
    <n v="4"/>
    <m/>
    <s v="kofife met karla 30/8"/>
    <x v="1"/>
    <x v="12"/>
    <x v="66"/>
  </r>
  <r>
    <n v="1037"/>
    <s v="KAS"/>
    <m/>
    <x v="2"/>
    <x v="12"/>
    <d v="2018-09-01T00:00:00"/>
    <d v="2018-09-01T00:00:00"/>
    <n v="-2.5"/>
    <n v="2.5"/>
    <m/>
    <s v="ijsje 30/8"/>
    <x v="1"/>
    <x v="12"/>
    <x v="65"/>
  </r>
  <r>
    <n v="1039"/>
    <s v="KAS"/>
    <m/>
    <x v="2"/>
    <x v="12"/>
    <d v="2018-09-01T00:00:00"/>
    <d v="2018-09-01T00:00:00"/>
    <n v="-14"/>
    <n v="14"/>
    <m/>
    <s v="kebab met karla"/>
    <x v="1"/>
    <x v="12"/>
    <x v="64"/>
  </r>
  <r>
    <n v="1042"/>
    <s v="KAS"/>
    <m/>
    <x v="2"/>
    <x v="12"/>
    <d v="2018-09-01T00:00:00"/>
    <d v="2018-09-01T00:00:00"/>
    <n v="-2.5"/>
    <n v="2.5"/>
    <m/>
    <s v="ijsje fata morgana"/>
    <x v="1"/>
    <x v="12"/>
    <x v="65"/>
  </r>
  <r>
    <n v="1043"/>
    <s v="KAS"/>
    <m/>
    <x v="2"/>
    <x v="12"/>
    <d v="2018-09-01T00:00:00"/>
    <d v="2018-09-01T00:00:00"/>
    <n v="-3.2"/>
    <n v="3.2"/>
    <m/>
    <s v="pizza piazza barberini"/>
    <x v="1"/>
    <x v="12"/>
    <x v="64"/>
  </r>
  <r>
    <n v="1044"/>
    <s v="KAS"/>
    <m/>
    <x v="2"/>
    <x v="12"/>
    <d v="2018-09-01T00:00:00"/>
    <d v="2018-09-01T00:00:00"/>
    <n v="-8.6"/>
    <n v="8.6"/>
    <m/>
    <s v="4 dgn koffie"/>
    <x v="1"/>
    <x v="12"/>
    <x v="66"/>
  </r>
  <r>
    <n v="1048"/>
    <s v="KAS"/>
    <m/>
    <x v="2"/>
    <x v="12"/>
    <d v="2018-09-01T00:00:00"/>
    <d v="2018-09-01T00:00:00"/>
    <n v="-10"/>
    <n v="10"/>
    <m/>
    <s v="Centocelle 12/9"/>
    <x v="1"/>
    <x v="12"/>
    <x v="64"/>
  </r>
  <r>
    <n v="1053"/>
    <s v="KAS"/>
    <m/>
    <x v="2"/>
    <x v="12"/>
    <d v="2018-09-01T00:00:00"/>
    <d v="2018-09-01T00:00:00"/>
    <n v="-5.22"/>
    <n v="5.22"/>
    <m/>
    <s v="Pizza al taglio 9/9+water"/>
    <x v="1"/>
    <x v="12"/>
    <x v="65"/>
  </r>
  <r>
    <n v="1058"/>
    <s v="KAS"/>
    <m/>
    <x v="2"/>
    <x v="12"/>
    <d v="2018-09-01T00:00:00"/>
    <d v="2018-09-01T00:00:00"/>
    <n v="-18"/>
    <n v="18"/>
    <m/>
    <s v="9 dagen koffie"/>
    <x v="1"/>
    <x v="12"/>
    <x v="66"/>
  </r>
  <r>
    <n v="1059"/>
    <s v="KAS"/>
    <m/>
    <x v="2"/>
    <x v="12"/>
    <d v="2018-09-01T00:00:00"/>
    <d v="2018-09-01T00:00:00"/>
    <n v="-1.8"/>
    <n v="1.8"/>
    <m/>
    <s v="water centocelle"/>
    <x v="1"/>
    <x v="12"/>
    <x v="65"/>
  </r>
  <r>
    <n v="1064"/>
    <s v="KAS"/>
    <m/>
    <x v="2"/>
    <x v="12"/>
    <d v="2018-09-01T00:00:00"/>
    <d v="2018-09-01T00:00:00"/>
    <n v="-17"/>
    <n v="17"/>
    <m/>
    <s v="koffie 9 dgn "/>
    <x v="1"/>
    <x v="12"/>
    <x v="66"/>
  </r>
  <r>
    <n v="1065"/>
    <s v="KAS"/>
    <m/>
    <x v="2"/>
    <x v="12"/>
    <d v="2018-09-01T00:00:00"/>
    <d v="2018-09-01T00:00:00"/>
    <n v="-10"/>
    <n v="10"/>
    <m/>
    <s v="uit eten chinees/jappanner"/>
    <x v="1"/>
    <x v="12"/>
    <x v="64"/>
  </r>
  <r>
    <n v="1066"/>
    <s v="KAS"/>
    <m/>
    <x v="2"/>
    <x v="12"/>
    <d v="2018-09-01T00:00:00"/>
    <d v="2018-09-01T00:00:00"/>
    <n v="-15"/>
    <n v="15"/>
    <m/>
    <s v="pizza porta da sole"/>
    <x v="1"/>
    <x v="12"/>
    <x v="67"/>
  </r>
  <r>
    <n v="1067"/>
    <s v="KAS"/>
    <m/>
    <x v="2"/>
    <x v="12"/>
    <d v="2018-09-01T00:00:00"/>
    <d v="2018-09-01T00:00:00"/>
    <n v="-2.5"/>
    <n v="2.5"/>
    <m/>
    <s v="arancino 16/9"/>
    <x v="1"/>
    <x v="12"/>
    <x v="65"/>
  </r>
  <r>
    <n v="1070"/>
    <s v="KAS"/>
    <m/>
    <x v="2"/>
    <x v="12"/>
    <d v="2018-09-01T00:00:00"/>
    <d v="2018-09-01T00:00:00"/>
    <n v="-1.17"/>
    <n v="1.17"/>
    <m/>
    <s v="supli 25/9"/>
    <x v="1"/>
    <x v="12"/>
    <x v="65"/>
  </r>
  <r>
    <n v="1073"/>
    <s v="KAS"/>
    <m/>
    <x v="2"/>
    <x v="12"/>
    <d v="2018-09-01T00:00:00"/>
    <d v="2018-09-01T00:00:00"/>
    <n v="-3.8"/>
    <n v="3.8"/>
    <m/>
    <s v="curvone"/>
    <x v="1"/>
    <x v="12"/>
    <x v="64"/>
  </r>
  <r>
    <n v="1074"/>
    <s v="KAS"/>
    <m/>
    <x v="2"/>
    <x v="12"/>
    <d v="2018-09-01T00:00:00"/>
    <d v="2018-09-01T00:00:00"/>
    <n v="-2.5"/>
    <n v="2.5"/>
    <m/>
    <s v="panino miora food"/>
    <x v="1"/>
    <x v="12"/>
    <x v="65"/>
  </r>
  <r>
    <n v="1076"/>
    <s v="KAS"/>
    <m/>
    <x v="2"/>
    <x v="12"/>
    <d v="2018-09-01T00:00:00"/>
    <d v="2018-09-01T00:00:00"/>
    <n v="-14"/>
    <n v="14"/>
    <m/>
    <s v="koffie 7 dgn"/>
    <x v="1"/>
    <x v="12"/>
    <x v="66"/>
  </r>
  <r>
    <n v="1078"/>
    <s v="KAS"/>
    <m/>
    <x v="2"/>
    <x v="12"/>
    <d v="2018-09-01T00:00:00"/>
    <d v="2018-09-01T00:00:00"/>
    <n v="-10"/>
    <n v="10"/>
    <m/>
    <s v="japanner"/>
    <x v="1"/>
    <x v="12"/>
    <x v="64"/>
  </r>
  <r>
    <n v="1079"/>
    <s v="KAS"/>
    <m/>
    <x v="2"/>
    <x v="12"/>
    <d v="2018-09-01T00:00:00"/>
    <d v="2018-09-01T00:00:00"/>
    <n v="-30"/>
    <n v="30"/>
    <m/>
    <s v="bier+bitratoria"/>
    <x v="1"/>
    <x v="12"/>
    <x v="64"/>
  </r>
  <r>
    <n v="1083"/>
    <s v="KAS"/>
    <m/>
    <x v="2"/>
    <x v="12"/>
    <d v="2018-09-01T00:00:00"/>
    <d v="2018-09-01T00:00:00"/>
    <n v="-6.5"/>
    <n v="6.5"/>
    <m/>
    <s v="pasta 30/9"/>
    <x v="1"/>
    <x v="12"/>
    <x v="64"/>
  </r>
  <r>
    <n v="1084"/>
    <s v="KAS"/>
    <m/>
    <x v="2"/>
    <x v="11"/>
    <d v="2018-10-01T00:00:00"/>
    <d v="2018-10-01T00:00:00"/>
    <n v="-1.7"/>
    <n v="1.7"/>
    <m/>
    <s v="cappucino vliegveld"/>
    <x v="1"/>
    <x v="12"/>
    <x v="66"/>
  </r>
  <r>
    <n v="1085"/>
    <s v="KAS"/>
    <m/>
    <x v="2"/>
    <x v="11"/>
    <d v="2018-10-01T00:00:00"/>
    <d v="2018-10-01T00:00:00"/>
    <n v="-2.6"/>
    <n v="2.6"/>
    <m/>
    <s v="fanta vliegtuig"/>
    <x v="1"/>
    <x v="12"/>
    <x v="64"/>
  </r>
  <r>
    <n v="1086"/>
    <s v="KAS"/>
    <m/>
    <x v="2"/>
    <x v="11"/>
    <d v="2018-10-01T00:00:00"/>
    <d v="2018-10-01T00:00:00"/>
    <n v="-4"/>
    <n v="4"/>
    <m/>
    <s v="2x koffie/capp"/>
    <x v="1"/>
    <x v="12"/>
    <x v="66"/>
  </r>
  <r>
    <n v="1089"/>
    <s v="KAS"/>
    <m/>
    <x v="2"/>
    <x v="11"/>
    <d v="2018-10-01T00:00:00"/>
    <d v="2018-10-01T00:00:00"/>
    <n v="-6.5"/>
    <n v="6.5"/>
    <m/>
    <s v="doppio 6,50"/>
    <x v="1"/>
    <x v="12"/>
    <x v="66"/>
  </r>
  <r>
    <n v="1092"/>
    <s v="KAS"/>
    <m/>
    <x v="2"/>
    <x v="11"/>
    <d v="2018-10-01T00:00:00"/>
    <d v="2018-10-01T00:00:00"/>
    <n v="-3.25"/>
    <n v="3.25"/>
    <m/>
    <s v="espresso barista cafe"/>
    <x v="1"/>
    <x v="12"/>
    <x v="66"/>
  </r>
  <r>
    <n v="1093"/>
    <s v="KAS"/>
    <m/>
    <x v="2"/>
    <x v="11"/>
    <d v="2018-10-01T00:00:00"/>
    <d v="2018-10-01T00:00:00"/>
    <n v="-3.5"/>
    <n v="3.5"/>
    <m/>
    <s v="capp ziekenhuis"/>
    <x v="1"/>
    <x v="12"/>
    <x v="66"/>
  </r>
  <r>
    <n v="1097"/>
    <s v="KAS"/>
    <m/>
    <x v="2"/>
    <x v="11"/>
    <d v="2018-10-01T00:00:00"/>
    <d v="2018-10-01T00:00:00"/>
    <n v="-5"/>
    <n v="5"/>
    <m/>
    <s v="caspar 17/10"/>
    <x v="1"/>
    <x v="12"/>
    <x v="64"/>
  </r>
  <r>
    <n v="1098"/>
    <s v="KAS"/>
    <m/>
    <x v="2"/>
    <x v="11"/>
    <d v="2018-10-01T00:00:00"/>
    <d v="2018-10-01T00:00:00"/>
    <n v="-1.5"/>
    <n v="1.5"/>
    <m/>
    <s v="broodje station"/>
    <x v="1"/>
    <x v="12"/>
    <x v="65"/>
  </r>
  <r>
    <n v="1099"/>
    <s v="KAS"/>
    <m/>
    <x v="2"/>
    <x v="11"/>
    <d v="2018-10-01T00:00:00"/>
    <d v="2018-10-01T00:00:00"/>
    <n v="-3"/>
    <n v="3"/>
    <m/>
    <s v="koffie back 2 black"/>
    <x v="1"/>
    <x v="12"/>
    <x v="66"/>
  </r>
  <r>
    <n v="1100"/>
    <s v="KAS"/>
    <m/>
    <x v="2"/>
    <x v="11"/>
    <d v="2018-10-01T00:00:00"/>
    <d v="2018-10-01T00:00:00"/>
    <n v="-3"/>
    <n v="3"/>
    <m/>
    <s v="cappuncino bagel and co"/>
    <x v="1"/>
    <x v="12"/>
    <x v="66"/>
  </r>
  <r>
    <n v="1102"/>
    <s v="KAS"/>
    <m/>
    <x v="2"/>
    <x v="11"/>
    <d v="2018-10-01T00:00:00"/>
    <d v="2018-10-01T00:00:00"/>
    <n v="-20"/>
    <n v="20"/>
    <m/>
    <s v="uit eten met loek 13/10"/>
    <x v="1"/>
    <x v="12"/>
    <x v="67"/>
  </r>
  <r>
    <n v="1103"/>
    <s v="KAS"/>
    <m/>
    <x v="2"/>
    <x v="11"/>
    <d v="2018-10-01T00:00:00"/>
    <d v="2018-10-01T00:00:00"/>
    <n v="-3.5"/>
    <n v="3.5"/>
    <m/>
    <s v="brew2cup"/>
    <x v="1"/>
    <x v="12"/>
    <x v="66"/>
  </r>
  <r>
    <n v="1104"/>
    <s v="KAS"/>
    <m/>
    <x v="2"/>
    <x v="11"/>
    <d v="2018-10-01T00:00:00"/>
    <d v="2018-10-01T00:00:00"/>
    <n v="3"/>
    <n v="3"/>
    <m/>
    <s v="soundtrek"/>
    <x v="1"/>
    <x v="12"/>
    <x v="66"/>
  </r>
  <r>
    <n v="1106"/>
    <s v="KAS"/>
    <m/>
    <x v="2"/>
    <x v="11"/>
    <d v="2018-10-01T00:00:00"/>
    <d v="2018-10-01T00:00:00"/>
    <n v="-1.5"/>
    <n v="1.5"/>
    <m/>
    <s v="havenmeester"/>
    <x v="1"/>
    <x v="12"/>
    <x v="65"/>
  </r>
  <r>
    <n v="1107"/>
    <s v="KAS"/>
    <m/>
    <x v="2"/>
    <x v="11"/>
    <d v="2018-10-01T00:00:00"/>
    <d v="2018-10-01T00:00:00"/>
    <n v="-4.5"/>
    <n v="4.5"/>
    <m/>
    <s v="doppio 22/10"/>
    <x v="1"/>
    <x v="12"/>
    <x v="66"/>
  </r>
  <r>
    <n v="1108"/>
    <s v="KAS"/>
    <m/>
    <x v="2"/>
    <x v="11"/>
    <d v="2018-10-01T00:00:00"/>
    <d v="2018-10-01T00:00:00"/>
    <n v="-13"/>
    <n v="13"/>
    <m/>
    <s v="caspar 2310"/>
    <x v="1"/>
    <x v="12"/>
    <x v="64"/>
  </r>
  <r>
    <n v="1131"/>
    <s v="NL22RABO0381604934"/>
    <m/>
    <x v="2"/>
    <x v="9"/>
    <d v="2018-02-21T00:00:00"/>
    <d v="2018-02-21T00:00:00"/>
    <n v="-5.23"/>
    <n v="5.23"/>
    <m/>
    <s v="COSTA COFFEE HOUNSLOW GBR"/>
    <x v="1"/>
    <x v="12"/>
    <x v="66"/>
  </r>
  <r>
    <n v="1137"/>
    <s v="NL22RABO0381604934"/>
    <m/>
    <x v="2"/>
    <x v="9"/>
    <d v="2018-02-28T00:00:00"/>
    <d v="2018-02-28T00:00:00"/>
    <n v="-8.6999999999999993"/>
    <n v="8.6999999999999993"/>
    <m/>
    <s v="CAFETARIA HO ME ARNHEM"/>
    <x v="1"/>
    <x v="12"/>
    <x v="64"/>
  </r>
  <r>
    <n v="1144"/>
    <s v="NL22RABO0381604934"/>
    <m/>
    <x v="2"/>
    <x v="10"/>
    <d v="2018-03-04T00:00:00"/>
    <d v="2018-03-04T00:00:00"/>
    <n v="-11.4"/>
    <n v="11.4"/>
    <m/>
    <s v="CASPAR ARNHEM"/>
    <x v="1"/>
    <x v="12"/>
    <x v="64"/>
  </r>
  <r>
    <n v="1145"/>
    <s v="NL22RABO0381604934"/>
    <m/>
    <x v="2"/>
    <x v="10"/>
    <d v="2018-03-04T00:00:00"/>
    <d v="2018-03-04T00:00:00"/>
    <n v="-2.5"/>
    <n v="2.5"/>
    <m/>
    <s v="CCV*DUDOK ARNHEM ARNHEM"/>
    <x v="1"/>
    <x v="12"/>
    <x v="66"/>
  </r>
  <r>
    <n v="1152"/>
    <s v="NL22RABO0381604934"/>
    <m/>
    <x v="2"/>
    <x v="10"/>
    <d v="2018-03-08T00:00:00"/>
    <d v="2018-03-08T00:00:00"/>
    <n v="-2.5"/>
    <n v="2.5"/>
    <m/>
    <s v="IZ *Bhalu Relax B.V. NIJMEGEN"/>
    <x v="1"/>
    <x v="12"/>
    <x v="66"/>
  </r>
  <r>
    <n v="1153"/>
    <s v="NL22RABO0381604934"/>
    <m/>
    <x v="2"/>
    <x v="10"/>
    <d v="2018-03-08T00:00:00"/>
    <d v="2018-03-08T00:00:00"/>
    <n v="-2.2999999999999998"/>
    <n v="2.2999999999999998"/>
    <m/>
    <s v="Bakkerij Bart NIJMEGEN"/>
    <x v="1"/>
    <x v="12"/>
    <x v="65"/>
  </r>
  <r>
    <n v="1154"/>
    <s v="NL22RABO0381604934"/>
    <m/>
    <x v="2"/>
    <x v="10"/>
    <d v="2018-03-08T00:00:00"/>
    <d v="2018-03-08T00:00:00"/>
    <n v="-5.4"/>
    <n v="5.4"/>
    <m/>
    <s v="CCV*MOMENTO ARNHEM"/>
    <x v="1"/>
    <x v="12"/>
    <x v="66"/>
  </r>
  <r>
    <n v="1155"/>
    <s v="NL22RABO0381604934"/>
    <m/>
    <x v="2"/>
    <x v="10"/>
    <d v="2018-03-09T00:00:00"/>
    <d v="2018-03-09T00:00:00"/>
    <n v="-2.2000000000000002"/>
    <n v="2.2000000000000002"/>
    <m/>
    <s v="CCV*Soundtrek ARNHEM"/>
    <x v="1"/>
    <x v="12"/>
    <x v="66"/>
  </r>
  <r>
    <n v="1157"/>
    <s v="NL22RABO0381604934"/>
    <m/>
    <x v="2"/>
    <x v="10"/>
    <d v="2018-03-10T00:00:00"/>
    <d v="2018-03-10T00:00:00"/>
    <n v="-5"/>
    <n v="5"/>
    <m/>
    <s v="CCV*MOMENTO ARNHEM"/>
    <x v="1"/>
    <x v="12"/>
    <x v="66"/>
  </r>
  <r>
    <n v="1158"/>
    <s v="NL22RABO0381604934"/>
    <m/>
    <x v="2"/>
    <x v="10"/>
    <d v="2018-03-11T00:00:00"/>
    <d v="2018-03-11T00:00:00"/>
    <n v="-7"/>
    <n v="7"/>
    <m/>
    <s v="CASPAR ARNHEM"/>
    <x v="1"/>
    <x v="12"/>
    <x v="64"/>
  </r>
  <r>
    <n v="1160"/>
    <s v="NL22RABO0381604934"/>
    <m/>
    <x v="2"/>
    <x v="10"/>
    <d v="2018-03-11T00:00:00"/>
    <d v="2018-03-11T00:00:00"/>
    <n v="-2.5"/>
    <n v="2.5"/>
    <m/>
    <s v="CCV*DUDOK ARNHEM ARNHEM"/>
    <x v="1"/>
    <x v="12"/>
    <x v="66"/>
  </r>
  <r>
    <n v="1162"/>
    <s v="NL22RABO0381604934"/>
    <m/>
    <x v="2"/>
    <x v="10"/>
    <d v="2018-03-12T00:00:00"/>
    <d v="2018-03-12T00:00:00"/>
    <n v="-6.4"/>
    <n v="6.4"/>
    <m/>
    <s v="Stan&amp;Co Arnhem ARNHEM"/>
    <x v="1"/>
    <x v="12"/>
    <x v="64"/>
  </r>
  <r>
    <n v="1166"/>
    <s v="NL22RABO0381604934"/>
    <m/>
    <x v="2"/>
    <x v="10"/>
    <d v="2018-03-14T00:00:00"/>
    <d v="2018-03-14T00:00:00"/>
    <n v="-2.5"/>
    <n v="2.5"/>
    <m/>
    <s v="CoffeeLab UC B.V EINDHOVEN"/>
    <x v="1"/>
    <x v="12"/>
    <x v="66"/>
  </r>
  <r>
    <n v="1167"/>
    <s v="NL22RABO0381604934"/>
    <m/>
    <x v="2"/>
    <x v="10"/>
    <d v="2018-03-15T00:00:00"/>
    <d v="2018-03-15T00:00:00"/>
    <n v="-3"/>
    <n v="3"/>
    <m/>
    <s v="CCV*STADSVILLA SONSBEE ARNHEM"/>
    <x v="1"/>
    <x v="12"/>
    <x v="66"/>
  </r>
  <r>
    <n v="1168"/>
    <s v="NL22RABO0381604934"/>
    <m/>
    <x v="2"/>
    <x v="10"/>
    <d v="2018-03-15T00:00:00"/>
    <d v="2018-03-15T00:00:00"/>
    <n v="-4.5999999999999996"/>
    <n v="4.5999999999999996"/>
    <m/>
    <s v="CCV*CAFE DE KROEG ETEN ARNHEM"/>
    <x v="1"/>
    <x v="12"/>
    <x v="64"/>
  </r>
  <r>
    <n v="1170"/>
    <s v="NL22RABO0381604934"/>
    <m/>
    <x v="2"/>
    <x v="10"/>
    <d v="2018-03-17T00:00:00"/>
    <d v="2018-03-17T00:00:00"/>
    <n v="-20.8"/>
    <n v="20.8"/>
    <m/>
    <s v="CASPAR ARNHEM"/>
    <x v="1"/>
    <x v="12"/>
    <x v="64"/>
  </r>
  <r>
    <n v="1171"/>
    <s v="NL22RABO0381604934"/>
    <m/>
    <x v="2"/>
    <x v="10"/>
    <d v="2018-03-17T00:00:00"/>
    <d v="2018-03-17T00:00:00"/>
    <n v="-37.75"/>
    <n v="37.75"/>
    <m/>
    <s v="CCV*DE PIZZABAKKERS AR ARNHEM"/>
    <x v="1"/>
    <x v="12"/>
    <x v="64"/>
  </r>
  <r>
    <n v="1172"/>
    <s v="NL22RABO0381604934"/>
    <m/>
    <x v="2"/>
    <x v="10"/>
    <d v="2018-03-17T00:00:00"/>
    <d v="2018-03-17T00:00:00"/>
    <n v="-9.6"/>
    <n v="9.6"/>
    <m/>
    <s v="Stan&amp;Co Arnhem ARNHEM"/>
    <x v="1"/>
    <x v="12"/>
    <x v="64"/>
  </r>
  <r>
    <n v="1173"/>
    <s v="NL22RABO0381604934"/>
    <m/>
    <x v="2"/>
    <x v="10"/>
    <d v="2018-03-18T00:00:00"/>
    <d v="2018-03-18T00:00:00"/>
    <n v="-1.8"/>
    <n v="1.8"/>
    <m/>
    <s v="Kiosk EMN 8923 EMMEN"/>
    <x v="1"/>
    <x v="12"/>
    <x v="65"/>
  </r>
  <r>
    <n v="1182"/>
    <s v="NL22RABO0381604934"/>
    <m/>
    <x v="2"/>
    <x v="10"/>
    <d v="2018-03-25T00:00:00"/>
    <d v="2018-03-25T00:00:00"/>
    <n v="-3.1"/>
    <n v="3.1"/>
    <m/>
    <s v="HMSHOST ROTTERDAM THE ROTTERDAM"/>
    <x v="1"/>
    <x v="12"/>
    <x v="66"/>
  </r>
  <r>
    <n v="1183"/>
    <s v="NL22RABO0381604934"/>
    <m/>
    <x v="2"/>
    <x v="10"/>
    <d v="2018-03-25T00:00:00"/>
    <d v="2018-03-25T00:00:00"/>
    <n v="-1"/>
    <n v="1"/>
    <m/>
    <s v="CCV*ROTTERDAM AIRP. TA ROTTERDAM"/>
    <x v="1"/>
    <x v="12"/>
    <x v="65"/>
  </r>
  <r>
    <n v="1193"/>
    <s v="NL22RABO0381604934"/>
    <m/>
    <x v="2"/>
    <x v="49"/>
    <d v="2018-04-15T00:00:00"/>
    <d v="2018-04-15T00:00:00"/>
    <n v="33.459999999999994"/>
    <n v="33.459999999999994"/>
    <m/>
    <s v="koffie 19/4"/>
    <x v="1"/>
    <x v="12"/>
    <x v="66"/>
  </r>
  <r>
    <n v="1203"/>
    <s v="NL22RABO0381604934"/>
    <m/>
    <x v="2"/>
    <x v="49"/>
    <d v="2018-04-15T00:00:00"/>
    <d v="2018-04-15T00:00:00"/>
    <n v="-3"/>
    <n v="3"/>
    <m/>
    <s v="rabobank nederland (snickers vliegtuig)"/>
    <x v="1"/>
    <x v="12"/>
    <x v="65"/>
  </r>
  <r>
    <n v="1207"/>
    <s v="NL22RABO0381604934"/>
    <m/>
    <x v="2"/>
    <x v="50"/>
    <d v="2018-05-15T00:00:00"/>
    <d v="2018-05-15T00:00:00"/>
    <n v="-1.7"/>
    <n v="1.7"/>
    <m/>
    <s v="mc donalds"/>
    <x v="1"/>
    <x v="12"/>
    <x v="64"/>
  </r>
  <r>
    <n v="1209"/>
    <s v="NL22RABO0381604934"/>
    <m/>
    <x v="2"/>
    <x v="50"/>
    <d v="2018-05-15T00:00:00"/>
    <d v="2018-05-15T00:00:00"/>
    <n v="-2.5499999999999998"/>
    <n v="2.5499999999999998"/>
    <m/>
    <s v="koffie 20/5"/>
    <x v="1"/>
    <x v="12"/>
    <x v="66"/>
  </r>
  <r>
    <n v="1213"/>
    <s v="NL22RABO0381604934"/>
    <m/>
    <x v="2"/>
    <x v="50"/>
    <d v="2018-05-15T00:00:00"/>
    <d v="2018-05-15T00:00:00"/>
    <n v="-5.8"/>
    <n v="5.8"/>
    <m/>
    <s v="mcdonads met caroline"/>
    <x v="1"/>
    <x v="12"/>
    <x v="64"/>
  </r>
  <r>
    <n v="1226"/>
    <s v="NL22RABO0381604934"/>
    <m/>
    <x v="2"/>
    <x v="51"/>
    <d v="2018-06-02T00:00:00"/>
    <d v="2018-06-02T00:00:00"/>
    <n v="-4.8499999999999996"/>
    <n v="4.8499999999999996"/>
    <m/>
    <s v="MC DONALD'S ROMA ITA"/>
    <x v="1"/>
    <x v="12"/>
    <x v="64"/>
  </r>
  <r>
    <n v="1242"/>
    <s v="NL22RABO0381604934"/>
    <m/>
    <x v="2"/>
    <x v="52"/>
    <d v="2018-07-01T00:00:00"/>
    <d v="2018-07-01T00:00:00"/>
    <n v="-3"/>
    <n v="3"/>
    <m/>
    <s v="MERCATO CENTRALE ROMA ROMA ITA"/>
    <x v="1"/>
    <x v="12"/>
    <x v="64"/>
  </r>
  <r>
    <n v="1276"/>
    <s v="NL22RABO0381604934"/>
    <m/>
    <x v="2"/>
    <x v="12"/>
    <d v="2018-09-20T00:00:00"/>
    <d v="2018-09-20T00:00:00"/>
    <n v="-2.7"/>
    <n v="2.7"/>
    <m/>
    <s v="MCDONALD'S ROMA PIAZZA ROMA ITA"/>
    <x v="1"/>
    <x v="12"/>
    <x v="64"/>
  </r>
  <r>
    <n v="1279"/>
    <s v="NL22RABO0381604934"/>
    <m/>
    <x v="2"/>
    <x v="12"/>
    <d v="2018-09-25T00:00:00"/>
    <d v="2018-09-25T00:00:00"/>
    <n v="-6.5"/>
    <n v="6.5"/>
    <m/>
    <s v="PASTASCIUTTA ROMA ITA"/>
    <x v="1"/>
    <x v="12"/>
    <x v="67"/>
  </r>
  <r>
    <n v="1287"/>
    <s v="NL22RABO0381604934"/>
    <m/>
    <x v="2"/>
    <x v="11"/>
    <d v="2018-10-02T00:00:00"/>
    <d v="2018-10-02T00:00:00"/>
    <n v="-1.5"/>
    <n v="1.5"/>
    <m/>
    <s v="NS Railcat ZL 9120 ZWOLLE"/>
    <x v="1"/>
    <x v="12"/>
    <x v="65"/>
  </r>
  <r>
    <n v="1298"/>
    <s v="NL22RABO0381604934"/>
    <m/>
    <x v="2"/>
    <x v="11"/>
    <d v="2018-10-11T00:00:00"/>
    <d v="2018-10-11T00:00:00"/>
    <n v="-5.8"/>
    <n v="5.8"/>
    <m/>
    <s v="Stan&amp;Co Arnhem ARNHEM"/>
    <x v="1"/>
    <x v="12"/>
    <x v="64"/>
  </r>
  <r>
    <n v="1299"/>
    <s v="NL22RABO0381604934"/>
    <m/>
    <x v="2"/>
    <x v="11"/>
    <d v="2018-10-12T00:00:00"/>
    <d v="2018-10-12T00:00:00"/>
    <n v="-3"/>
    <n v="3"/>
    <m/>
    <s v="FEBO Arnhem ARNHEM"/>
    <x v="1"/>
    <x v="12"/>
    <x v="64"/>
  </r>
  <r>
    <n v="1302"/>
    <s v="NL22RABO0381604934"/>
    <m/>
    <x v="2"/>
    <x v="11"/>
    <d v="2018-10-13T00:00:00"/>
    <d v="2018-10-13T00:00:00"/>
    <n v="-5.8"/>
    <n v="5.8"/>
    <m/>
    <s v="C&amp;M*BARISTA CAFE ARNHE ARNHEM"/>
    <x v="1"/>
    <x v="12"/>
    <x v="66"/>
  </r>
  <r>
    <n v="1304"/>
    <s v="NL22RABO0381604934"/>
    <m/>
    <x v="2"/>
    <x v="11"/>
    <d v="2018-10-14T00:00:00"/>
    <d v="2018-10-14T00:00:00"/>
    <n v="-9.8000000000000007"/>
    <n v="9.8000000000000007"/>
    <m/>
    <s v="CCV*CAFE DE BOER  DE G VOLENDAM"/>
    <x v="1"/>
    <x v="12"/>
    <x v="64"/>
  </r>
  <r>
    <n v="1306"/>
    <s v="NL22RABO0381604934"/>
    <m/>
    <x v="2"/>
    <x v="11"/>
    <d v="2018-10-15T00:00:00"/>
    <d v="2018-10-15T00:00:00"/>
    <n v="-1.5"/>
    <n v="1.5"/>
    <m/>
    <s v="Broodzaak ASDZ 2602 AMSTERDAM"/>
    <x v="1"/>
    <x v="12"/>
    <x v="65"/>
  </r>
  <r>
    <n v="1307"/>
    <s v="NL22RABO0381604934"/>
    <m/>
    <x v="2"/>
    <x v="11"/>
    <d v="2018-10-15T00:00:00"/>
    <d v="2018-10-15T00:00:00"/>
    <n v="-3"/>
    <n v="3"/>
    <m/>
    <s v="CCV*BACK TO BLACK AMSTERDAM"/>
    <x v="1"/>
    <x v="12"/>
    <x v="64"/>
  </r>
  <r>
    <n v="1308"/>
    <s v="NL22RABO0381604934"/>
    <m/>
    <x v="2"/>
    <x v="11"/>
    <d v="2018-10-15T00:00:00"/>
    <d v="2018-10-15T00:00:00"/>
    <n v="-11.99"/>
    <n v="11.99"/>
    <m/>
    <s v="GONE WITH THE WIND AMSTERDAM"/>
    <x v="1"/>
    <x v="12"/>
    <x v="66"/>
  </r>
  <r>
    <n v="1317"/>
    <s v="NL22RABO0381604934"/>
    <m/>
    <x v="2"/>
    <x v="11"/>
    <d v="2018-10-18T00:00:00"/>
    <d v="2018-10-18T00:00:00"/>
    <n v="-2.7"/>
    <n v="2.7"/>
    <m/>
    <s v="Doppio Arnhem ARNHEM"/>
    <x v="1"/>
    <x v="12"/>
    <x v="66"/>
  </r>
  <r>
    <n v="1318"/>
    <s v="NL22RABO0381604934"/>
    <m/>
    <x v="2"/>
    <x v="11"/>
    <d v="2018-10-19T00:00:00"/>
    <d v="2018-10-19T00:00:00"/>
    <n v="-2.2999999999999998"/>
    <n v="2.2999999999999998"/>
    <m/>
    <s v="HARTBIET AMSTEDAM"/>
    <x v="1"/>
    <x v="12"/>
    <x v="66"/>
  </r>
  <r>
    <n v="1319"/>
    <s v="NL22RABO0381604934"/>
    <m/>
    <x v="2"/>
    <x v="11"/>
    <d v="2018-10-19T00:00:00"/>
    <d v="2018-10-19T00:00:00"/>
    <n v="-8.6999999999999993"/>
    <n v="8.6999999999999993"/>
    <m/>
    <s v="CAFETARIA HO ME ARNHEM"/>
    <x v="1"/>
    <x v="12"/>
    <x v="64"/>
  </r>
  <r>
    <n v="1321"/>
    <s v="NL22RABO0381604934"/>
    <m/>
    <x v="2"/>
    <x v="11"/>
    <d v="2018-10-21T00:00:00"/>
    <d v="2018-10-21T00:00:00"/>
    <n v="-17.100000000000001"/>
    <n v="17.100000000000001"/>
    <m/>
    <s v="CASPAR ARNHEM"/>
    <x v="1"/>
    <x v="12"/>
    <x v="64"/>
  </r>
  <r>
    <n v="1323"/>
    <s v="NL22RABO0381604934"/>
    <m/>
    <x v="2"/>
    <x v="11"/>
    <d v="2018-10-21T00:00:00"/>
    <d v="2018-10-21T00:00:00"/>
    <n v="-6"/>
    <n v="6"/>
    <m/>
    <s v="CCV*Soundtrek ARNHEM"/>
    <x v="1"/>
    <x v="12"/>
    <x v="64"/>
  </r>
  <r>
    <n v="1328"/>
    <s v="NL22RABO0381604934"/>
    <m/>
    <x v="2"/>
    <x v="11"/>
    <d v="2018-10-23T00:00:00"/>
    <d v="2018-10-23T00:00:00"/>
    <n v="-2.4"/>
    <n v="2.4"/>
    <m/>
    <s v="CCV*DUDOK ARNHEM ARNHEM"/>
    <x v="1"/>
    <x v="12"/>
    <x v="66"/>
  </r>
  <r>
    <n v="1329"/>
    <s v="NL22RABO0381604934"/>
    <m/>
    <x v="2"/>
    <x v="11"/>
    <d v="2018-10-23T00:00:00"/>
    <d v="2018-10-23T00:00:00"/>
    <n v="-30"/>
    <n v="30"/>
    <m/>
    <s v="la cubanita"/>
    <x v="1"/>
    <x v="12"/>
    <x v="64"/>
  </r>
  <r>
    <n v="1348"/>
    <s v="NL22RABO0381604934"/>
    <m/>
    <x v="2"/>
    <x v="7"/>
    <d v="2018-11-02T00:00:00"/>
    <d v="2018-11-02T00:00:00"/>
    <n v="-2.5"/>
    <n v="2.5"/>
    <m/>
    <s v="Huiskamer RTD 4737 ROTTERDAM"/>
    <x v="1"/>
    <x v="12"/>
    <x v="66"/>
  </r>
  <r>
    <n v="1374"/>
    <s v="RABO GOLD CARD"/>
    <m/>
    <x v="2"/>
    <x v="10"/>
    <d v="2018-03-25T00:00:00"/>
    <d v="2018-03-25T00:00:00"/>
    <n v="-3"/>
    <n v="3"/>
    <m/>
    <s v="Transavia Schiphol NLD"/>
    <x v="1"/>
    <x v="12"/>
    <x v="65"/>
  </r>
  <r>
    <n v="1456"/>
    <s v="BNPPARIBAS"/>
    <m/>
    <x v="3"/>
    <x v="39"/>
    <d v="2019-10-31T00:00:00"/>
    <d v="2019-10-31T00:00:00"/>
    <n v="-2.5"/>
    <n v="2.5"/>
    <m/>
    <s v="drankje vliegtuig"/>
    <x v="1"/>
    <x v="12"/>
    <x v="64"/>
  </r>
  <r>
    <n v="1486"/>
    <s v="KAS"/>
    <m/>
    <x v="3"/>
    <x v="14"/>
    <d v="2019-03-01T00:00:00"/>
    <d v="2019-03-01T00:00:00"/>
    <n v="-2.2999999999999998"/>
    <n v="2.2999999999999998"/>
    <m/>
    <s v="bonnie"/>
    <x v="1"/>
    <x v="12"/>
    <x v="64"/>
  </r>
  <r>
    <n v="1489"/>
    <s v="KAS"/>
    <m/>
    <x v="3"/>
    <x v="14"/>
    <n v="43540"/>
    <n v="43540"/>
    <n v="-6.8"/>
    <n v="6.8"/>
    <m/>
    <s v="cafe vrijdag"/>
    <x v="1"/>
    <x v="12"/>
    <x v="64"/>
  </r>
  <r>
    <n v="1491"/>
    <s v="KAS"/>
    <m/>
    <x v="3"/>
    <x v="14"/>
    <n v="43542"/>
    <n v="43542"/>
    <n v="-2.2999999999999998"/>
    <n v="2.2999999999999998"/>
    <m/>
    <s v="brew2cup"/>
    <x v="1"/>
    <x v="12"/>
    <x v="66"/>
  </r>
  <r>
    <n v="1493"/>
    <s v="KAS"/>
    <m/>
    <x v="3"/>
    <x v="53"/>
    <n v="43556"/>
    <n v="43556"/>
    <n v="-2.5"/>
    <n v="2.5"/>
    <m/>
    <s v="vegan burger"/>
    <x v="1"/>
    <x v="12"/>
    <x v="65"/>
  </r>
  <r>
    <n v="1498"/>
    <s v="KAS"/>
    <m/>
    <x v="3"/>
    <x v="53"/>
    <d v="2019-04-01T00:00:00"/>
    <d v="2019-04-01T00:00:00"/>
    <n v="-3.2"/>
    <n v="3.2"/>
    <m/>
    <s v="koffie morgen"/>
    <x v="1"/>
    <x v="12"/>
    <x v="66"/>
  </r>
  <r>
    <n v="1499"/>
    <s v="KAS"/>
    <m/>
    <x v="3"/>
    <x v="53"/>
    <d v="2019-04-01T00:00:00"/>
    <d v="2019-04-01T00:00:00"/>
    <n v="-1"/>
    <n v="1"/>
    <m/>
    <s v="espresso"/>
    <x v="1"/>
    <x v="12"/>
    <x v="66"/>
  </r>
  <r>
    <n v="1509"/>
    <s v="KAS"/>
    <m/>
    <x v="3"/>
    <x v="53"/>
    <d v="2019-04-01T00:00:00"/>
    <d v="2019-04-01T00:00:00"/>
    <n v="-14"/>
    <n v="14"/>
    <m/>
    <s v="7 dgn capp/koffie"/>
    <x v="1"/>
    <x v="12"/>
    <x v="66"/>
  </r>
  <r>
    <n v="1510"/>
    <s v="KAS"/>
    <m/>
    <x v="3"/>
    <x v="53"/>
    <d v="2019-04-01T00:00:00"/>
    <d v="2019-04-01T00:00:00"/>
    <n v="-1.7"/>
    <n v="1.7"/>
    <m/>
    <s v="koekjes"/>
    <x v="1"/>
    <x v="12"/>
    <x v="65"/>
  </r>
  <r>
    <n v="1518"/>
    <s v="KAS"/>
    <m/>
    <x v="3"/>
    <x v="53"/>
    <d v="2019-04-01T00:00:00"/>
    <d v="2019-04-01T00:00:00"/>
    <n v="-5.5"/>
    <n v="5.5"/>
    <m/>
    <s v="curry termini 30/4"/>
    <x v="1"/>
    <x v="12"/>
    <x v="64"/>
  </r>
  <r>
    <n v="1519"/>
    <s v="KAS"/>
    <m/>
    <x v="3"/>
    <x v="53"/>
    <d v="2019-04-01T00:00:00"/>
    <d v="2019-04-01T00:00:00"/>
    <n v="-2.5"/>
    <n v="2.5"/>
    <m/>
    <s v="panino 30/4"/>
    <x v="1"/>
    <x v="12"/>
    <x v="65"/>
  </r>
  <r>
    <n v="1522"/>
    <s v="KAS"/>
    <m/>
    <x v="3"/>
    <x v="53"/>
    <d v="2019-04-01T00:00:00"/>
    <d v="2019-04-01T00:00:00"/>
    <n v="-20"/>
    <n v="20"/>
    <m/>
    <s v="koffie/capp 10 dgn"/>
    <x v="1"/>
    <x v="12"/>
    <x v="66"/>
  </r>
  <r>
    <n v="1523"/>
    <s v="KAS"/>
    <m/>
    <x v="3"/>
    <x v="53"/>
    <n v="43566"/>
    <n v="43566"/>
    <n v="-0.8"/>
    <n v="0.8"/>
    <m/>
    <s v="espresso"/>
    <x v="1"/>
    <x v="12"/>
    <x v="66"/>
  </r>
  <r>
    <n v="1526"/>
    <s v="KAS"/>
    <m/>
    <x v="3"/>
    <x v="53"/>
    <n v="43580"/>
    <n v="43580"/>
    <n v="-0.95"/>
    <n v="0.95"/>
    <m/>
    <s v="espresso"/>
    <x v="1"/>
    <x v="12"/>
    <x v="66"/>
  </r>
  <r>
    <n v="1527"/>
    <s v="KAS"/>
    <m/>
    <x v="3"/>
    <x v="53"/>
    <n v="43582"/>
    <n v="43582"/>
    <n v="-5.05"/>
    <n v="5.05"/>
    <m/>
    <s v="4 dgn kpffie"/>
    <x v="1"/>
    <x v="12"/>
    <x v="66"/>
  </r>
  <r>
    <n v="1528"/>
    <s v="KAS"/>
    <m/>
    <x v="3"/>
    <x v="53"/>
    <n v="43585"/>
    <n v="43585"/>
    <n v="-5.9"/>
    <n v="5.9"/>
    <m/>
    <s v="espresso 3 dgn"/>
    <x v="1"/>
    <x v="12"/>
    <x v="66"/>
  </r>
  <r>
    <n v="1529"/>
    <s v="KAS"/>
    <m/>
    <x v="3"/>
    <x v="54"/>
    <d v="2019-05-01T00:00:00"/>
    <d v="2019-05-01T00:00:00"/>
    <n v="-2.4"/>
    <n v="2.4"/>
    <m/>
    <s v="alice pizza"/>
    <x v="1"/>
    <x v="12"/>
    <x v="64"/>
  </r>
  <r>
    <n v="1536"/>
    <s v="KAS"/>
    <m/>
    <x v="3"/>
    <x v="54"/>
    <d v="2019-05-01T00:00:00"/>
    <d v="2019-05-01T00:00:00"/>
    <n v="-2"/>
    <n v="2"/>
    <m/>
    <s v="alice pizza 1475"/>
    <x v="1"/>
    <x v="12"/>
    <x v="64"/>
  </r>
  <r>
    <n v="1540"/>
    <s v="KAS"/>
    <m/>
    <x v="3"/>
    <x v="54"/>
    <d v="2019-05-01T00:00:00"/>
    <d v="2019-05-01T00:00:00"/>
    <n v="-12"/>
    <n v="12"/>
    <m/>
    <s v="6 dgn koffie capp"/>
    <x v="1"/>
    <x v="12"/>
    <x v="66"/>
  </r>
  <r>
    <n v="1542"/>
    <s v="KAS"/>
    <m/>
    <x v="3"/>
    <x v="54"/>
    <d v="2019-05-01T00:00:00"/>
    <d v="2019-05-01T00:00:00"/>
    <n v="-16"/>
    <n v="16"/>
    <m/>
    <s v="8 dgn koffie cap"/>
    <x v="1"/>
    <x v="12"/>
    <x v="66"/>
  </r>
  <r>
    <n v="1549"/>
    <s v="KAS"/>
    <m/>
    <x v="3"/>
    <x v="54"/>
    <d v="2019-05-01T00:00:00"/>
    <d v="2019-05-01T00:00:00"/>
    <n v="-1.9"/>
    <n v="1.9"/>
    <m/>
    <s v="ijsje 24/5"/>
    <x v="1"/>
    <x v="12"/>
    <x v="65"/>
  </r>
  <r>
    <n v="1553"/>
    <s v="KAS"/>
    <m/>
    <x v="3"/>
    <x v="54"/>
    <d v="2019-05-01T00:00:00"/>
    <d v="2019-05-01T00:00:00"/>
    <n v="-1.75"/>
    <n v="1.75"/>
    <m/>
    <s v="alice 28/5"/>
    <x v="1"/>
    <x v="12"/>
    <x v="64"/>
  </r>
  <r>
    <n v="1554"/>
    <s v="KAS"/>
    <m/>
    <x v="3"/>
    <x v="54"/>
    <d v="2019-05-01T00:00:00"/>
    <d v="2019-05-01T00:00:00"/>
    <n v="-1.8"/>
    <n v="1.8"/>
    <m/>
    <s v="croissants"/>
    <x v="1"/>
    <x v="12"/>
    <x v="65"/>
  </r>
  <r>
    <n v="1556"/>
    <s v="KAS"/>
    <m/>
    <x v="3"/>
    <x v="54"/>
    <n v="43616"/>
    <n v="43616"/>
    <n v="-7.85"/>
    <n v="7.85"/>
    <m/>
    <s v="7 dgn koffie?capp"/>
    <x v="1"/>
    <x v="12"/>
    <x v="66"/>
  </r>
  <r>
    <n v="1557"/>
    <s v="KAS"/>
    <m/>
    <x v="3"/>
    <x v="55"/>
    <d v="2019-06-01T00:00:00"/>
    <d v="2019-06-01T00:00:00"/>
    <n v="-5"/>
    <n v="5"/>
    <m/>
    <s v="aperitivo"/>
    <x v="1"/>
    <x v="12"/>
    <x v="64"/>
  </r>
  <r>
    <n v="1558"/>
    <s v="KAS"/>
    <m/>
    <x v="3"/>
    <x v="55"/>
    <d v="2019-06-01T00:00:00"/>
    <d v="2019-06-01T00:00:00"/>
    <n v="-9"/>
    <n v="9"/>
    <m/>
    <s v="i cugini 6/6"/>
    <x v="1"/>
    <x v="12"/>
    <x v="67"/>
  </r>
  <r>
    <n v="1559"/>
    <s v="KAS"/>
    <m/>
    <x v="3"/>
    <x v="55"/>
    <d v="2019-06-01T00:00:00"/>
    <d v="2019-06-01T00:00:00"/>
    <n v="-2.5"/>
    <n v="2.5"/>
    <m/>
    <s v="koekjes 1/6"/>
    <x v="1"/>
    <x v="12"/>
    <x v="65"/>
  </r>
  <r>
    <n v="1560"/>
    <s v="KAS"/>
    <m/>
    <x v="3"/>
    <x v="55"/>
    <d v="2019-06-01T00:00:00"/>
    <d v="2019-06-01T00:00:00"/>
    <n v="-8.1"/>
    <n v="8.1"/>
    <m/>
    <s v="koffie 6 dgn"/>
    <x v="1"/>
    <x v="12"/>
    <x v="66"/>
  </r>
  <r>
    <n v="1562"/>
    <s v="KAS"/>
    <m/>
    <x v="3"/>
    <x v="55"/>
    <d v="2019-06-01T00:00:00"/>
    <d v="2019-06-01T00:00:00"/>
    <n v="-10"/>
    <n v="10"/>
    <m/>
    <s v="pizza 8/6"/>
    <x v="1"/>
    <x v="12"/>
    <x v="67"/>
  </r>
  <r>
    <n v="1563"/>
    <s v="KAS"/>
    <m/>
    <x v="3"/>
    <x v="55"/>
    <d v="2019-06-01T00:00:00"/>
    <d v="2019-06-01T00:00:00"/>
    <n v="-6.6"/>
    <n v="6.6"/>
    <m/>
    <s v="koffie 3 dng"/>
    <x v="1"/>
    <x v="12"/>
    <x v="66"/>
  </r>
  <r>
    <n v="1565"/>
    <s v="KAS"/>
    <m/>
    <x v="3"/>
    <x v="55"/>
    <d v="2019-06-01T00:00:00"/>
    <d v="2019-06-01T00:00:00"/>
    <n v="-3"/>
    <n v="3"/>
    <m/>
    <s v="3 dgn koffie"/>
    <x v="1"/>
    <x v="12"/>
    <x v="66"/>
  </r>
  <r>
    <n v="1568"/>
    <s v="KAS"/>
    <m/>
    <x v="3"/>
    <x v="55"/>
    <d v="2019-06-01T00:00:00"/>
    <d v="2019-06-01T00:00:00"/>
    <n v="-10"/>
    <n v="10"/>
    <m/>
    <s v="mc donalds"/>
    <x v="1"/>
    <x v="12"/>
    <x v="64"/>
  </r>
  <r>
    <n v="1569"/>
    <s v="KAS"/>
    <m/>
    <x v="3"/>
    <x v="55"/>
    <d v="2019-06-01T00:00:00"/>
    <d v="2019-06-01T00:00:00"/>
    <n v="-13"/>
    <n v="13"/>
    <m/>
    <s v="pizza met rob penta2000"/>
    <x v="1"/>
    <x v="12"/>
    <x v="67"/>
  </r>
  <r>
    <n v="1570"/>
    <s v="KAS"/>
    <m/>
    <x v="3"/>
    <x v="55"/>
    <d v="2019-06-01T00:00:00"/>
    <d v="2019-06-01T00:00:00"/>
    <n v="-11.3"/>
    <n v="11.3"/>
    <m/>
    <s v="6 dgn koffie"/>
    <x v="1"/>
    <x v="12"/>
    <x v="66"/>
  </r>
  <r>
    <n v="1571"/>
    <s v="KAS"/>
    <m/>
    <x v="3"/>
    <x v="55"/>
    <d v="2019-06-01T00:00:00"/>
    <d v="2019-06-01T00:00:00"/>
    <n v="-1.5"/>
    <n v="1.5"/>
    <m/>
    <s v="koekjes"/>
    <x v="1"/>
    <x v="12"/>
    <x v="65"/>
  </r>
  <r>
    <n v="1572"/>
    <s v="KAS"/>
    <m/>
    <x v="3"/>
    <x v="55"/>
    <d v="2019-06-01T00:00:00"/>
    <d v="2019-06-01T00:00:00"/>
    <n v="-4.8499999999999996"/>
    <n v="4.8499999999999996"/>
    <m/>
    <s v="taralli en koekjes"/>
    <x v="1"/>
    <x v="12"/>
    <x v="65"/>
  </r>
  <r>
    <n v="1576"/>
    <s v="KAS"/>
    <m/>
    <x v="3"/>
    <x v="55"/>
    <n v="43644"/>
    <n v="43644"/>
    <n v="-7.15"/>
    <n v="7.15"/>
    <m/>
    <s v="7 dgn koffie"/>
    <x v="1"/>
    <x v="12"/>
    <x v="66"/>
  </r>
  <r>
    <n v="1577"/>
    <s v="KAS"/>
    <m/>
    <x v="3"/>
    <x v="55"/>
    <n v="43646"/>
    <n v="43646"/>
    <n v="-4"/>
    <n v="4"/>
    <m/>
    <s v="koffie 2 dgn"/>
    <x v="1"/>
    <x v="12"/>
    <x v="66"/>
  </r>
  <r>
    <n v="1578"/>
    <s v="KAS"/>
    <m/>
    <x v="3"/>
    <x v="38"/>
    <d v="2019-07-01T00:00:00"/>
    <d v="2019-07-01T00:00:00"/>
    <n v="-3.15"/>
    <n v="3.15"/>
    <m/>
    <s v="koffie 4 dgn"/>
    <x v="1"/>
    <x v="12"/>
    <x v="66"/>
  </r>
  <r>
    <n v="1583"/>
    <s v="KAS"/>
    <m/>
    <x v="3"/>
    <x v="38"/>
    <d v="2019-07-01T00:00:00"/>
    <d v="2019-07-01T00:00:00"/>
    <n v="-5"/>
    <n v="5"/>
    <m/>
    <s v="pizza 14/7"/>
    <x v="1"/>
    <x v="12"/>
    <x v="65"/>
  </r>
  <r>
    <n v="1584"/>
    <s v="KAS"/>
    <m/>
    <x v="3"/>
    <x v="38"/>
    <d v="2019-07-01T00:00:00"/>
    <d v="2019-07-01T00:00:00"/>
    <n v="-12.1"/>
    <n v="12.1"/>
    <m/>
    <s v="11 dgn koffie"/>
    <x v="1"/>
    <x v="12"/>
    <x v="66"/>
  </r>
  <r>
    <n v="1589"/>
    <s v="KAS"/>
    <m/>
    <x v="3"/>
    <x v="38"/>
    <d v="2019-07-01T00:00:00"/>
    <d v="2019-07-01T00:00:00"/>
    <n v="-5.5"/>
    <n v="5.5"/>
    <m/>
    <s v="pasta imperiale 23/7"/>
    <x v="1"/>
    <x v="12"/>
    <x v="64"/>
  </r>
  <r>
    <n v="1593"/>
    <s v="KAS"/>
    <m/>
    <x v="3"/>
    <x v="38"/>
    <n v="43677"/>
    <n v="43677"/>
    <n v="-31.7"/>
    <n v="31.7"/>
    <m/>
    <s v="koffie/capp 25 dgn / kastekort"/>
    <x v="1"/>
    <x v="12"/>
    <x v="66"/>
  </r>
  <r>
    <n v="1594"/>
    <s v="KAS"/>
    <m/>
    <x v="3"/>
    <x v="38"/>
    <d v="2019-07-31T00:00:00"/>
    <d v="2019-07-31T00:00:00"/>
    <n v="-11"/>
    <n v="11"/>
    <m/>
    <s v="pizza penta 28/7"/>
    <x v="1"/>
    <x v="12"/>
    <x v="67"/>
  </r>
  <r>
    <n v="1595"/>
    <s v="KAS"/>
    <m/>
    <x v="3"/>
    <x v="41"/>
    <d v="2019-08-12T00:00:00"/>
    <d v="2019-08-12T00:00:00"/>
    <n v="-5.6"/>
    <n v="5.6"/>
    <m/>
    <s v="poolparty 4/8"/>
    <x v="1"/>
    <x v="12"/>
    <x v="64"/>
  </r>
  <r>
    <n v="1596"/>
    <s v="KAS"/>
    <m/>
    <x v="3"/>
    <x v="41"/>
    <d v="2019-08-12T00:00:00"/>
    <d v="2019-08-12T00:00:00"/>
    <n v="-6.3"/>
    <n v="6.3"/>
    <m/>
    <s v="poolparty 11/8"/>
    <x v="1"/>
    <x v="12"/>
    <x v="64"/>
  </r>
  <r>
    <n v="1597"/>
    <s v="KAS"/>
    <m/>
    <x v="3"/>
    <x v="41"/>
    <d v="2019-08-12T00:00:00"/>
    <d v="2019-08-12T00:00:00"/>
    <n v="-6.01"/>
    <n v="6.01"/>
    <m/>
    <s v="pizza mondo arancina 11/8"/>
    <x v="1"/>
    <x v="12"/>
    <x v="67"/>
  </r>
  <r>
    <n v="1598"/>
    <s v="KAS"/>
    <m/>
    <x v="3"/>
    <x v="41"/>
    <d v="2019-08-12T00:00:00"/>
    <d v="2019-08-12T00:00:00"/>
    <n v="-5"/>
    <n v="5"/>
    <m/>
    <s v="pastasciuta 1/8"/>
    <x v="1"/>
    <x v="12"/>
    <x v="67"/>
  </r>
  <r>
    <n v="1600"/>
    <s v="KAS"/>
    <m/>
    <x v="3"/>
    <x v="41"/>
    <d v="2019-08-12T00:00:00"/>
    <d v="2019-08-12T00:00:00"/>
    <n v="-1.9"/>
    <n v="1.9"/>
    <m/>
    <s v="ijsje 9/8"/>
    <x v="1"/>
    <x v="12"/>
    <x v="65"/>
  </r>
  <r>
    <n v="1601"/>
    <s v="KAS"/>
    <m/>
    <x v="3"/>
    <x v="41"/>
    <d v="2019-08-12T00:00:00"/>
    <d v="2019-08-12T00:00:00"/>
    <n v="-22"/>
    <n v="22"/>
    <m/>
    <s v="koffie capp 11 dgn"/>
    <x v="1"/>
    <x v="12"/>
    <x v="66"/>
  </r>
  <r>
    <n v="1603"/>
    <s v="KAS"/>
    <m/>
    <x v="3"/>
    <x v="41"/>
    <d v="2019-08-12T00:00:00"/>
    <d v="2019-08-12T00:00:00"/>
    <n v="-6"/>
    <n v="6"/>
    <m/>
    <s v="6 dgn koffie"/>
    <x v="1"/>
    <x v="12"/>
    <x v="66"/>
  </r>
  <r>
    <n v="1608"/>
    <s v="KAS"/>
    <m/>
    <x v="3"/>
    <x v="41"/>
    <d v="2019-08-12T00:00:00"/>
    <d v="2019-08-12T00:00:00"/>
    <n v="-6.4"/>
    <n v="6.4"/>
    <m/>
    <s v="pizza 20/8"/>
    <x v="1"/>
    <x v="12"/>
    <x v="67"/>
  </r>
  <r>
    <n v="1609"/>
    <s v="KAS"/>
    <m/>
    <x v="3"/>
    <x v="41"/>
    <d v="2019-08-12T00:00:00"/>
    <d v="2019-08-12T00:00:00"/>
    <n v="-15"/>
    <n v="15"/>
    <m/>
    <s v="pizza 23/8"/>
    <x v="1"/>
    <x v="12"/>
    <x v="67"/>
  </r>
  <r>
    <n v="1611"/>
    <s v="KAS"/>
    <m/>
    <x v="3"/>
    <x v="41"/>
    <d v="2019-08-12T00:00:00"/>
    <d v="2019-08-12T00:00:00"/>
    <n v="-19.3"/>
    <n v="19.3"/>
    <m/>
    <s v="koffie 13 dgn"/>
    <x v="1"/>
    <x v="12"/>
    <x v="66"/>
  </r>
  <r>
    <n v="1614"/>
    <s v="KAS"/>
    <m/>
    <x v="3"/>
    <x v="18"/>
    <d v="2019-09-06T00:00:00"/>
    <d v="2019-09-06T00:00:00"/>
    <n v="-6"/>
    <n v="6"/>
    <m/>
    <s v="koffie 6 dgn"/>
    <x v="1"/>
    <x v="12"/>
    <x v="66"/>
  </r>
  <r>
    <n v="1617"/>
    <s v="KAS"/>
    <m/>
    <x v="3"/>
    <x v="18"/>
    <d v="2019-09-06T00:00:00"/>
    <d v="2019-09-06T00:00:00"/>
    <n v="-5"/>
    <n v="5"/>
    <m/>
    <s v="pizza al taglio 8/9"/>
    <x v="1"/>
    <x v="12"/>
    <x v="65"/>
  </r>
  <r>
    <n v="1620"/>
    <s v="KAS"/>
    <m/>
    <x v="3"/>
    <x v="18"/>
    <d v="2019-09-06T00:00:00"/>
    <d v="2019-09-06T00:00:00"/>
    <n v="-15"/>
    <n v="15"/>
    <m/>
    <s v="14 dgn koffie/capp"/>
    <x v="1"/>
    <x v="12"/>
    <x v="66"/>
  </r>
  <r>
    <n v="1621"/>
    <s v="KAS"/>
    <m/>
    <x v="3"/>
    <x v="18"/>
    <d v="2019-09-06T00:00:00"/>
    <d v="2019-09-06T00:00:00"/>
    <n v="-10"/>
    <n v="10"/>
    <m/>
    <s v="eten strand met alessia"/>
    <x v="1"/>
    <x v="12"/>
    <x v="67"/>
  </r>
  <r>
    <n v="1623"/>
    <s v="KAS"/>
    <m/>
    <x v="3"/>
    <x v="18"/>
    <d v="2019-09-06T00:00:00"/>
    <d v="2019-09-06T00:00:00"/>
    <n v="-3.5"/>
    <n v="3.5"/>
    <m/>
    <s v="alice pizza 24/9 euroma2"/>
    <x v="1"/>
    <x v="12"/>
    <x v="64"/>
  </r>
  <r>
    <n v="1624"/>
    <s v="KAS"/>
    <m/>
    <x v="3"/>
    <x v="18"/>
    <d v="2019-09-06T00:00:00"/>
    <d v="2019-09-06T00:00:00"/>
    <n v="-1.6"/>
    <n v="1.6"/>
    <m/>
    <s v="alice puzza 25/9"/>
    <x v="1"/>
    <x v="12"/>
    <x v="64"/>
  </r>
  <r>
    <n v="1625"/>
    <s v="KAS"/>
    <m/>
    <x v="3"/>
    <x v="18"/>
    <d v="2019-09-06T00:00:00"/>
    <d v="2019-09-06T00:00:00"/>
    <n v="-4.8"/>
    <n v="4.8"/>
    <m/>
    <s v="koffie 7 dgn"/>
    <x v="1"/>
    <x v="12"/>
    <x v="66"/>
  </r>
  <r>
    <n v="1627"/>
    <s v="KAS"/>
    <m/>
    <x v="3"/>
    <x v="18"/>
    <d v="2019-09-06T00:00:00"/>
    <d v="2019-09-06T00:00:00"/>
    <n v="-1.5"/>
    <n v="1.5"/>
    <m/>
    <s v="ijsje"/>
    <x v="1"/>
    <x v="12"/>
    <x v="65"/>
  </r>
  <r>
    <n v="1628"/>
    <s v="KAS"/>
    <m/>
    <x v="3"/>
    <x v="18"/>
    <d v="2019-09-06T00:00:00"/>
    <d v="2019-09-06T00:00:00"/>
    <n v="-2.5"/>
    <n v="2.5"/>
    <m/>
    <s v="spremuta"/>
    <x v="1"/>
    <x v="12"/>
    <x v="64"/>
  </r>
  <r>
    <n v="1636"/>
    <s v="KAS"/>
    <m/>
    <x v="3"/>
    <x v="39"/>
    <d v="2019-10-31T00:00:00"/>
    <d v="2019-10-31T00:00:00"/>
    <n v="-5"/>
    <n v="5"/>
    <m/>
    <s v="konijnenvoer"/>
    <x v="1"/>
    <x v="12"/>
    <x v="66"/>
  </r>
  <r>
    <n v="1642"/>
    <s v="KAS"/>
    <m/>
    <x v="3"/>
    <x v="39"/>
    <d v="2019-10-31T00:00:00"/>
    <d v="2019-10-31T00:00:00"/>
    <n v="-2.4"/>
    <n v="2.4"/>
    <m/>
    <s v="espresso"/>
    <x v="1"/>
    <x v="12"/>
    <x v="66"/>
  </r>
  <r>
    <n v="1644"/>
    <s v="KAS"/>
    <m/>
    <x v="3"/>
    <x v="39"/>
    <d v="2019-10-31T00:00:00"/>
    <d v="2019-10-31T00:00:00"/>
    <n v="-10"/>
    <n v="10"/>
    <m/>
    <s v="lunch chickpea stew"/>
    <x v="1"/>
    <x v="12"/>
    <x v="67"/>
  </r>
  <r>
    <n v="1647"/>
    <s v="KAS"/>
    <m/>
    <x v="3"/>
    <x v="16"/>
    <d v="2019-11-01T00:00:00"/>
    <d v="2019-11-01T00:00:00"/>
    <n v="-5"/>
    <n v="5"/>
    <m/>
    <s v="Stadskeuken vegan"/>
    <x v="1"/>
    <x v="12"/>
    <x v="67"/>
  </r>
  <r>
    <n v="1654"/>
    <s v="KRUIS"/>
    <m/>
    <x v="3"/>
    <x v="39"/>
    <d v="2019-10-31T00:00:00"/>
    <d v="2019-10-31T00:00:00"/>
    <n v="16.38"/>
    <n v="16.38"/>
    <m/>
    <s v="horeca joost"/>
    <x v="1"/>
    <x v="12"/>
    <x v="64"/>
  </r>
  <r>
    <n v="1657"/>
    <s v="KRUIS"/>
    <m/>
    <x v="3"/>
    <x v="39"/>
    <d v="2019-10-31T00:00:00"/>
    <d v="2019-10-31T00:00:00"/>
    <n v="-12.15"/>
    <n v="12.15"/>
    <m/>
    <s v="Betaald door Joost horeca"/>
    <x v="1"/>
    <x v="12"/>
    <x v="64"/>
  </r>
  <r>
    <n v="1660"/>
    <s v="KRUIS"/>
    <m/>
    <x v="3"/>
    <x v="39"/>
    <d v="2019-10-31T00:00:00"/>
    <d v="2019-10-31T00:00:00"/>
    <n v="24"/>
    <n v="24"/>
    <m/>
    <s v="Konijnenvoer Joost"/>
    <x v="1"/>
    <x v="12"/>
    <x v="67"/>
  </r>
  <r>
    <n v="1690"/>
    <s v="NL22RABO0381604934"/>
    <m/>
    <x v="3"/>
    <x v="14"/>
    <d v="2019-03-01T00:00:00"/>
    <d v="2019-03-01T00:00:00"/>
    <n v="7.3"/>
    <n v="7.3"/>
    <m/>
    <s v="Bonnie"/>
    <x v="1"/>
    <x v="12"/>
    <x v="64"/>
  </r>
  <r>
    <n v="1691"/>
    <s v="NL22RABO0381604934"/>
    <m/>
    <x v="3"/>
    <x v="14"/>
    <d v="2019-03-01T00:00:00"/>
    <d v="2019-03-01T00:00:00"/>
    <n v="-27.65"/>
    <n v="27.65"/>
    <m/>
    <s v="Foodhallen"/>
    <x v="1"/>
    <x v="12"/>
    <x v="67"/>
  </r>
  <r>
    <n v="1710"/>
    <s v="NL22RABO0381604934"/>
    <m/>
    <x v="3"/>
    <x v="14"/>
    <d v="2019-03-13T00:00:00"/>
    <d v="2019-03-13T00:00:00"/>
    <n v="-4.3"/>
    <n v="4.3"/>
    <m/>
    <s v="Cafetaria het Poortje ARNHEM"/>
    <x v="1"/>
    <x v="12"/>
    <x v="64"/>
  </r>
  <r>
    <n v="1711"/>
    <s v="NL22RABO0381604934"/>
    <m/>
    <x v="3"/>
    <x v="14"/>
    <d v="2019-03-14T00:00:00"/>
    <d v="2019-03-14T00:00:00"/>
    <n v="-7.1"/>
    <n v="7.1"/>
    <m/>
    <s v="CASPAR ARNHEM"/>
    <x v="1"/>
    <x v="12"/>
    <x v="64"/>
  </r>
  <r>
    <n v="1713"/>
    <s v="NL22RABO0381604934"/>
    <m/>
    <x v="3"/>
    <x v="14"/>
    <d v="2019-03-14T00:00:00"/>
    <d v="2019-03-14T00:00:00"/>
    <n v="-2.2999999999999998"/>
    <n v="2.2999999999999998"/>
    <m/>
    <s v="SumUp  *Bonnie Arnhem"/>
    <x v="1"/>
    <x v="12"/>
    <x v="66"/>
  </r>
  <r>
    <n v="1716"/>
    <s v="NL22RABO0381604934"/>
    <m/>
    <x v="3"/>
    <x v="14"/>
    <d v="2019-03-15T00:00:00"/>
    <d v="2019-03-15T00:00:00"/>
    <n v="-6.5"/>
    <n v="6.5"/>
    <m/>
    <s v="SumUp  *Bonnie Arnhem"/>
    <x v="1"/>
    <x v="12"/>
    <x v="66"/>
  </r>
  <r>
    <n v="1719"/>
    <s v="NL22RABO0381604934"/>
    <m/>
    <x v="3"/>
    <x v="14"/>
    <d v="2019-03-16T00:00:00"/>
    <d v="2019-03-16T00:00:00"/>
    <n v="-2"/>
    <n v="2"/>
    <m/>
    <s v="FEBO Arnhem ARNHEM"/>
    <x v="1"/>
    <x v="12"/>
    <x v="64"/>
  </r>
  <r>
    <n v="1720"/>
    <s v="NL22RABO0381604934"/>
    <m/>
    <x v="3"/>
    <x v="14"/>
    <d v="2019-03-17T00:00:00"/>
    <d v="2019-03-17T00:00:00"/>
    <n v="-2.8"/>
    <n v="2.8"/>
    <m/>
    <s v="SumUp  *Bonnie Arnhem"/>
    <x v="1"/>
    <x v="12"/>
    <x v="66"/>
  </r>
  <r>
    <n v="1722"/>
    <s v="NL22RABO0381604934"/>
    <m/>
    <x v="3"/>
    <x v="14"/>
    <d v="2019-03-17T00:00:00"/>
    <d v="2019-03-17T00:00:00"/>
    <n v="-5.4"/>
    <n v="5.4"/>
    <m/>
    <s v="CCV*Focus Horeca BV ARNHEM"/>
    <x v="1"/>
    <x v="12"/>
    <x v="64"/>
  </r>
  <r>
    <n v="1724"/>
    <s v="NL22RABO0381604934"/>
    <m/>
    <x v="3"/>
    <x v="14"/>
    <d v="2019-03-18T00:00:00"/>
    <d v="2019-03-18T00:00:00"/>
    <n v="-3"/>
    <n v="3"/>
    <m/>
    <s v="CCV*Oude Kraan B.V. ARNHEM"/>
    <x v="1"/>
    <x v="12"/>
    <x v="66"/>
  </r>
  <r>
    <n v="1733"/>
    <s v="NL22RABO0381604934"/>
    <m/>
    <x v="3"/>
    <x v="14"/>
    <d v="2019-03-20T00:00:00"/>
    <d v="2019-03-20T00:00:00"/>
    <n v="0.9"/>
    <n v="0.9"/>
    <m/>
    <s v="Doppio Arnhem ARNHEM"/>
    <x v="1"/>
    <x v="12"/>
    <x v="66"/>
  </r>
  <r>
    <n v="1737"/>
    <s v="NL22RABO0381604934"/>
    <m/>
    <x v="3"/>
    <x v="14"/>
    <d v="2019-03-21T00:00:00"/>
    <d v="2019-03-21T00:00:00"/>
    <n v="-7.3"/>
    <n v="7.3"/>
    <m/>
    <s v="SumUp  *Bonnie Arnhem"/>
    <x v="1"/>
    <x v="12"/>
    <x v="66"/>
  </r>
  <r>
    <n v="1739"/>
    <s v="NL22RABO0381604934"/>
    <m/>
    <x v="3"/>
    <x v="14"/>
    <d v="2019-03-22T00:00:00"/>
    <d v="2019-03-22T00:00:00"/>
    <n v="-2.2999999999999998"/>
    <n v="2.2999999999999998"/>
    <m/>
    <s v="SumUp  *Bonnie Arnhem"/>
    <x v="1"/>
    <x v="12"/>
    <x v="66"/>
  </r>
  <r>
    <n v="1741"/>
    <s v="NL22RABO0381604934"/>
    <m/>
    <x v="3"/>
    <x v="14"/>
    <d v="2019-03-22T00:00:00"/>
    <d v="2019-03-22T00:00:00"/>
    <n v="-2.6"/>
    <n v="2.6"/>
    <m/>
    <s v="CCV*Soundtrek ARNHEM"/>
    <x v="1"/>
    <x v="12"/>
    <x v="64"/>
  </r>
  <r>
    <n v="1742"/>
    <s v="NL22RABO0381604934"/>
    <m/>
    <x v="3"/>
    <x v="14"/>
    <d v="2019-03-23T00:00:00"/>
    <d v="2019-03-23T00:00:00"/>
    <n v="-2.2999999999999998"/>
    <n v="2.2999999999999998"/>
    <m/>
    <s v="SumUp  *Bonnie Arnhem"/>
    <x v="1"/>
    <x v="12"/>
    <x v="66"/>
  </r>
  <r>
    <n v="1745"/>
    <s v="NL22RABO0381604934"/>
    <m/>
    <x v="3"/>
    <x v="14"/>
    <d v="2019-03-24T00:00:00"/>
    <d v="2019-03-24T00:00:00"/>
    <n v="-2.2999999999999998"/>
    <n v="2.2999999999999998"/>
    <m/>
    <s v="SumUp  *Bonnie Arnhem"/>
    <x v="1"/>
    <x v="12"/>
    <x v="66"/>
  </r>
  <r>
    <n v="1750"/>
    <s v="NL22RABO0381604934"/>
    <m/>
    <x v="3"/>
    <x v="14"/>
    <d v="2019-03-25T00:00:00"/>
    <d v="2019-03-25T00:00:00"/>
    <n v="-10"/>
    <n v="10"/>
    <m/>
    <s v="CCV*Focus Horeca BV ARNHEM"/>
    <x v="1"/>
    <x v="12"/>
    <x v="64"/>
  </r>
  <r>
    <n v="1755"/>
    <s v="NL22RABO0381604934"/>
    <m/>
    <x v="3"/>
    <x v="14"/>
    <d v="2019-03-26T00:00:00"/>
    <d v="2019-03-26T00:00:00"/>
    <n v="-13.65"/>
    <n v="13.65"/>
    <m/>
    <s v="Pintip-*pintip.nl NIEUWLEUSEN"/>
    <x v="1"/>
    <x v="12"/>
    <x v="67"/>
  </r>
  <r>
    <n v="1756"/>
    <s v="NL22RABO0381604934"/>
    <m/>
    <x v="3"/>
    <x v="14"/>
    <d v="2019-03-26T00:00:00"/>
    <d v="2019-03-26T00:00:00"/>
    <n v="-14"/>
    <n v="14"/>
    <m/>
    <s v="Pintip.nl* NIEUWLEUSEN"/>
    <x v="1"/>
    <x v="12"/>
    <x v="67"/>
  </r>
  <r>
    <n v="1757"/>
    <s v="NL22RABO0381604934"/>
    <m/>
    <x v="3"/>
    <x v="14"/>
    <d v="2019-03-26T00:00:00"/>
    <d v="2019-03-26T00:00:00"/>
    <n v="-9"/>
    <n v="9"/>
    <m/>
    <s v="Pintip.nl* NIEUWLEUSEN"/>
    <x v="1"/>
    <x v="12"/>
    <x v="67"/>
  </r>
  <r>
    <n v="1758"/>
    <s v="NL22RABO0381604934"/>
    <m/>
    <x v="3"/>
    <x v="14"/>
    <d v="2019-03-26T00:00:00"/>
    <d v="2019-03-26T00:00:00"/>
    <n v="-12"/>
    <n v="12"/>
    <m/>
    <s v="IZ *L?Arrosticino Gust PANNINGEN"/>
    <x v="1"/>
    <x v="12"/>
    <x v="67"/>
  </r>
  <r>
    <n v="1759"/>
    <s v="NL22RABO0381604934"/>
    <m/>
    <x v="3"/>
    <x v="14"/>
    <d v="2019-03-26T00:00:00"/>
    <d v="2019-03-26T00:00:00"/>
    <n v="-10"/>
    <n v="10"/>
    <m/>
    <s v="Pintip.nl* NIEUWLEUSEN"/>
    <x v="1"/>
    <x v="12"/>
    <x v="67"/>
  </r>
  <r>
    <n v="1760"/>
    <s v="NL22RABO0381604934"/>
    <m/>
    <x v="3"/>
    <x v="14"/>
    <d v="2019-03-26T00:00:00"/>
    <d v="2019-03-26T00:00:00"/>
    <n v="-15.7"/>
    <n v="15.7"/>
    <m/>
    <s v="Pintip-*pintip.nl NIEUWLEUSEN"/>
    <x v="1"/>
    <x v="12"/>
    <x v="67"/>
  </r>
  <r>
    <n v="1761"/>
    <s v="NL22RABO0381604934"/>
    <m/>
    <x v="3"/>
    <x v="14"/>
    <d v="2019-03-26T00:00:00"/>
    <d v="2019-03-26T00:00:00"/>
    <n v="-5"/>
    <n v="5"/>
    <m/>
    <s v="pintip-*pintip.nl OOSTVOORNE"/>
    <x v="1"/>
    <x v="12"/>
    <x v="67"/>
  </r>
  <r>
    <n v="1762"/>
    <s v="NL22RABO0381604934"/>
    <m/>
    <x v="3"/>
    <x v="14"/>
    <d v="2019-03-26T00:00:00"/>
    <d v="2019-03-26T00:00:00"/>
    <n v="-9.5"/>
    <n v="9.5"/>
    <m/>
    <s v="IZ *The Roti King HOUTEN"/>
    <x v="1"/>
    <x v="12"/>
    <x v="67"/>
  </r>
  <r>
    <n v="1764"/>
    <s v="NL22RABO0381604934"/>
    <m/>
    <x v="3"/>
    <x v="14"/>
    <d v="2019-03-27T00:00:00"/>
    <d v="2019-03-27T00:00:00"/>
    <n v="-9.6999999999999993"/>
    <n v="9.6999999999999993"/>
    <m/>
    <s v="BREW2CUP ARNHEM"/>
    <x v="1"/>
    <x v="12"/>
    <x v="66"/>
  </r>
  <r>
    <n v="1765"/>
    <s v="NL22RABO0381604934"/>
    <m/>
    <x v="3"/>
    <x v="14"/>
    <d v="2019-03-27T00:00:00"/>
    <d v="2019-03-27T00:00:00"/>
    <n v="61.2"/>
    <n v="61.2"/>
    <m/>
    <s v="retour foodhall AAB RETAIL INZ TIKKIE"/>
    <x v="1"/>
    <x v="12"/>
    <x v="67"/>
  </r>
  <r>
    <n v="1769"/>
    <s v="NL22RABO0381604934"/>
    <m/>
    <x v="3"/>
    <x v="14"/>
    <d v="2019-03-28T00:00:00"/>
    <d v="2019-03-28T00:00:00"/>
    <n v="-21.35"/>
    <n v="21.35"/>
    <m/>
    <s v="SumUp  *Bonnie Arnhem"/>
    <x v="1"/>
    <x v="12"/>
    <x v="64"/>
  </r>
  <r>
    <n v="1804"/>
    <s v="NL22RABO0381604934"/>
    <m/>
    <x v="3"/>
    <x v="53"/>
    <n v="43580"/>
    <n v="43580"/>
    <n v="-8"/>
    <n v="8"/>
    <m/>
    <s v="pizza"/>
    <x v="1"/>
    <x v="12"/>
    <x v="64"/>
  </r>
  <r>
    <n v="1806"/>
    <s v="NL22RABO0381604934"/>
    <m/>
    <x v="3"/>
    <x v="53"/>
    <d v="2019-04-28T00:00:00"/>
    <d v="2019-04-28T00:00:00"/>
    <n v="-5"/>
    <n v="5"/>
    <m/>
    <s v="100 MONTADITOS ROMA ITA"/>
    <x v="1"/>
    <x v="12"/>
    <x v="64"/>
  </r>
  <r>
    <n v="1831"/>
    <s v="NL22RABO0381604934"/>
    <m/>
    <x v="3"/>
    <x v="55"/>
    <d v="2019-06-02T00:00:00"/>
    <d v="2019-06-02T00:00:00"/>
    <n v="-6"/>
    <n v="6"/>
    <m/>
    <s v="PASTASCIUTTA ROMA ITA"/>
    <x v="1"/>
    <x v="12"/>
    <x v="67"/>
  </r>
  <r>
    <n v="1841"/>
    <s v="NL22RABO0381604934"/>
    <m/>
    <x v="3"/>
    <x v="55"/>
    <d v="2019-06-14T00:00:00"/>
    <d v="2019-06-14T00:00:00"/>
    <n v="-1.75"/>
    <n v="1.75"/>
    <m/>
    <s v="MCDONALD'S ROMA ITA"/>
    <x v="1"/>
    <x v="12"/>
    <x v="64"/>
  </r>
  <r>
    <n v="1842"/>
    <s v="NL22RABO0381604934"/>
    <m/>
    <x v="3"/>
    <x v="55"/>
    <d v="2019-06-17T00:00:00"/>
    <d v="2019-06-17T00:00:00"/>
    <n v="-6.5"/>
    <n v="6.5"/>
    <m/>
    <s v="BAGNI VITTORIA ROMA ITA"/>
    <x v="1"/>
    <x v="12"/>
    <x v="64"/>
  </r>
  <r>
    <n v="1858"/>
    <s v="NL22RABO0381604934"/>
    <m/>
    <x v="3"/>
    <x v="38"/>
    <d v="2019-07-16T00:00:00"/>
    <d v="2019-07-16T00:00:00"/>
    <n v="-1.65"/>
    <n v="1.65"/>
    <m/>
    <s v="MC DONALD'S ROMA ITA"/>
    <x v="1"/>
    <x v="12"/>
    <x v="64"/>
  </r>
  <r>
    <n v="1863"/>
    <s v="NL22RABO0381604934"/>
    <m/>
    <x v="3"/>
    <x v="38"/>
    <d v="2019-07-23T00:00:00"/>
    <d v="2019-07-23T00:00:00"/>
    <n v="-5.5"/>
    <n v="5.5"/>
    <m/>
    <s v="PASTA IMPERIALE MONTI ROMA ITA"/>
    <x v="1"/>
    <x v="12"/>
    <x v="67"/>
  </r>
  <r>
    <n v="1868"/>
    <s v="NL22RABO0381604934"/>
    <m/>
    <x v="3"/>
    <x v="41"/>
    <d v="2019-08-01T00:00:00"/>
    <d v="2019-08-01T00:00:00"/>
    <n v="-5"/>
    <n v="5"/>
    <m/>
    <s v="PASTASCIUTTA ROMA ITA"/>
    <x v="1"/>
    <x v="12"/>
    <x v="67"/>
  </r>
  <r>
    <n v="1886"/>
    <s v="NL22RABO0381604934"/>
    <m/>
    <x v="3"/>
    <x v="41"/>
    <d v="2019-08-29T00:00:00"/>
    <d v="2019-08-29T00:00:00"/>
    <n v="-11"/>
    <n v="11"/>
    <m/>
    <s v="I CUGINI SRL ROMA ITA"/>
    <x v="1"/>
    <x v="12"/>
    <x v="67"/>
  </r>
  <r>
    <n v="1896"/>
    <s v="NL22RABO0381604934"/>
    <m/>
    <x v="3"/>
    <x v="18"/>
    <d v="2019-09-17T00:00:00"/>
    <d v="2019-09-17T00:00:00"/>
    <n v="-9"/>
    <n v="9"/>
    <m/>
    <s v="VEGGIE COMPANY S.R.L. ROMA ITA"/>
    <x v="1"/>
    <x v="12"/>
    <x v="67"/>
  </r>
  <r>
    <n v="1898"/>
    <s v="NL22RABO0381604934"/>
    <m/>
    <x v="3"/>
    <x v="18"/>
    <d v="2019-09-20T00:00:00"/>
    <d v="2019-09-20T00:00:00"/>
    <n v="-4.8"/>
    <n v="4.8"/>
    <m/>
    <s v="FARO S.R.L.S. ROMA ITA"/>
    <x v="1"/>
    <x v="12"/>
    <x v="66"/>
  </r>
  <r>
    <n v="1899"/>
    <s v="NL22RABO0381604934"/>
    <m/>
    <x v="3"/>
    <x v="18"/>
    <d v="2019-09-20T00:00:00"/>
    <d v="2019-09-20T00:00:00"/>
    <n v="-12.5"/>
    <n v="12.5"/>
    <m/>
    <s v="RIFUGIO ROMANO ROMA       RM ITA"/>
    <x v="1"/>
    <x v="12"/>
    <x v="67"/>
  </r>
  <r>
    <n v="1903"/>
    <s v="NL22RABO0381604934"/>
    <m/>
    <x v="3"/>
    <x v="18"/>
    <d v="2019-09-27T00:00:00"/>
    <d v="2019-09-27T00:00:00"/>
    <n v="-12.5"/>
    <n v="12.5"/>
    <m/>
    <s v="RISTORANTE SANT'ANDREA ROMA ITA"/>
    <x v="1"/>
    <x v="12"/>
    <x v="67"/>
  </r>
  <r>
    <n v="1905"/>
    <s v="NL22RABO0381604934"/>
    <m/>
    <x v="3"/>
    <x v="18"/>
    <d v="2019-09-29T00:00:00"/>
    <d v="2019-09-29T00:00:00"/>
    <n v="-10.65"/>
    <n v="10.65"/>
    <m/>
    <s v="POKER SRL ROMA ITA"/>
    <x v="1"/>
    <x v="12"/>
    <x v="67"/>
  </r>
  <r>
    <n v="1906"/>
    <s v="NL22RABO0381604934"/>
    <m/>
    <x v="3"/>
    <x v="39"/>
    <d v="2019-10-02T00:00:00"/>
    <d v="2019-10-02T00:00:00"/>
    <n v="-3.2"/>
    <n v="3.2"/>
    <m/>
    <s v="AUTOGRILL 0551 FIUMICINO ITA"/>
    <x v="1"/>
    <x v="12"/>
    <x v="64"/>
  </r>
  <r>
    <n v="1918"/>
    <s v="NL22RABO0381604934"/>
    <m/>
    <x v="3"/>
    <x v="39"/>
    <d v="2019-10-13T00:00:00"/>
    <d v="2019-10-13T00:00:00"/>
    <n v="-6.15"/>
    <n v="6.15"/>
    <m/>
    <s v="SumUp  *Bonnie Arnhem"/>
    <x v="1"/>
    <x v="12"/>
    <x v="66"/>
  </r>
  <r>
    <n v="1924"/>
    <s v="NL22RABO0381604934"/>
    <m/>
    <x v="3"/>
    <x v="39"/>
    <d v="2019-10-15T00:00:00"/>
    <d v="2019-10-15T00:00:00"/>
    <n v="-7"/>
    <n v="7"/>
    <m/>
    <s v="CASPAR ARNHEM"/>
    <x v="1"/>
    <x v="12"/>
    <x v="64"/>
  </r>
  <r>
    <n v="1931"/>
    <s v="NL22RABO0381604934"/>
    <m/>
    <x v="3"/>
    <x v="39"/>
    <d v="2019-10-17T00:00:00"/>
    <d v="2019-10-17T00:00:00"/>
    <n v="-6.8"/>
    <n v="6.8"/>
    <m/>
    <s v="SumUp  *Konijnenvoer Arnhem"/>
    <x v="1"/>
    <x v="12"/>
    <x v="66"/>
  </r>
  <r>
    <n v="1933"/>
    <s v="NL22RABO0381604934"/>
    <m/>
    <x v="3"/>
    <x v="39"/>
    <d v="2019-10-18T00:00:00"/>
    <d v="2019-10-18T00:00:00"/>
    <n v="-2.2999999999999998"/>
    <n v="2.2999999999999998"/>
    <m/>
    <s v="SumUp  *Konijnenvoer Arnhem"/>
    <x v="1"/>
    <x v="12"/>
    <x v="66"/>
  </r>
  <r>
    <n v="1935"/>
    <s v="NL22RABO0381604934"/>
    <m/>
    <x v="3"/>
    <x v="39"/>
    <d v="2019-10-19T00:00:00"/>
    <d v="2019-10-19T00:00:00"/>
    <n v="-10.8"/>
    <n v="10.8"/>
    <m/>
    <s v="SumUp  *Bonnie Arnhem"/>
    <x v="1"/>
    <x v="12"/>
    <x v="66"/>
  </r>
  <r>
    <n v="1936"/>
    <s v="NL22RABO0381604934"/>
    <m/>
    <x v="3"/>
    <x v="39"/>
    <d v="2019-10-20T00:00:00"/>
    <d v="2019-10-20T00:00:00"/>
    <n v="-2.5"/>
    <n v="2.5"/>
    <m/>
    <s v="SumUp  *Bonnie Arnhem"/>
    <x v="1"/>
    <x v="12"/>
    <x v="66"/>
  </r>
  <r>
    <n v="1937"/>
    <s v="NL22RABO0381604934"/>
    <m/>
    <x v="3"/>
    <x v="39"/>
    <d v="2019-10-20T00:00:00"/>
    <d v="2019-10-20T00:00:00"/>
    <n v="-2.25"/>
    <n v="2.25"/>
    <m/>
    <s v="Cafetaria Frietoloog ARNHEM"/>
    <x v="1"/>
    <x v="12"/>
    <x v="64"/>
  </r>
  <r>
    <n v="1943"/>
    <s v="NL22RABO0381604934"/>
    <m/>
    <x v="3"/>
    <x v="39"/>
    <d v="2019-10-21T00:00:00"/>
    <d v="2019-10-21T00:00:00"/>
    <n v="-5.3"/>
    <n v="5.3"/>
    <m/>
    <s v="SumUp  *Konijnenvoer Arnhem"/>
    <x v="1"/>
    <x v="12"/>
    <x v="66"/>
  </r>
  <r>
    <n v="1949"/>
    <s v="NL22RABO0381604934"/>
    <m/>
    <x v="3"/>
    <x v="39"/>
    <d v="2019-10-22T00:00:00"/>
    <d v="2019-10-22T00:00:00"/>
    <n v="-12.95"/>
    <n v="12.95"/>
    <m/>
    <s v="DEER MAMA AMSTERDAM"/>
    <x v="1"/>
    <x v="12"/>
    <x v="67"/>
  </r>
  <r>
    <n v="1951"/>
    <s v="NL22RABO0381604934"/>
    <m/>
    <x v="3"/>
    <x v="39"/>
    <d v="2019-10-22T00:00:00"/>
    <d v="2019-10-22T00:00:00"/>
    <n v="-4.95"/>
    <n v="4.95"/>
    <m/>
    <s v="CCV*JOEL MAX BV AMSTERDAM"/>
    <x v="1"/>
    <x v="12"/>
    <x v="67"/>
  </r>
  <r>
    <n v="1952"/>
    <s v="NL22RABO0381604934"/>
    <m/>
    <x v="3"/>
    <x v="39"/>
    <d v="2019-10-22T00:00:00"/>
    <d v="2019-10-22T00:00:00"/>
    <n v="-3.15"/>
    <n v="3.15"/>
    <m/>
    <s v="McDonald's 1316 ARNHEM"/>
    <x v="1"/>
    <x v="12"/>
    <x v="64"/>
  </r>
  <r>
    <n v="1953"/>
    <s v="NL22RABO0381604934"/>
    <m/>
    <x v="3"/>
    <x v="39"/>
    <d v="2019-10-23T00:00:00"/>
    <d v="2019-10-23T00:00:00"/>
    <n v="-2.5"/>
    <n v="2.5"/>
    <m/>
    <s v="SumUp  *Bonnie Arnhem"/>
    <x v="1"/>
    <x v="12"/>
    <x v="66"/>
  </r>
  <r>
    <n v="1956"/>
    <s v="NL22RABO0381604934"/>
    <m/>
    <x v="3"/>
    <x v="39"/>
    <d v="2019-10-24T00:00:00"/>
    <d v="2019-10-24T00:00:00"/>
    <n v="-5.5"/>
    <n v="5.5"/>
    <m/>
    <s v="Chapoo! B.V. ZUTPHEN"/>
    <x v="1"/>
    <x v="12"/>
    <x v="66"/>
  </r>
  <r>
    <n v="1960"/>
    <s v="NL22RABO0381604934"/>
    <m/>
    <x v="3"/>
    <x v="39"/>
    <d v="2019-10-24T00:00:00"/>
    <d v="2019-10-24T00:00:00"/>
    <n v="-2.5"/>
    <n v="2.5"/>
    <m/>
    <s v="SumUp  *Konijnenvoer Arnhem"/>
    <x v="1"/>
    <x v="12"/>
    <x v="66"/>
  </r>
  <r>
    <n v="1962"/>
    <s v="NL22RABO0381604934"/>
    <m/>
    <x v="3"/>
    <x v="39"/>
    <d v="2019-10-25T00:00:00"/>
    <d v="2019-10-25T00:00:00"/>
    <n v="-2.8"/>
    <n v="2.8"/>
    <m/>
    <s v="CCV*Koffie Academie AMSTERDAM"/>
    <x v="1"/>
    <x v="12"/>
    <x v="66"/>
  </r>
  <r>
    <n v="1963"/>
    <s v="NL22RABO0381604934"/>
    <m/>
    <x v="3"/>
    <x v="39"/>
    <d v="2019-10-25T00:00:00"/>
    <d v="2019-10-25T00:00:00"/>
    <n v="-30.8"/>
    <n v="30.8"/>
    <m/>
    <s v="THE DUCHESS AMSTERDAM"/>
    <x v="1"/>
    <x v="12"/>
    <x v="64"/>
  </r>
  <r>
    <n v="1965"/>
    <s v="NL22RABO0381604934"/>
    <m/>
    <x v="3"/>
    <x v="39"/>
    <d v="2019-10-25T00:00:00"/>
    <d v="2019-10-25T00:00:00"/>
    <n v="18"/>
    <n v="18"/>
    <m/>
    <s v="AAB RETAIL INZ TIKKIE"/>
    <x v="1"/>
    <x v="12"/>
    <x v="67"/>
  </r>
  <r>
    <n v="1968"/>
    <s v="NL22RABO0381604934"/>
    <m/>
    <x v="3"/>
    <x v="39"/>
    <d v="2019-10-27T00:00:00"/>
    <d v="2019-10-27T00:00:00"/>
    <n v="-8.35"/>
    <n v="8.35"/>
    <m/>
    <s v="SumUp  *Bonnie Arnhem"/>
    <x v="1"/>
    <x v="12"/>
    <x v="66"/>
  </r>
  <r>
    <n v="1970"/>
    <s v="NL22RABO0381604934"/>
    <m/>
    <x v="3"/>
    <x v="39"/>
    <d v="2019-10-27T00:00:00"/>
    <d v="2019-10-27T00:00:00"/>
    <n v="-51.5"/>
    <n v="51.5"/>
    <m/>
    <s v="SumUp  *Konijnenvoer Arnhem"/>
    <x v="1"/>
    <x v="12"/>
    <x v="67"/>
  </r>
  <r>
    <n v="1971"/>
    <s v="NL22RABO0381604934"/>
    <m/>
    <x v="3"/>
    <x v="39"/>
    <d v="2019-10-28T00:00:00"/>
    <d v="2019-10-28T00:00:00"/>
    <n v="-2.2999999999999998"/>
    <n v="2.2999999999999998"/>
    <m/>
    <s v="SumUp  *Konijnenvoer Arnhem"/>
    <x v="1"/>
    <x v="12"/>
    <x v="66"/>
  </r>
  <r>
    <n v="1972"/>
    <s v="NL22RABO0381604934"/>
    <m/>
    <x v="3"/>
    <x v="39"/>
    <d v="2019-10-29T00:00:00"/>
    <d v="2019-10-29T00:00:00"/>
    <n v="-1.5"/>
    <n v="1.5"/>
    <m/>
    <s v="iZ *HAVENMEESTER Arnhem"/>
    <x v="1"/>
    <x v="12"/>
    <x v="66"/>
  </r>
  <r>
    <n v="1977"/>
    <s v="NL22RABO0381604934"/>
    <m/>
    <x v="3"/>
    <x v="39"/>
    <d v="2019-10-30T00:00:00"/>
    <d v="2019-10-30T00:00:00"/>
    <n v="-10.8"/>
    <n v="10.8"/>
    <m/>
    <s v="SumUp  *Bonnie Arnhem"/>
    <x v="1"/>
    <x v="12"/>
    <x v="66"/>
  </r>
  <r>
    <n v="1978"/>
    <s v="NL22RABO0381604934"/>
    <m/>
    <x v="3"/>
    <x v="39"/>
    <d v="2019-10-31T00:00:00"/>
    <d v="2019-10-31T00:00:00"/>
    <n v="-66.599999999999994"/>
    <n v="66.599999999999994"/>
    <m/>
    <s v="caspar"/>
    <x v="1"/>
    <x v="12"/>
    <x v="64"/>
  </r>
  <r>
    <n v="1979"/>
    <s v="NL22RABO0381604934"/>
    <m/>
    <x v="3"/>
    <x v="39"/>
    <d v="2019-10-31T00:00:00"/>
    <d v="2019-10-31T00:00:00"/>
    <n v="-5.4"/>
    <n v="5.4"/>
    <m/>
    <s v="bonnie"/>
    <x v="1"/>
    <x v="12"/>
    <x v="64"/>
  </r>
  <r>
    <n v="1983"/>
    <s v="NL22RABO0381604934"/>
    <m/>
    <x v="3"/>
    <x v="39"/>
    <d v="2019-10-31T00:00:00"/>
    <d v="2019-10-31T00:00:00"/>
    <n v="50.1"/>
    <n v="50.1"/>
    <m/>
    <s v="retour caspar"/>
    <x v="1"/>
    <x v="12"/>
    <x v="64"/>
  </r>
  <r>
    <n v="1986"/>
    <s v="NL22RABO0381604934"/>
    <m/>
    <x v="3"/>
    <x v="16"/>
    <d v="2019-11-01T00:00:00"/>
    <d v="2019-11-01T00:00:00"/>
    <n v="-8.75"/>
    <n v="8.75"/>
    <m/>
    <s v="SumUp  *Bonnie Arnhem"/>
    <x v="1"/>
    <x v="12"/>
    <x v="64"/>
  </r>
  <r>
    <n v="1987"/>
    <s v="NL22RABO0381604934"/>
    <m/>
    <x v="3"/>
    <x v="16"/>
    <d v="2019-11-02T00:00:00"/>
    <d v="2019-11-02T00:00:00"/>
    <n v="-14.95"/>
    <n v="14.95"/>
    <m/>
    <s v="CCV*WAKU WAKU UTRECHT"/>
    <x v="1"/>
    <x v="12"/>
    <x v="67"/>
  </r>
  <r>
    <n v="1988"/>
    <s v="NL22RABO0381604934"/>
    <m/>
    <x v="3"/>
    <x v="16"/>
    <d v="2019-11-02T00:00:00"/>
    <d v="2019-11-02T00:00:00"/>
    <n v="-8"/>
    <n v="8"/>
    <m/>
    <s v="SumUp  *Konijnenvoer Arnhem"/>
    <x v="1"/>
    <x v="12"/>
    <x v="64"/>
  </r>
  <r>
    <n v="1989"/>
    <s v="NL22RABO0381604934"/>
    <m/>
    <x v="3"/>
    <x v="16"/>
    <d v="2019-11-02T00:00:00"/>
    <d v="2019-11-02T00:00:00"/>
    <n v="-2.35"/>
    <n v="2.35"/>
    <m/>
    <s v="IZ *Blackbird Coffee &amp; UTRECHT"/>
    <x v="1"/>
    <x v="12"/>
    <x v="66"/>
  </r>
  <r>
    <n v="1990"/>
    <s v="NL22RABO0381604934"/>
    <m/>
    <x v="3"/>
    <x v="16"/>
    <d v="2019-11-02T00:00:00"/>
    <d v="2019-11-02T00:00:00"/>
    <n v="-5"/>
    <n v="5"/>
    <m/>
    <s v="UITGAAN"/>
    <x v="1"/>
    <x v="12"/>
    <x v="67"/>
  </r>
  <r>
    <n v="1993"/>
    <s v="NL22RABO0381604934"/>
    <m/>
    <x v="3"/>
    <x v="16"/>
    <d v="2019-11-03T00:00:00"/>
    <d v="2019-11-03T00:00:00"/>
    <n v="-12.35"/>
    <n v="12.35"/>
    <m/>
    <s v="SumUp  *Bonnie Arnhem"/>
    <x v="1"/>
    <x v="12"/>
    <x v="64"/>
  </r>
  <r>
    <n v="2000"/>
    <s v="NL22RABO0381604934"/>
    <m/>
    <x v="3"/>
    <x v="16"/>
    <d v="2019-11-08T00:00:00"/>
    <d v="2019-11-08T00:00:00"/>
    <n v="50.1"/>
    <n v="50.1"/>
    <m/>
    <s v="AAB RETAIL INZ TIKKIE"/>
    <x v="1"/>
    <x v="12"/>
    <x v="67"/>
  </r>
  <r>
    <n v="2006"/>
    <s v="NL22RABO0381604934"/>
    <m/>
    <x v="3"/>
    <x v="16"/>
    <d v="2019-11-12T00:00:00"/>
    <d v="2019-11-12T00:00:00"/>
    <n v="-6.27"/>
    <n v="6.27"/>
    <m/>
    <s v="Pret a Manger E Z rich CHE"/>
    <x v="1"/>
    <x v="12"/>
    <x v="67"/>
  </r>
  <r>
    <n v="2172"/>
    <s v="NL22RABO0381604934"/>
    <m/>
    <x v="4"/>
    <x v="21"/>
    <d v="2020-03-23T00:00:00"/>
    <d v="2020-03-23T00:00:00"/>
    <n v="-25"/>
    <n v="25"/>
    <m/>
    <s v="Bonnie Arnhem via Mollie"/>
    <x v="1"/>
    <x v="12"/>
    <x v="64"/>
  </r>
  <r>
    <n v="2182"/>
    <s v="NL22RABO0381604934"/>
    <m/>
    <x v="4"/>
    <x v="22"/>
    <d v="2020-04-27T00:00:00"/>
    <d v="2020-04-27T00:00:00"/>
    <n v="-25"/>
    <n v="25"/>
    <m/>
    <s v="ABN AMRO Bank NV CASPAR TEGOEDBON"/>
    <x v="1"/>
    <x v="12"/>
    <x v="64"/>
  </r>
  <r>
    <n v="2220"/>
    <s v="NL22RABO0381604934"/>
    <m/>
    <x v="4"/>
    <x v="56"/>
    <d v="2020-07-10T00:00:00"/>
    <d v="2020-07-10T00:00:00"/>
    <n v="-2.75"/>
    <n v="2.75"/>
    <m/>
    <s v="Dubbel10 ARNHEM"/>
    <x v="1"/>
    <x v="12"/>
    <x v="64"/>
  </r>
  <r>
    <n v="2226"/>
    <s v="NL22RABO0381604934"/>
    <m/>
    <x v="4"/>
    <x v="56"/>
    <d v="2020-07-13T00:00:00"/>
    <d v="2020-07-13T00:00:00"/>
    <n v="-1.3"/>
    <n v="1.3"/>
    <m/>
    <s v="CCV*Trio IJssalon ARNHEM"/>
    <x v="1"/>
    <x v="12"/>
    <x v="65"/>
  </r>
  <r>
    <n v="2228"/>
    <s v="NL22RABO0381604934"/>
    <m/>
    <x v="4"/>
    <x v="56"/>
    <d v="2020-07-13T00:00:00"/>
    <d v="2020-07-13T00:00:00"/>
    <n v="-2.4"/>
    <n v="2.4"/>
    <m/>
    <s v="Walt ARNHEM"/>
    <x v="1"/>
    <x v="12"/>
    <x v="66"/>
  </r>
  <r>
    <n v="2230"/>
    <s v="NL22RABO0381604934"/>
    <m/>
    <x v="4"/>
    <x v="56"/>
    <d v="2020-07-14T00:00:00"/>
    <d v="2020-07-14T00:00:00"/>
    <n v="-2.2999999999999998"/>
    <n v="2.2999999999999998"/>
    <m/>
    <s v="BREW2CUP ARNHEM"/>
    <x v="1"/>
    <x v="12"/>
    <x v="66"/>
  </r>
  <r>
    <n v="2237"/>
    <s v="NL22RABO0381604934"/>
    <m/>
    <x v="4"/>
    <x v="56"/>
    <d v="2020-07-17T00:00:00"/>
    <d v="2020-07-17T00:00:00"/>
    <n v="-5"/>
    <n v="5"/>
    <m/>
    <s v="Cigkoftem Rotterdam ARNHEM"/>
    <x v="1"/>
    <x v="12"/>
    <x v="64"/>
  </r>
  <r>
    <n v="2238"/>
    <s v="NL22RABO0381604934"/>
    <m/>
    <x v="4"/>
    <x v="56"/>
    <d v="2020-07-17T00:00:00"/>
    <d v="2020-07-17T00:00:00"/>
    <n v="-2.6"/>
    <n v="2.6"/>
    <m/>
    <s v="FEBO Arnhem VOF ARNHEM"/>
    <x v="1"/>
    <x v="12"/>
    <x v="64"/>
  </r>
  <r>
    <n v="2239"/>
    <s v="NL22RABO0381604934"/>
    <m/>
    <x v="4"/>
    <x v="56"/>
    <d v="2020-07-17T00:00:00"/>
    <d v="2020-07-17T00:00:00"/>
    <n v="-5.9"/>
    <n v="5.9"/>
    <m/>
    <s v="CCV*Restaurant Rijnmoz ARNHEM"/>
    <x v="1"/>
    <x v="12"/>
    <x v="64"/>
  </r>
  <r>
    <n v="2240"/>
    <s v="NL22RABO0381604934"/>
    <m/>
    <x v="4"/>
    <x v="56"/>
    <d v="2020-07-18T00:00:00"/>
    <d v="2020-07-18T00:00:00"/>
    <n v="-15.4"/>
    <n v="15.4"/>
    <m/>
    <s v="SumUp  *Bonnie Arnhem"/>
    <x v="1"/>
    <x v="12"/>
    <x v="66"/>
  </r>
  <r>
    <n v="2246"/>
    <s v="NL22RABO0381604934"/>
    <m/>
    <x v="4"/>
    <x v="56"/>
    <d v="2020-07-19T00:00:00"/>
    <d v="2020-07-19T00:00:00"/>
    <n v="-1.3"/>
    <n v="1.3"/>
    <m/>
    <s v="CCV*Trio IJssalon ARNHEM"/>
    <x v="1"/>
    <x v="12"/>
    <x v="65"/>
  </r>
  <r>
    <n v="2255"/>
    <s v="NL22RABO0381604934"/>
    <m/>
    <x v="4"/>
    <x v="56"/>
    <d v="2020-07-21T00:00:00"/>
    <d v="2020-07-21T00:00:00"/>
    <n v="-2.6"/>
    <n v="2.6"/>
    <m/>
    <s v="Pay.nl*VP De Twee B. WINTERSWIJK M"/>
    <x v="1"/>
    <x v="12"/>
    <x v="65"/>
  </r>
  <r>
    <n v="2264"/>
    <s v="NL22RABO0381604934"/>
    <m/>
    <x v="4"/>
    <x v="56"/>
    <d v="2020-07-25T00:00:00"/>
    <d v="2020-07-25T00:00:00"/>
    <n v="-1"/>
    <n v="1"/>
    <m/>
    <s v="Zwembad De Twee Brugge WINTERSWIJK M"/>
    <x v="1"/>
    <x v="12"/>
    <x v="65"/>
  </r>
  <r>
    <n v="2268"/>
    <s v="NL22RABO0381604934"/>
    <m/>
    <x v="4"/>
    <x v="56"/>
    <d v="2020-07-28T00:00:00"/>
    <d v="2020-07-28T00:00:00"/>
    <n v="-2.2999999999999998"/>
    <n v="2.2999999999999998"/>
    <m/>
    <s v="CCV*Broeder en Zuster AALTEN"/>
    <x v="1"/>
    <x v="12"/>
    <x v="64"/>
  </r>
  <r>
    <n v="2271"/>
    <s v="NL22RABO0381604934"/>
    <m/>
    <x v="4"/>
    <x v="56"/>
    <d v="2020-07-29T00:00:00"/>
    <d v="2020-07-29T00:00:00"/>
    <n v="-1.8"/>
    <n v="1.8"/>
    <m/>
    <s v="Supermarkt DTB WINTERSWIJK M"/>
    <x v="1"/>
    <x v="12"/>
    <x v="66"/>
  </r>
  <r>
    <n v="2273"/>
    <s v="NL22RABO0381604934"/>
    <m/>
    <x v="4"/>
    <x v="56"/>
    <d v="2020-07-30T00:00:00"/>
    <d v="2020-07-30T00:00:00"/>
    <n v="-2.7"/>
    <n v="2.7"/>
    <m/>
    <s v="Pay.nl*VP De Twee B. WINTERSWIJK M"/>
    <x v="1"/>
    <x v="12"/>
    <x v="65"/>
  </r>
  <r>
    <n v="2277"/>
    <s v="NL22RABO0381604934"/>
    <m/>
    <x v="4"/>
    <x v="60"/>
    <d v="2020-08-01T00:00:00"/>
    <d v="2020-08-01T00:00:00"/>
    <n v="-1"/>
    <n v="1"/>
    <m/>
    <s v="Zwembad De Twee Brugge WINTERSWIJK M"/>
    <x v="1"/>
    <x v="12"/>
    <x v="65"/>
  </r>
  <r>
    <n v="2289"/>
    <s v="NL22RABO0381604934"/>
    <m/>
    <x v="4"/>
    <x v="60"/>
    <d v="2020-08-03T00:00:00"/>
    <d v="2020-08-03T00:00:00"/>
    <n v="-43.6"/>
    <n v="43.6"/>
    <m/>
    <s v="CCV*FACINT BV ARNHEM"/>
    <x v="1"/>
    <x v="12"/>
    <x v="64"/>
  </r>
  <r>
    <n v="2290"/>
    <s v="NL22RABO0381604934"/>
    <m/>
    <x v="4"/>
    <x v="60"/>
    <d v="2020-08-04T00:00:00"/>
    <d v="2020-08-04T00:00:00"/>
    <n v="6.65"/>
    <n v="6.65"/>
    <m/>
    <s v="AAB RETAIL INZ TIKKIE"/>
    <x v="1"/>
    <x v="12"/>
    <x v="64"/>
  </r>
  <r>
    <n v="2292"/>
    <s v="NL22RABO0381604934"/>
    <m/>
    <x v="4"/>
    <x v="60"/>
    <d v="2020-08-04T00:00:00"/>
    <d v="2020-08-04T00:00:00"/>
    <n v="-5.9"/>
    <n v="5.9"/>
    <m/>
    <s v="CCV*RIJNMOZAIK BV ARNHEM"/>
    <x v="1"/>
    <x v="12"/>
    <x v="64"/>
  </r>
  <r>
    <n v="2293"/>
    <s v="NL22RABO0381604934"/>
    <m/>
    <x v="4"/>
    <x v="60"/>
    <d v="2020-08-05T00:00:00"/>
    <d v="2020-08-05T00:00:00"/>
    <n v="-1.8"/>
    <n v="1.8"/>
    <m/>
    <s v="Supermarkt DTB WINTERSWIJK M"/>
    <x v="1"/>
    <x v="12"/>
    <x v="66"/>
  </r>
  <r>
    <n v="2295"/>
    <s v="NL22RABO0381604934"/>
    <m/>
    <x v="4"/>
    <x v="60"/>
    <d v="2020-08-05T00:00:00"/>
    <d v="2020-08-05T00:00:00"/>
    <n v="-1"/>
    <n v="1"/>
    <m/>
    <s v="Zwembad De Twee Brugge WINTERSWIJK M"/>
    <x v="1"/>
    <x v="12"/>
    <x v="65"/>
  </r>
  <r>
    <n v="2301"/>
    <s v="NL22RABO0381604934"/>
    <m/>
    <x v="4"/>
    <x v="60"/>
    <d v="2020-08-08T00:00:00"/>
    <d v="2020-08-08T00:00:00"/>
    <n v="-2.6"/>
    <n v="2.6"/>
    <m/>
    <s v="Zwembad De Twee Brugge WINTERSWIJK M"/>
    <x v="1"/>
    <x v="12"/>
    <x v="65"/>
  </r>
  <r>
    <n v="2303"/>
    <s v="NL22RABO0381604934"/>
    <m/>
    <x v="4"/>
    <x v="60"/>
    <d v="2020-08-09T00:00:00"/>
    <d v="2020-08-09T00:00:00"/>
    <n v="-1.5"/>
    <n v="1.5"/>
    <m/>
    <s v="IZ *Bar Times ZOETERMEER"/>
    <x v="1"/>
    <x v="12"/>
    <x v="64"/>
  </r>
  <r>
    <n v="2306"/>
    <s v="NL22RABO0381604934"/>
    <m/>
    <x v="4"/>
    <x v="60"/>
    <d v="2020-08-11T00:00:00"/>
    <d v="2020-08-11T00:00:00"/>
    <n v="-2.6"/>
    <n v="2.6"/>
    <m/>
    <s v="Zwembad De Twee Brugge WINTERSWIJK M"/>
    <x v="1"/>
    <x v="12"/>
    <x v="65"/>
  </r>
  <r>
    <n v="2307"/>
    <s v="NL22RABO0381604934"/>
    <m/>
    <x v="4"/>
    <x v="60"/>
    <d v="2020-08-11T00:00:00"/>
    <d v="2020-08-11T00:00:00"/>
    <n v="-6.2"/>
    <n v="6.2"/>
    <m/>
    <s v="Drank- en Spijslokaal BORCULO"/>
    <x v="1"/>
    <x v="12"/>
    <x v="66"/>
  </r>
  <r>
    <n v="2310"/>
    <s v="NL22RABO0381604934"/>
    <m/>
    <x v="4"/>
    <x v="60"/>
    <d v="2020-08-11T00:00:00"/>
    <d v="2020-08-11T00:00:00"/>
    <n v="-2.5"/>
    <n v="2.5"/>
    <m/>
    <s v="IZ *Bar Times ZOETERMEER"/>
    <x v="1"/>
    <x v="12"/>
    <x v="64"/>
  </r>
  <r>
    <n v="2312"/>
    <s v="NL22RABO0381604934"/>
    <m/>
    <x v="4"/>
    <x v="60"/>
    <d v="2020-08-12T00:00:00"/>
    <d v="2020-08-12T00:00:00"/>
    <n v="-1.3"/>
    <n v="1.3"/>
    <m/>
    <s v="CCV*Trio IJssalon ARNHEM"/>
    <x v="1"/>
    <x v="12"/>
    <x v="65"/>
  </r>
  <r>
    <n v="2314"/>
    <s v="NL22RABO0381604934"/>
    <m/>
    <x v="4"/>
    <x v="60"/>
    <d v="2020-08-12T00:00:00"/>
    <d v="2020-08-12T00:00:00"/>
    <n v="-2.4"/>
    <n v="2.4"/>
    <m/>
    <s v="IZ *ABC Libertas ARNHEM"/>
    <x v="1"/>
    <x v="12"/>
    <x v="64"/>
  </r>
  <r>
    <n v="2315"/>
    <s v="NL22RABO0381604934"/>
    <m/>
    <x v="4"/>
    <x v="60"/>
    <d v="2020-08-12T00:00:00"/>
    <d v="2020-08-12T00:00:00"/>
    <n v="-9"/>
    <n v="9"/>
    <m/>
    <s v="PYV*Green Food Truck ARNHEM"/>
    <x v="1"/>
    <x v="12"/>
    <x v="64"/>
  </r>
  <r>
    <n v="2323"/>
    <s v="NL22RABO0381604934"/>
    <m/>
    <x v="4"/>
    <x v="60"/>
    <d v="2020-08-16T00:00:00"/>
    <d v="2020-08-16T00:00:00"/>
    <n v="-1"/>
    <n v="1"/>
    <m/>
    <s v="Zwembad De Twee Brugge WINTERSWIJK M"/>
    <x v="1"/>
    <x v="12"/>
    <x v="65"/>
  </r>
  <r>
    <n v="2327"/>
    <s v="NL22RABO0381604934"/>
    <m/>
    <x v="4"/>
    <x v="60"/>
    <d v="2020-08-18T00:00:00"/>
    <d v="2020-08-18T00:00:00"/>
    <n v="-9.6"/>
    <n v="9.6"/>
    <m/>
    <s v="CCV*STADSVILLA SONSBEE ARNHEM"/>
    <x v="1"/>
    <x v="12"/>
    <x v="64"/>
  </r>
  <r>
    <n v="2332"/>
    <s v="NL22RABO0381604934"/>
    <m/>
    <x v="4"/>
    <x v="60"/>
    <d v="2020-08-19T00:00:00"/>
    <d v="2020-08-19T00:00:00"/>
    <n v="-9.5"/>
    <n v="9.5"/>
    <m/>
    <s v="SumUp  *Bonnie Arnhem"/>
    <x v="1"/>
    <x v="12"/>
    <x v="64"/>
  </r>
  <r>
    <n v="2337"/>
    <s v="NL22RABO0381604934"/>
    <m/>
    <x v="4"/>
    <x v="60"/>
    <d v="2020-08-20T00:00:00"/>
    <d v="2020-08-20T00:00:00"/>
    <n v="-1"/>
    <n v="1"/>
    <m/>
    <s v="Zwembad De Twee Brugge WINTERSWIJK M"/>
    <x v="1"/>
    <x v="12"/>
    <x v="65"/>
  </r>
  <r>
    <n v="2338"/>
    <s v="NL22RABO0381604934"/>
    <m/>
    <x v="4"/>
    <x v="60"/>
    <d v="2020-08-20T00:00:00"/>
    <d v="2020-08-20T00:00:00"/>
    <n v="23.1"/>
    <n v="23.1"/>
    <s v="NL13ABNA0506417344"/>
    <s v="AAB RETAIL INZ TIKKIE Vivienne"/>
    <x v="1"/>
    <x v="12"/>
    <x v="64"/>
  </r>
  <r>
    <n v="2348"/>
    <s v="NL22RABO0381604934"/>
    <m/>
    <x v="4"/>
    <x v="60"/>
    <d v="2020-08-23T00:00:00"/>
    <d v="2020-08-23T00:00:00"/>
    <n v="-1"/>
    <n v="1"/>
    <m/>
    <s v="Zwembad De Twee Brugge WINTERSWIJK M"/>
    <x v="1"/>
    <x v="12"/>
    <x v="65"/>
  </r>
  <r>
    <n v="2352"/>
    <s v="NL22RABO0381604934"/>
    <m/>
    <x v="4"/>
    <x v="60"/>
    <d v="2020-08-25T00:00:00"/>
    <d v="2020-08-25T00:00:00"/>
    <n v="-6.4"/>
    <n v="6.4"/>
    <m/>
    <s v="CCV*ANNE EN MAX ARNHEM ARNHEM"/>
    <x v="1"/>
    <x v="12"/>
    <x v="64"/>
  </r>
  <r>
    <n v="2355"/>
    <s v="NL22RABO0381604934"/>
    <m/>
    <x v="4"/>
    <x v="60"/>
    <d v="2020-08-26T00:00:00"/>
    <d v="2020-08-26T00:00:00"/>
    <n v="-11.85"/>
    <n v="11.85"/>
    <m/>
    <s v="SumUp  *Bonnie Arnhem"/>
    <x v="1"/>
    <x v="12"/>
    <x v="64"/>
  </r>
  <r>
    <n v="2366"/>
    <s v="NL22RABO0381604934"/>
    <m/>
    <x v="4"/>
    <x v="60"/>
    <d v="2020-08-29T00:00:00"/>
    <d v="2020-08-29T00:00:00"/>
    <n v="-2.5"/>
    <n v="2.5"/>
    <m/>
    <s v="LEO restaurant &amp; to go LICHTENVOORDE"/>
    <x v="1"/>
    <x v="12"/>
    <x v="64"/>
  </r>
  <r>
    <n v="2367"/>
    <s v="NL22RABO0381604934"/>
    <m/>
    <x v="4"/>
    <x v="60"/>
    <d v="2020-08-30T00:00:00"/>
    <d v="2020-08-30T00:00:00"/>
    <n v="-1"/>
    <n v="1"/>
    <m/>
    <s v="Zwembad De Twee Brugge WINTERSWIJK M"/>
    <x v="1"/>
    <x v="12"/>
    <x v="65"/>
  </r>
  <r>
    <n v="2377"/>
    <s v="NL22RABO0381604934"/>
    <m/>
    <x v="4"/>
    <x v="61"/>
    <d v="2020-09-02T00:00:00"/>
    <d v="2020-09-02T00:00:00"/>
    <n v="-2.5"/>
    <n v="2.5"/>
    <m/>
    <s v="Snackbar Bebo SEVENUM"/>
    <x v="1"/>
    <x v="12"/>
    <x v="65"/>
  </r>
  <r>
    <n v="2382"/>
    <s v="NL22RABO0381604934"/>
    <m/>
    <x v="4"/>
    <x v="61"/>
    <d v="2020-09-05T00:00:00"/>
    <d v="2020-09-05T00:00:00"/>
    <n v="-2.35"/>
    <n v="2.35"/>
    <m/>
    <s v="SumUp  *Smitje  Snippi Venlo"/>
    <x v="1"/>
    <x v="12"/>
    <x v="66"/>
  </r>
  <r>
    <n v="2383"/>
    <s v="NL22RABO0381604934"/>
    <m/>
    <x v="4"/>
    <x v="61"/>
    <d v="2020-09-05T00:00:00"/>
    <d v="2020-09-05T00:00:00"/>
    <n v="-6"/>
    <n v="6"/>
    <m/>
    <s v="Nena Venlo"/>
    <x v="1"/>
    <x v="12"/>
    <x v="64"/>
  </r>
  <r>
    <n v="2393"/>
    <s v="NL22RABO0381604934"/>
    <m/>
    <x v="4"/>
    <x v="61"/>
    <d v="2020-09-12T00:00:00"/>
    <d v="2020-09-12T00:00:00"/>
    <n v="-2.5"/>
    <n v="2.5"/>
    <m/>
    <s v="Snackbar Bebo SEVENUM"/>
    <x v="1"/>
    <x v="12"/>
    <x v="65"/>
  </r>
  <r>
    <n v="2398"/>
    <s v="NL22RABO0381604934"/>
    <m/>
    <x v="4"/>
    <x v="61"/>
    <d v="2020-09-15T00:00:00"/>
    <d v="2020-09-15T00:00:00"/>
    <n v="-3.4"/>
    <n v="3.4"/>
    <m/>
    <s v="STEK VENLO"/>
    <x v="1"/>
    <x v="12"/>
    <x v="66"/>
  </r>
  <r>
    <n v="2399"/>
    <s v="NL22RABO0381604934"/>
    <m/>
    <x v="4"/>
    <x v="61"/>
    <d v="2020-09-15T00:00:00"/>
    <d v="2020-09-15T00:00:00"/>
    <n v="-1"/>
    <n v="1"/>
    <m/>
    <s v="STEK VENLO"/>
    <x v="1"/>
    <x v="12"/>
    <x v="65"/>
  </r>
  <r>
    <n v="2411"/>
    <s v="NL22RABO0381604934"/>
    <m/>
    <x v="4"/>
    <x v="61"/>
    <d v="2020-09-23T00:00:00"/>
    <d v="2020-09-23T00:00:00"/>
    <n v="-12.8"/>
    <n v="12.8"/>
    <m/>
    <s v="CASPAR ARNHEM"/>
    <x v="1"/>
    <x v="12"/>
    <x v="64"/>
  </r>
  <r>
    <n v="2413"/>
    <s v="NL22RABO0381604934"/>
    <m/>
    <x v="4"/>
    <x v="61"/>
    <d v="2020-09-24T00:00:00"/>
    <d v="2020-09-24T00:00:00"/>
    <n v="-2.75"/>
    <n v="2.75"/>
    <m/>
    <s v="SumUp  *Bonnie Arnhem"/>
    <x v="1"/>
    <x v="12"/>
    <x v="64"/>
  </r>
  <r>
    <n v="2419"/>
    <s v="NL22RABO0381604934"/>
    <m/>
    <x v="4"/>
    <x v="61"/>
    <d v="2020-09-27T00:00:00"/>
    <d v="2020-09-27T00:00:00"/>
    <n v="-6.4"/>
    <n v="6.4"/>
    <m/>
    <s v="La Place Sevenum SEVENUM"/>
    <x v="1"/>
    <x v="12"/>
    <x v="64"/>
  </r>
  <r>
    <n v="2425"/>
    <s v="NL22RABO0381604934"/>
    <m/>
    <x v="4"/>
    <x v="57"/>
    <d v="2020-10-01T00:00:00"/>
    <d v="2020-10-01T00:00:00"/>
    <n v="-2.2999999999999998"/>
    <n v="2.2999999999999998"/>
    <m/>
    <s v="DAILY DEURNE DEURNE"/>
    <x v="1"/>
    <x v="12"/>
    <x v="66"/>
  </r>
  <r>
    <n v="2432"/>
    <s v="NL22RABO0381604934"/>
    <m/>
    <x v="4"/>
    <x v="57"/>
    <d v="2020-10-04T00:00:00"/>
    <d v="2020-10-04T00:00:00"/>
    <n v="-1.95"/>
    <n v="1.95"/>
    <m/>
    <s v="Eetcounter Hagendoorn MUSSELKANAAL"/>
    <x v="1"/>
    <x v="12"/>
    <x v="65"/>
  </r>
  <r>
    <n v="2436"/>
    <s v="NL22RABO0381604934"/>
    <m/>
    <x v="4"/>
    <x v="57"/>
    <d v="2020-10-10T00:00:00"/>
    <d v="2020-10-10T00:00:00"/>
    <n v="-5.8"/>
    <n v="5.8"/>
    <m/>
    <s v="SumUp  *Bonnie Arnhem"/>
    <x v="1"/>
    <x v="12"/>
    <x v="64"/>
  </r>
  <r>
    <n v="2438"/>
    <s v="NL22RABO0381604934"/>
    <m/>
    <x v="4"/>
    <x v="57"/>
    <d v="2020-10-10T00:00:00"/>
    <d v="2020-10-10T00:00:00"/>
    <n v="20.2"/>
    <n v="20.2"/>
    <s v="NL13ABNA0506417344"/>
    <s v="AAB RETAIL INZ TIKKIE"/>
    <x v="1"/>
    <x v="12"/>
    <x v="64"/>
  </r>
  <r>
    <n v="2439"/>
    <s v="NL22RABO0381604934"/>
    <m/>
    <x v="4"/>
    <x v="57"/>
    <d v="2020-10-10T00:00:00"/>
    <d v="2020-10-10T00:00:00"/>
    <n v="15.2"/>
    <n v="15.2"/>
    <s v="NL13ABNA0506417344"/>
    <s v="AAB RETAIL INZ TIKKIE"/>
    <x v="1"/>
    <x v="12"/>
    <x v="64"/>
  </r>
  <r>
    <n v="2440"/>
    <s v="NL22RABO0381604934"/>
    <m/>
    <x v="4"/>
    <x v="57"/>
    <d v="2020-10-10T00:00:00"/>
    <d v="2020-10-10T00:00:00"/>
    <n v="10.65"/>
    <n v="10.65"/>
    <s v="NL61ABNA0811086593"/>
    <s v="AAB RETAIL INZ TIKKIE"/>
    <x v="1"/>
    <x v="12"/>
    <x v="64"/>
  </r>
  <r>
    <n v="2446"/>
    <s v="NL22RABO0381604934"/>
    <m/>
    <x v="4"/>
    <x v="57"/>
    <d v="2020-10-13T00:00:00"/>
    <d v="2020-10-13T00:00:00"/>
    <n v="-5"/>
    <n v="5"/>
    <m/>
    <s v="Walt ARNHEM"/>
    <x v="1"/>
    <x v="12"/>
    <x v="66"/>
  </r>
  <r>
    <n v="2448"/>
    <s v="NL22RABO0381604934"/>
    <m/>
    <x v="4"/>
    <x v="57"/>
    <d v="2020-10-13T00:00:00"/>
    <d v="2020-10-13T00:00:00"/>
    <n v="-25"/>
    <n v="25"/>
    <s v="NL70RABO0115600000"/>
    <s v="Bonnie Arnhem via Mollie"/>
    <x v="1"/>
    <x v="12"/>
    <x v="66"/>
  </r>
  <r>
    <n v="2449"/>
    <s v="NL22RABO0381604934"/>
    <m/>
    <x v="4"/>
    <x v="57"/>
    <d v="2020-10-14T00:00:00"/>
    <d v="2020-10-14T00:00:00"/>
    <n v="-10.7"/>
    <n v="10.7"/>
    <m/>
    <s v="SumUp  *Bonnie Arnhem"/>
    <x v="1"/>
    <x v="12"/>
    <x v="64"/>
  </r>
  <r>
    <n v="2477"/>
    <s v="NL22RABO0381604934"/>
    <m/>
    <x v="4"/>
    <x v="57"/>
    <d v="2020-10-24T00:00:00"/>
    <d v="2020-10-24T00:00:00"/>
    <n v="-2.75"/>
    <n v="2.75"/>
    <m/>
    <s v="SumUp  *Bonnie Arnhem"/>
    <x v="1"/>
    <x v="12"/>
    <x v="66"/>
  </r>
  <r>
    <n v="2509"/>
    <s v="NL22RABO0381604934"/>
    <m/>
    <x v="4"/>
    <x v="59"/>
    <d v="2020-11-14T00:00:00"/>
    <d v="2020-11-14T00:00:00"/>
    <n v="-5.4"/>
    <n v="5.4"/>
    <m/>
    <s v="SumUp  *Bonnie Arnhem"/>
    <x v="1"/>
    <x v="12"/>
    <x v="66"/>
  </r>
  <r>
    <n v="2548"/>
    <s v="NL22RABO0381604934"/>
    <m/>
    <x v="4"/>
    <x v="58"/>
    <d v="2020-12-10T00:00:00"/>
    <d v="2020-12-10T00:00:00"/>
    <n v="-5"/>
    <n v="5"/>
    <m/>
    <s v="SumUp  *Konijnenvoer Arnhem"/>
    <x v="1"/>
    <x v="12"/>
    <x v="65"/>
  </r>
  <r>
    <n v="2565"/>
    <s v="NL22RABO0381604934"/>
    <m/>
    <x v="4"/>
    <x v="58"/>
    <d v="2020-12-18T00:00:00"/>
    <d v="2020-12-18T00:00:00"/>
    <n v="-5.18"/>
    <n v="5.18"/>
    <m/>
    <s v="SumUp  *Bonnie Arnhem"/>
    <x v="1"/>
    <x v="12"/>
    <x v="66"/>
  </r>
  <r>
    <n v="2566"/>
    <s v="NL22RABO0381604934"/>
    <m/>
    <x v="4"/>
    <x v="58"/>
    <d v="2020-12-19T00:00:00"/>
    <d v="2020-12-19T00:00:00"/>
    <n v="-10"/>
    <n v="10"/>
    <m/>
    <s v="SumUp  *Konijnenvoer Arnhem"/>
    <x v="1"/>
    <x v="12"/>
    <x v="65"/>
  </r>
  <r>
    <n v="2584"/>
    <s v="POSTEPAY"/>
    <m/>
    <x v="4"/>
    <x v="57"/>
    <d v="2020-09-23T00:00:00"/>
    <d v="2020-09-23T00:00:00"/>
    <n v="-54.45"/>
    <n v="54.45"/>
    <m/>
    <s v="dadawan"/>
    <x v="1"/>
    <x v="12"/>
    <x v="64"/>
  </r>
  <r>
    <n v="2649"/>
    <s v="KRUIS"/>
    <m/>
    <x v="5"/>
    <x v="64"/>
    <d v="2021-09-18T00:00:00"/>
    <d v="2021-09-18T00:00:00"/>
    <n v="10"/>
    <n v="10"/>
    <m/>
    <s v="horeca naar Joost"/>
    <x v="1"/>
    <x v="12"/>
    <x v="64"/>
  </r>
  <r>
    <n v="2655"/>
    <s v="KRUIS"/>
    <m/>
    <x v="5"/>
    <x v="25"/>
    <d v="2021-10-24T00:00:00"/>
    <m/>
    <n v="10.38"/>
    <n v="10.38"/>
    <m/>
    <s v="uitgaan joost"/>
    <x v="1"/>
    <x v="12"/>
    <x v="66"/>
  </r>
  <r>
    <n v="2767"/>
    <s v="NL22RABO0381604934"/>
    <m/>
    <x v="5"/>
    <x v="67"/>
    <d v="2021-05-01T00:00:00"/>
    <d v="2021-05-01T00:00:00"/>
    <n v="-2"/>
    <n v="2"/>
    <m/>
    <s v="Partycentrum SEVENUM"/>
    <x v="1"/>
    <x v="12"/>
    <x v="65"/>
  </r>
  <r>
    <n v="2781"/>
    <s v="NL22RABO0381604934"/>
    <m/>
    <x v="5"/>
    <x v="67"/>
    <d v="2021-05-14T00:00:00"/>
    <d v="2021-05-14T00:00:00"/>
    <n v="-2"/>
    <n v="2"/>
    <m/>
    <s v="Partycentrum SEVENUM"/>
    <x v="1"/>
    <x v="12"/>
    <x v="65"/>
  </r>
  <r>
    <n v="2792"/>
    <s v="NL22RABO0381604934"/>
    <m/>
    <x v="5"/>
    <x v="67"/>
    <d v="2021-05-20T00:00:00"/>
    <d v="2021-05-20T00:00:00"/>
    <n v="-2.2999999999999998"/>
    <n v="2.2999999999999998"/>
    <m/>
    <s v="C&amp;M*ANYTYME ROYAAL PANNINGEN"/>
    <x v="1"/>
    <x v="12"/>
    <x v="65"/>
  </r>
  <r>
    <n v="2806"/>
    <s v="NL22RABO0381604934"/>
    <m/>
    <x v="5"/>
    <x v="67"/>
    <d v="2021-05-30T00:00:00"/>
    <d v="2021-05-30T00:00:00"/>
    <n v="-11.3"/>
    <n v="11.3"/>
    <m/>
    <s v="IZ *PUCK specialty cof NIJMEGEN"/>
    <x v="1"/>
    <x v="12"/>
    <x v="66"/>
  </r>
  <r>
    <n v="2814"/>
    <s v="NL22RABO0381604934"/>
    <m/>
    <x v="5"/>
    <x v="67"/>
    <d v="2021-05-31T00:00:00"/>
    <d v="2021-05-31T00:00:00"/>
    <n v="-1.3"/>
    <n v="1.3"/>
    <m/>
    <s v="CCV*Trio IJssalon ARNHEM"/>
    <x v="1"/>
    <x v="12"/>
    <x v="65"/>
  </r>
  <r>
    <n v="2816"/>
    <s v="NL22RABO0381604934"/>
    <m/>
    <x v="5"/>
    <x v="67"/>
    <d v="2021-05-31T00:00:00"/>
    <d v="2021-05-31T00:00:00"/>
    <n v="-7.5"/>
    <n v="7.5"/>
    <m/>
    <s v="CCV*ANNE EN MAX ARNHEM ARNHEM"/>
    <x v="1"/>
    <x v="12"/>
    <x v="64"/>
  </r>
  <r>
    <n v="2832"/>
    <s v="NL22RABO0381604934"/>
    <m/>
    <x v="5"/>
    <x v="68"/>
    <d v="2021-06-09T00:00:00"/>
    <d v="2021-06-09T00:00:00"/>
    <n v="-6.5"/>
    <n v="6.5"/>
    <m/>
    <s v="CCV*ANNE EN MAX ARNHEM ARNHEM"/>
    <x v="1"/>
    <x v="12"/>
    <x v="64"/>
  </r>
  <r>
    <n v="2836"/>
    <s v="NL22RABO0381604934"/>
    <m/>
    <x v="5"/>
    <x v="68"/>
    <d v="2021-06-10T00:00:00"/>
    <d v="2021-06-10T00:00:00"/>
    <n v="-7.3"/>
    <n v="7.3"/>
    <m/>
    <s v="CCV*ANNE EN MAX ARNHEM ARNHEM"/>
    <x v="1"/>
    <x v="12"/>
    <x v="64"/>
  </r>
  <r>
    <n v="2837"/>
    <s v="NL22RABO0381604934"/>
    <m/>
    <x v="5"/>
    <x v="68"/>
    <d v="2021-06-10T00:00:00"/>
    <d v="2021-06-10T00:00:00"/>
    <n v="-5"/>
    <n v="5"/>
    <m/>
    <s v="Bakkerij Bart VENLO"/>
    <x v="1"/>
    <x v="12"/>
    <x v="65"/>
  </r>
  <r>
    <n v="2840"/>
    <s v="NL22RABO0381604934"/>
    <m/>
    <x v="5"/>
    <x v="68"/>
    <d v="2021-06-10T00:00:00"/>
    <d v="2021-06-10T00:00:00"/>
    <n v="-15"/>
    <n v="15"/>
    <m/>
    <s v="Nena Venlo"/>
    <x v="1"/>
    <x v="12"/>
    <x v="64"/>
  </r>
  <r>
    <n v="2841"/>
    <s v="NL22RABO0381604934"/>
    <m/>
    <x v="5"/>
    <x v="68"/>
    <d v="2021-06-10T00:00:00"/>
    <d v="2021-06-10T00:00:00"/>
    <n v="-1.25"/>
    <n v="1.25"/>
    <m/>
    <s v="IJssalon en Lunchroom SEVENUM"/>
    <x v="1"/>
    <x v="12"/>
    <x v="65"/>
  </r>
  <r>
    <n v="2842"/>
    <s v="NL22RABO0381604934"/>
    <m/>
    <x v="5"/>
    <x v="68"/>
    <d v="2021-06-12T00:00:00"/>
    <d v="2021-06-12T00:00:00"/>
    <n v="-3.1"/>
    <n v="3.1"/>
    <m/>
    <s v="McDonald's Maasbree MAASBREE"/>
    <x v="1"/>
    <x v="12"/>
    <x v="64"/>
  </r>
  <r>
    <n v="2843"/>
    <s v="NL22RABO0381604934"/>
    <m/>
    <x v="5"/>
    <x v="68"/>
    <d v="2021-06-13T00:00:00"/>
    <d v="2021-06-13T00:00:00"/>
    <n v="-6.95"/>
    <n v="6.95"/>
    <m/>
    <s v="Snackbar Bebo SEVENUM"/>
    <x v="1"/>
    <x v="12"/>
    <x v="65"/>
  </r>
  <r>
    <n v="2849"/>
    <s v="NL22RABO0381604934"/>
    <m/>
    <x v="5"/>
    <x v="68"/>
    <d v="2021-06-15T00:00:00"/>
    <d v="2021-06-15T00:00:00"/>
    <n v="-2.2999999999999998"/>
    <n v="2.2999999999999998"/>
    <m/>
    <s v="CCV*HOEVE WILLEM III B HELENAVEEN"/>
    <x v="1"/>
    <x v="12"/>
    <x v="65"/>
  </r>
  <r>
    <n v="2880"/>
    <s v="NL22RABO0381604934"/>
    <m/>
    <x v="5"/>
    <x v="69"/>
    <d v="2021-07-05T00:00:00"/>
    <d v="2021-07-05T00:00:00"/>
    <n v="-3.3"/>
    <n v="3.3"/>
    <m/>
    <s v="Q8 SPRIMONT FAST CAFE SPRIMONT BEL"/>
    <x v="1"/>
    <x v="12"/>
    <x v="65"/>
  </r>
  <r>
    <n v="2881"/>
    <s v="NL22RABO0381604934"/>
    <m/>
    <x v="5"/>
    <x v="69"/>
    <d v="2021-07-05T00:00:00"/>
    <d v="2021-07-05T00:00:00"/>
    <n v="-2.1"/>
    <n v="2.1"/>
    <m/>
    <s v="Q8 SPRIMONT FAST CAFE SPRIMONT BEL"/>
    <x v="1"/>
    <x v="12"/>
    <x v="65"/>
  </r>
  <r>
    <n v="2882"/>
    <s v="NL22RABO0381604934"/>
    <m/>
    <x v="5"/>
    <x v="69"/>
    <d v="2021-07-05T00:00:00"/>
    <d v="2021-07-05T00:00:00"/>
    <n v="-1"/>
    <n v="1"/>
    <m/>
    <s v="Q8 SPRIMONT EAST PTI SPRIMONT BEL"/>
    <x v="1"/>
    <x v="12"/>
    <x v="65"/>
  </r>
  <r>
    <n v="2884"/>
    <s v="NL22RABO0381604934"/>
    <m/>
    <x v="5"/>
    <x v="69"/>
    <d v="2021-07-06T00:00:00"/>
    <d v="2021-07-06T00:00:00"/>
    <n v="-2"/>
    <n v="2"/>
    <m/>
    <s v="C&amp;M*ANYTYME ROYAAL PANNINGEN"/>
    <x v="1"/>
    <x v="12"/>
    <x v="65"/>
  </r>
  <r>
    <n v="2895"/>
    <s v="NL22RABO0381604934"/>
    <m/>
    <x v="5"/>
    <x v="69"/>
    <d v="2021-07-15T00:00:00"/>
    <d v="2021-07-15T00:00:00"/>
    <n v="-9.9"/>
    <n v="9.9"/>
    <m/>
    <s v="Nena Venlo"/>
    <x v="1"/>
    <x v="12"/>
    <x v="64"/>
  </r>
  <r>
    <n v="2922"/>
    <s v="NL22RABO0381604934"/>
    <m/>
    <x v="5"/>
    <x v="70"/>
    <d v="2021-08-04T00:00:00"/>
    <d v="2021-08-04T00:00:00"/>
    <n v="-2.5"/>
    <n v="2.5"/>
    <m/>
    <s v="Partycentrum SEVENUM"/>
    <x v="1"/>
    <x v="12"/>
    <x v="65"/>
  </r>
  <r>
    <n v="2928"/>
    <s v="NL22RABO0381604934"/>
    <m/>
    <x v="5"/>
    <x v="70"/>
    <d v="2021-08-12T00:00:00"/>
    <d v="2021-08-12T00:00:00"/>
    <n v="-2.4"/>
    <n v="2.4"/>
    <m/>
    <s v="SumUp  *Royal Donuts V Venlo"/>
    <x v="1"/>
    <x v="12"/>
    <x v="65"/>
  </r>
  <r>
    <n v="2931"/>
    <s v="NL22RABO0381604934"/>
    <m/>
    <x v="5"/>
    <x v="70"/>
    <d v="2021-08-12T00:00:00"/>
    <d v="2021-08-12T00:00:00"/>
    <n v="-15"/>
    <n v="15"/>
    <m/>
    <s v="Nena Venlo"/>
    <x v="1"/>
    <x v="12"/>
    <x v="64"/>
  </r>
  <r>
    <n v="2944"/>
    <s v="NL22RABO0381604934"/>
    <m/>
    <x v="5"/>
    <x v="70"/>
    <d v="2021-08-25T00:00:00"/>
    <d v="2021-08-25T00:00:00"/>
    <n v="-2.5"/>
    <n v="2.5"/>
    <m/>
    <s v="Partycentrum SEVENUM"/>
    <x v="1"/>
    <x v="12"/>
    <x v="65"/>
  </r>
  <r>
    <n v="2957"/>
    <s v="NL22RABO0381604934"/>
    <m/>
    <x v="5"/>
    <x v="64"/>
    <d v="2021-09-05T00:00:00"/>
    <d v="2021-09-05T00:00:00"/>
    <n v="-2.5"/>
    <n v="2.5"/>
    <m/>
    <s v="IZ *In d?Ouwe Peel V.O HELENAVEEN"/>
    <x v="1"/>
    <x v="12"/>
    <x v="64"/>
  </r>
  <r>
    <n v="2959"/>
    <s v="NL22RABO0381604934"/>
    <m/>
    <x v="5"/>
    <x v="64"/>
    <d v="2021-09-07T00:00:00"/>
    <d v="2021-09-07T00:00:00"/>
    <n v="-3.5"/>
    <n v="3.5"/>
    <m/>
    <s v="Partycentrum de Scha SEVENUM"/>
    <x v="1"/>
    <x v="12"/>
    <x v="65"/>
  </r>
  <r>
    <n v="2966"/>
    <s v="NL22RABO0381604934"/>
    <m/>
    <x v="5"/>
    <x v="64"/>
    <d v="2021-09-15T00:00:00"/>
    <d v="2021-09-15T00:00:00"/>
    <n v="-30.75"/>
    <n v="30.75"/>
    <m/>
    <s v="CCV*DE PIZZABAKKERS AR ARNHEM"/>
    <x v="1"/>
    <x v="12"/>
    <x v="64"/>
  </r>
  <r>
    <n v="2970"/>
    <s v="NL22RABO0381604934"/>
    <m/>
    <x v="5"/>
    <x v="64"/>
    <d v="2021-09-16T00:00:00"/>
    <d v="2021-09-16T00:00:00"/>
    <n v="-7.65"/>
    <n v="7.65"/>
    <m/>
    <s v="CCV*ANNE EN MAX ARNHEM ARNHEM"/>
    <x v="1"/>
    <x v="12"/>
    <x v="64"/>
  </r>
  <r>
    <n v="2979"/>
    <s v="NL22RABO0381604934"/>
    <m/>
    <x v="5"/>
    <x v="64"/>
    <d v="2021-09-19T00:00:00"/>
    <d v="2021-09-19T00:00:00"/>
    <n v="-9.15"/>
    <n v="9.15"/>
    <m/>
    <s v="McDonald's Maasbree MAASBREE"/>
    <x v="1"/>
    <x v="12"/>
    <x v="64"/>
  </r>
  <r>
    <n v="3006"/>
    <s v="NL22RABO0381604934"/>
    <m/>
    <x v="5"/>
    <x v="25"/>
    <d v="2021-10-08T00:00:00"/>
    <d v="2021-10-08T00:00:00"/>
    <n v="-5.75"/>
    <n v="5.75"/>
    <m/>
    <s v="CCV*Sound &amp; Soul Foodb ARNHEM"/>
    <x v="1"/>
    <x v="12"/>
    <x v="64"/>
  </r>
  <r>
    <n v="3009"/>
    <s v="NL22RABO0381604934"/>
    <m/>
    <x v="5"/>
    <x v="25"/>
    <d v="2021-10-09T00:00:00"/>
    <d v="2021-10-09T00:00:00"/>
    <n v="-2.95"/>
    <n v="2.95"/>
    <m/>
    <s v="CCV*Sound &amp; Soul Foodb ARNHEM"/>
    <x v="1"/>
    <x v="12"/>
    <x v="64"/>
  </r>
  <r>
    <n v="3010"/>
    <s v="NL22RABO0381604934"/>
    <m/>
    <x v="5"/>
    <x v="25"/>
    <d v="2021-10-09T00:00:00"/>
    <d v="2021-10-09T00:00:00"/>
    <n v="-6.51"/>
    <n v="6.51"/>
    <m/>
    <s v="CCV*BioToko V.O.F. ZUTPHEN"/>
    <x v="1"/>
    <x v="12"/>
    <x v="64"/>
  </r>
  <r>
    <n v="3013"/>
    <s v="NL22RABO0381604934"/>
    <m/>
    <x v="5"/>
    <x v="25"/>
    <d v="2021-10-10T00:00:00"/>
    <d v="2021-10-10T00:00:00"/>
    <n v="-3"/>
    <n v="3"/>
    <m/>
    <s v="Euro Snacks ARNHEM"/>
    <x v="1"/>
    <x v="12"/>
    <x v="67"/>
  </r>
  <r>
    <n v="3015"/>
    <s v="NL22RABO0381604934"/>
    <m/>
    <x v="5"/>
    <x v="25"/>
    <d v="2021-10-12T00:00:00"/>
    <d v="2021-10-12T00:00:00"/>
    <n v="-13.1"/>
    <n v="13.1"/>
    <m/>
    <s v="iZ *ABC Libertas ARNHEM"/>
    <x v="1"/>
    <x v="12"/>
    <x v="64"/>
  </r>
  <r>
    <n v="3019"/>
    <s v="NL22RABO0381604934"/>
    <m/>
    <x v="5"/>
    <x v="25"/>
    <d v="2021-10-14T00:00:00"/>
    <d v="2021-10-14T00:00:00"/>
    <n v="-2.4"/>
    <n v="2.4"/>
    <m/>
    <s v="IZ *ABC Libertas ARNHEM"/>
    <x v="1"/>
    <x v="12"/>
    <x v="66"/>
  </r>
  <r>
    <n v="3023"/>
    <s v="NL22RABO0381604934"/>
    <m/>
    <x v="5"/>
    <x v="25"/>
    <d v="2021-10-14T00:00:00"/>
    <d v="2021-10-14T00:00:00"/>
    <n v="-2.4"/>
    <n v="2.4"/>
    <m/>
    <s v="IZ *ABC Libertas ARNHEM"/>
    <x v="1"/>
    <x v="12"/>
    <x v="66"/>
  </r>
  <r>
    <n v="3030"/>
    <s v="NL22RABO0381604934"/>
    <m/>
    <x v="5"/>
    <x v="25"/>
    <d v="2021-10-15T00:00:00"/>
    <d v="2021-10-15T00:00:00"/>
    <n v="-1"/>
    <n v="1"/>
    <m/>
    <s v="MADAL BAL NATUURVOEDIN 'S-GRAVENHAGE"/>
    <x v="1"/>
    <x v="12"/>
    <x v="65"/>
  </r>
  <r>
    <n v="3033"/>
    <s v="NL22RABO0381604934"/>
    <m/>
    <x v="5"/>
    <x v="25"/>
    <d v="2021-10-15T00:00:00"/>
    <d v="2021-10-15T00:00:00"/>
    <n v="-8.6999999999999993"/>
    <n v="8.6999999999999993"/>
    <m/>
    <s v="CCV*Eazie Den Haag B.V  S-GRAVENHAGE"/>
    <x v="1"/>
    <x v="12"/>
    <x v="64"/>
  </r>
  <r>
    <n v="3037"/>
    <s v="NL22RABO0381604934"/>
    <m/>
    <x v="5"/>
    <x v="25"/>
    <d v="2021-10-17T00:00:00"/>
    <d v="2021-10-17T00:00:00"/>
    <n v="-2.75"/>
    <n v="2.75"/>
    <m/>
    <s v="Dudok Arnhem BV Arnhem"/>
    <x v="1"/>
    <x v="12"/>
    <x v="66"/>
  </r>
  <r>
    <n v="3042"/>
    <s v="NL22RABO0381604934"/>
    <m/>
    <x v="5"/>
    <x v="25"/>
    <d v="2021-10-19T00:00:00"/>
    <d v="2021-10-19T00:00:00"/>
    <n v="-2.1"/>
    <n v="2.1"/>
    <m/>
    <s v="Kiosk UT 3220 UTRECHT"/>
    <x v="1"/>
    <x v="12"/>
    <x v="65"/>
  </r>
  <r>
    <n v="3043"/>
    <s v="NL22RABO0381604934"/>
    <m/>
    <x v="5"/>
    <x v="25"/>
    <d v="2021-10-19T00:00:00"/>
    <d v="2021-10-19T00:00:00"/>
    <n v="-14.55"/>
    <n v="14.55"/>
    <m/>
    <s v="Foam Catering 'S-GRAVENHAGE"/>
    <x v="1"/>
    <x v="12"/>
    <x v="67"/>
  </r>
  <r>
    <n v="3044"/>
    <s v="NL22RABO0381604934"/>
    <m/>
    <x v="5"/>
    <x v="25"/>
    <d v="2021-10-19T00:00:00"/>
    <d v="2021-10-19T00:00:00"/>
    <n v="-7.8"/>
    <n v="7.8"/>
    <m/>
    <s v="CCV*EAZIE DEN HAAG II S GRAVENHAGE"/>
    <x v="1"/>
    <x v="12"/>
    <x v="64"/>
  </r>
  <r>
    <n v="3049"/>
    <s v="NL22RABO0381604934"/>
    <m/>
    <x v="5"/>
    <x v="25"/>
    <d v="2021-10-20T00:00:00"/>
    <d v="2021-10-20T00:00:00"/>
    <n v="-2.4"/>
    <n v="2.4"/>
    <m/>
    <s v="IZ *ABC Libertas ARNHEM"/>
    <x v="1"/>
    <x v="12"/>
    <x v="66"/>
  </r>
  <r>
    <n v="3057"/>
    <s v="NL22RABO0381604934"/>
    <m/>
    <x v="5"/>
    <x v="25"/>
    <d v="2021-10-23T00:00:00"/>
    <d v="2021-10-23T00:00:00"/>
    <n v="-4.8"/>
    <n v="4.8"/>
    <m/>
    <s v="IZ *ABC Libertas ARNHEM"/>
    <x v="1"/>
    <x v="12"/>
    <x v="66"/>
  </r>
  <r>
    <n v="3070"/>
    <s v="NL22RABO0381604934"/>
    <m/>
    <x v="5"/>
    <x v="25"/>
    <d v="2021-10-27T00:00:00"/>
    <d v="2021-10-27T00:00:00"/>
    <n v="-1.8"/>
    <n v="1.8"/>
    <m/>
    <s v="Eetcounter Hagendoorn MUSSELKANAAL"/>
    <x v="1"/>
    <x v="12"/>
    <x v="65"/>
  </r>
  <r>
    <n v="3126"/>
    <s v="NL22RABO0381604934"/>
    <m/>
    <x v="5"/>
    <x v="26"/>
    <d v="2021-11-14T00:00:00"/>
    <d v="2021-11-14T00:00:00"/>
    <n v="-10.5"/>
    <n v="10.5"/>
    <m/>
    <s v="SEP*Indonesia Indah Amsterdam"/>
    <x v="1"/>
    <x v="12"/>
    <x v="67"/>
  </r>
  <r>
    <n v="3128"/>
    <s v="NL22RABO0381604934"/>
    <m/>
    <x v="5"/>
    <x v="26"/>
    <d v="2021-11-15T00:00:00"/>
    <d v="2021-11-15T00:00:00"/>
    <n v="-2.2999999999999998"/>
    <n v="2.2999999999999998"/>
    <m/>
    <s v="CCV*STAYOKAY ZEEBURG A AMSTERDAM"/>
    <x v="1"/>
    <x v="12"/>
    <x v="66"/>
  </r>
  <r>
    <n v="3146"/>
    <s v="NL22RABO0381604934"/>
    <m/>
    <x v="5"/>
    <x v="27"/>
    <d v="2021-12-21T00:00:00"/>
    <d v="2021-12-21T00:00:00"/>
    <n v="-21"/>
    <n v="21"/>
    <s v="NL10INGB0005300114"/>
    <s v="ING Bank NV Betaalverzoek"/>
    <x v="1"/>
    <x v="12"/>
    <x v="64"/>
  </r>
  <r>
    <n v="3322"/>
    <s v="NL22RABO0381604934"/>
    <m/>
    <x v="6"/>
    <x v="32"/>
    <d v="2022-05-21T00:00:00"/>
    <d v="2022-05-21T00:00:00"/>
    <n v="-2"/>
    <n v="2"/>
    <m/>
    <s v="AH to go Zwolle 5828 ZWOLLE"/>
    <x v="1"/>
    <x v="12"/>
    <x v="65"/>
  </r>
  <r>
    <n v="202208019"/>
    <s v="NL22RABO0381604934"/>
    <s v="EUR"/>
    <x v="6"/>
    <x v="71"/>
    <d v="2022-06-08T00:00:00"/>
    <d v="2022-06-08T00:00:00"/>
    <n v="-11.1"/>
    <n v="11.1"/>
    <m/>
    <s v="CCV*Sound &amp; Soul Foodb ARNHEM"/>
    <x v="1"/>
    <x v="12"/>
    <x v="64"/>
  </r>
  <r>
    <n v="202208025"/>
    <s v="NL22RABO0381604934"/>
    <s v="EUR"/>
    <x v="6"/>
    <x v="71"/>
    <d v="2022-06-12T00:00:00"/>
    <d v="2022-06-12T00:00:00"/>
    <n v="-11.2"/>
    <n v="11.2"/>
    <m/>
    <s v="Breurs Sevenum SEVENUM"/>
    <x v="1"/>
    <x v="12"/>
    <x v="64"/>
  </r>
  <r>
    <n v="202208029"/>
    <s v="NL22RABO0381604934"/>
    <s v="EUR"/>
    <x v="6"/>
    <x v="71"/>
    <d v="2022-06-14T00:00:00"/>
    <d v="2022-06-14T00:00:00"/>
    <n v="-3.9"/>
    <n v="3.9"/>
    <m/>
    <s v="Koala Express B.V. Venlo"/>
    <x v="1"/>
    <x v="12"/>
    <x v="65"/>
  </r>
  <r>
    <n v="202208030"/>
    <s v="NL22RABO0381604934"/>
    <s v="EUR"/>
    <x v="6"/>
    <x v="71"/>
    <d v="2022-06-14T00:00:00"/>
    <d v="2022-06-14T00:00:00"/>
    <n v="-2"/>
    <n v="2"/>
    <m/>
    <s v="Koala Express B.V. Venlo"/>
    <x v="1"/>
    <x v="12"/>
    <x v="65"/>
  </r>
  <r>
    <n v="202208034"/>
    <s v="NL22RABO0381604934"/>
    <s v="EUR"/>
    <x v="6"/>
    <x v="71"/>
    <d v="2022-06-18T00:00:00"/>
    <d v="2022-06-18T00:00:00"/>
    <n v="-1.3"/>
    <n v="1.3"/>
    <m/>
    <s v="CCV*HOEVE WILLEM III B HELENAVEEN"/>
    <x v="1"/>
    <x v="12"/>
    <x v="65"/>
  </r>
  <r>
    <n v="202208035"/>
    <s v="NL22RABO0381604934"/>
    <s v="EUR"/>
    <x v="6"/>
    <x v="71"/>
    <d v="2022-06-18T00:00:00"/>
    <d v="2022-06-18T00:00:00"/>
    <n v="-1.3"/>
    <n v="1.3"/>
    <m/>
    <s v="CCV*HOEVE WILLEM III B HELENAVEEN"/>
    <x v="1"/>
    <x v="12"/>
    <x v="65"/>
  </r>
  <r>
    <n v="202208038"/>
    <s v="NL22RABO0381604934"/>
    <s v="EUR"/>
    <x v="6"/>
    <x v="71"/>
    <d v="2022-06-20T00:00:00"/>
    <d v="2022-06-20T00:00:00"/>
    <n v="-2.25"/>
    <n v="2.25"/>
    <m/>
    <s v="Partycentrum SEVENUM"/>
    <x v="1"/>
    <x v="12"/>
    <x v="65"/>
  </r>
  <r>
    <n v="202208040"/>
    <s v="NL22RABO0381604934"/>
    <s v="EUR"/>
    <x v="6"/>
    <x v="71"/>
    <d v="2022-06-22T00:00:00"/>
    <d v="2022-06-22T00:00:00"/>
    <n v="-4.2"/>
    <n v="4.2"/>
    <m/>
    <s v="Stek Venlo"/>
    <x v="1"/>
    <x v="12"/>
    <x v="66"/>
  </r>
  <r>
    <n v="202208042"/>
    <s v="NL22RABO0381604934"/>
    <s v="EUR"/>
    <x v="6"/>
    <x v="71"/>
    <d v="2022-06-22T00:00:00"/>
    <d v="2022-06-22T00:00:00"/>
    <n v="-12.55"/>
    <n v="12.55"/>
    <m/>
    <s v="Nena Pizza VENLO"/>
    <x v="1"/>
    <x v="12"/>
    <x v="67"/>
  </r>
  <r>
    <n v="202208050"/>
    <s v="NL22RABO0381604934"/>
    <s v="EUR"/>
    <x v="6"/>
    <x v="71"/>
    <d v="2022-06-29T00:00:00"/>
    <d v="2022-06-29T00:00:00"/>
    <n v="-2.5"/>
    <n v="2.5"/>
    <m/>
    <s v="C&amp;M*ANYTYME ROYAAL PANNINGEN"/>
    <x v="1"/>
    <x v="12"/>
    <x v="65"/>
  </r>
  <r>
    <n v="202208057"/>
    <s v="NL22RABO0381604934"/>
    <s v="EUR"/>
    <x v="6"/>
    <x v="72"/>
    <d v="2022-07-05T00:00:00"/>
    <d v="2022-07-05T00:00:00"/>
    <n v="-2.5"/>
    <n v="2.5"/>
    <m/>
    <s v="In d'Ouwe Peel HELENAVEEN"/>
    <x v="1"/>
    <x v="12"/>
    <x v="64"/>
  </r>
  <r>
    <n v="202208059"/>
    <s v="NL22RABO0381604934"/>
    <s v="EUR"/>
    <x v="6"/>
    <x v="72"/>
    <d v="2022-07-05T00:00:00"/>
    <d v="2022-07-05T00:00:00"/>
    <n v="-17.600000000000001"/>
    <n v="17.600000000000001"/>
    <m/>
    <s v="CCV*RS Chicken Sevenum SEVENUM KFC"/>
    <x v="1"/>
    <x v="12"/>
    <x v="67"/>
  </r>
  <r>
    <n v="202208059"/>
    <s v="NL22RABO0381604934"/>
    <s v="EUR"/>
    <x v="6"/>
    <x v="72"/>
    <d v="2022-07-05T00:00:00"/>
    <d v="2022-07-05T00:00:00"/>
    <n v="9"/>
    <n v="9"/>
    <m/>
    <s v="CCV*RS Chicken Sevenum SEVENUM KFC correctie vegan kip"/>
    <x v="1"/>
    <x v="12"/>
    <x v="67"/>
  </r>
  <r>
    <n v="202208067"/>
    <s v="NL22RABO0381604934"/>
    <s v="EUR"/>
    <x v="6"/>
    <x v="72"/>
    <d v="2022-07-10T00:00:00"/>
    <d v="2022-07-10T00:00:00"/>
    <n v="-3.5"/>
    <n v="3.5"/>
    <m/>
    <s v="SWINKELS 2 HEERLEN"/>
    <x v="1"/>
    <x v="12"/>
    <x v="65"/>
  </r>
  <r>
    <n v="202208085"/>
    <s v="NL22RABO0381604934"/>
    <s v="EUR"/>
    <x v="6"/>
    <x v="72"/>
    <d v="2022-07-20T00:00:00"/>
    <d v="2022-07-20T00:00:00"/>
    <n v="-5"/>
    <n v="5"/>
    <m/>
    <s v="Dominos Pizza Panninge Someren"/>
    <x v="1"/>
    <x v="12"/>
    <x v="65"/>
  </r>
  <r>
    <n v="202208095"/>
    <s v="NL22RABO0381604934"/>
    <s v="EUR"/>
    <x v="6"/>
    <x v="72"/>
    <d v="2022-07-26T00:00:00"/>
    <d v="2022-07-26T00:00:00"/>
    <n v="-3.75"/>
    <n v="3.75"/>
    <m/>
    <s v="Allerhande Panningen PANNINGEN"/>
    <x v="1"/>
    <x v="12"/>
    <x v="64"/>
  </r>
  <r>
    <n v="202208104"/>
    <s v="NL22RABO0381604934"/>
    <s v="EUR"/>
    <x v="6"/>
    <x v="72"/>
    <d v="2022-07-28T00:00:00"/>
    <d v="2022-07-28T00:00:00"/>
    <n v="-6.6"/>
    <n v="6.6"/>
    <m/>
    <s v="Stek Venlo"/>
    <x v="1"/>
    <x v="12"/>
    <x v="66"/>
  </r>
  <r>
    <n v="202208107"/>
    <s v="NL22RABO0381604934"/>
    <s v="EUR"/>
    <x v="6"/>
    <x v="72"/>
    <d v="2022-07-28T00:00:00"/>
    <d v="2022-07-28T00:00:00"/>
    <n v="-15.05"/>
    <n v="15.05"/>
    <m/>
    <s v="Nena Pizza VENLO"/>
    <x v="1"/>
    <x v="12"/>
    <x v="64"/>
  </r>
  <r>
    <n v="202208113"/>
    <s v="NL22RABO0381604934"/>
    <s v="EUR"/>
    <x v="6"/>
    <x v="72"/>
    <d v="2022-07-30T00:00:00"/>
    <d v="2022-07-30T00:00:00"/>
    <n v="-6"/>
    <n v="6"/>
    <m/>
    <s v="SumUp  *Xzata Music Landgraaf"/>
    <x v="1"/>
    <x v="12"/>
    <x v="64"/>
  </r>
  <r>
    <n v="202208128"/>
    <s v="NL22RABO0381604934"/>
    <s v="EUR"/>
    <x v="6"/>
    <x v="40"/>
    <d v="2022-08-06T00:00:00"/>
    <d v="2022-08-06T00:00:00"/>
    <n v="-2.75"/>
    <n v="2.75"/>
    <m/>
    <s v="Partycentrum SEVENUM"/>
    <x v="1"/>
    <x v="12"/>
    <x v="65"/>
  </r>
  <r>
    <n v="202208130"/>
    <s v="NL22RABO0381604934"/>
    <s v="EUR"/>
    <x v="6"/>
    <x v="40"/>
    <d v="2022-08-08T00:00:00"/>
    <d v="2022-08-08T00:00:00"/>
    <n v="-17.2"/>
    <n v="17.2"/>
    <m/>
    <s v="iZ *FLFL Arnhem BV Arnhem"/>
    <x v="1"/>
    <x v="12"/>
    <x v="67"/>
  </r>
  <r>
    <n v="202208132"/>
    <s v="NL22RABO0381604934"/>
    <s v="EUR"/>
    <x v="6"/>
    <x v="40"/>
    <d v="2022-08-08T00:00:00"/>
    <d v="2022-08-08T00:00:00"/>
    <n v="-8.8000000000000007"/>
    <n v="8.8000000000000007"/>
    <m/>
    <s v="CCV*Focus Horeca BV ARNHEM"/>
    <x v="1"/>
    <x v="12"/>
    <x v="64"/>
  </r>
  <r>
    <n v="202208138"/>
    <s v="NL22RABO0381604934"/>
    <s v="EUR"/>
    <x v="6"/>
    <x v="40"/>
    <d v="2022-08-09T00:00:00"/>
    <d v="2022-08-09T00:00:00"/>
    <n v="-1.5"/>
    <n v="1.5"/>
    <m/>
    <s v="CCV*Trio IJssalon ARNHEM"/>
    <x v="1"/>
    <x v="12"/>
    <x v="65"/>
  </r>
  <r>
    <n v="202208139"/>
    <s v="NL22RABO0381604934"/>
    <s v="EUR"/>
    <x v="6"/>
    <x v="40"/>
    <d v="2022-08-09T00:00:00"/>
    <d v="2022-08-09T00:00:00"/>
    <n v="-3"/>
    <n v="3"/>
    <m/>
    <s v="Grand Cafe Metropole ARNHEM"/>
    <x v="1"/>
    <x v="12"/>
    <x v="64"/>
  </r>
  <r>
    <n v="202208146"/>
    <s v="NL22RABO0381604934"/>
    <s v="EUR"/>
    <x v="6"/>
    <x v="40"/>
    <d v="2022-08-13T00:00:00"/>
    <d v="2022-08-13T00:00:00"/>
    <n v="-4"/>
    <n v="4"/>
    <m/>
    <s v="CCV*T Gemeintehoes aet MAASBREE"/>
    <x v="1"/>
    <x v="12"/>
    <x v="64"/>
  </r>
  <r>
    <n v="202208148"/>
    <s v="NL22RABO0381604934"/>
    <s v="EUR"/>
    <x v="6"/>
    <x v="40"/>
    <d v="2022-08-16T00:00:00"/>
    <d v="2022-08-16T00:00:00"/>
    <n v="-2.7"/>
    <n v="2.7"/>
    <m/>
    <s v="Cafetaria 't Veen HELENAVEEN"/>
    <x v="1"/>
    <x v="12"/>
    <x v="65"/>
  </r>
  <r>
    <n v="202208149"/>
    <s v="NL22RABO0381604934"/>
    <s v="EUR"/>
    <x v="6"/>
    <x v="40"/>
    <d v="2022-08-16T00:00:00"/>
    <d v="2022-08-16T00:00:00"/>
    <n v="-2.2000000000000002"/>
    <n v="2.2000000000000002"/>
    <m/>
    <s v="Cafetaria 't Veen HELENAVEEN"/>
    <x v="1"/>
    <x v="12"/>
    <x v="65"/>
  </r>
  <r>
    <n v="202208163"/>
    <s v="NL22RABO0381604934"/>
    <s v="EUR"/>
    <x v="6"/>
    <x v="40"/>
    <d v="2022-08-24T00:00:00"/>
    <d v="2022-08-24T00:00:00"/>
    <n v="-2.25"/>
    <n v="2.25"/>
    <m/>
    <s v="Partycentrum SEVENUM"/>
    <x v="1"/>
    <x v="12"/>
    <x v="65"/>
  </r>
  <r>
    <n v="202210003"/>
    <s v="NL22RABO0381604934"/>
    <s v="EUR"/>
    <x v="6"/>
    <x v="40"/>
    <d v="2022-08-27T00:00:00"/>
    <d v="2022-08-28T00:00:00"/>
    <n v="-2.6"/>
    <n v="2.6"/>
    <m/>
    <s v="Partycentrum de Scha SEVENUM"/>
    <x v="1"/>
    <x v="12"/>
    <x v="64"/>
  </r>
  <r>
    <n v="202210016"/>
    <s v="NL22RABO0381604934"/>
    <s v="EUR"/>
    <x v="6"/>
    <x v="73"/>
    <d v="2022-09-04T00:00:00"/>
    <d v="2022-09-04T00:00:00"/>
    <n v="-2.75"/>
    <n v="2.75"/>
    <m/>
    <s v="ZTL*In d?Ouwe Peel V.O HELENAVEEN"/>
    <x v="1"/>
    <x v="12"/>
    <x v="64"/>
  </r>
  <r>
    <n v="202210017"/>
    <s v="NL22RABO0381604934"/>
    <s v="EUR"/>
    <x v="6"/>
    <x v="73"/>
    <d v="2022-09-05T00:00:00"/>
    <d v="2022-09-05T00:00:00"/>
    <n v="-176.5"/>
    <n v="176.5"/>
    <s v="NL48RABO0132394782"/>
    <s v="Payments via Adyen / EFTELING"/>
    <x v="1"/>
    <x v="12"/>
    <x v="68"/>
  </r>
  <r>
    <n v="202210019"/>
    <s v="NL22RABO0381604934"/>
    <s v="EUR"/>
    <x v="6"/>
    <x v="73"/>
    <d v="2022-09-06T00:00:00"/>
    <d v="2022-09-06T00:00:00"/>
    <n v="41"/>
    <n v="41"/>
    <s v="BE27652843579073"/>
    <s v="MEJ HANNE PEETERS"/>
    <x v="1"/>
    <x v="12"/>
    <x v="68"/>
  </r>
  <r>
    <n v="202210020"/>
    <s v="NL22RABO0381604934"/>
    <s v="EUR"/>
    <x v="6"/>
    <x v="73"/>
    <d v="2022-09-06T00:00:00"/>
    <d v="2022-09-06T00:00:00"/>
    <n v="-8.35"/>
    <n v="8.35"/>
    <m/>
    <s v="De Efteling B.V. Kaatsheuvel"/>
    <x v="1"/>
    <x v="12"/>
    <x v="68"/>
  </r>
  <r>
    <n v="202210021"/>
    <s v="NL22RABO0381604934"/>
    <s v="EUR"/>
    <x v="6"/>
    <x v="73"/>
    <d v="2022-09-06T00:00:00"/>
    <d v="2022-09-06T00:00:00"/>
    <n v="-2.95"/>
    <n v="2.95"/>
    <m/>
    <s v="De Efteling B.V. Kaatsheuvel"/>
    <x v="1"/>
    <x v="12"/>
    <x v="68"/>
  </r>
  <r>
    <n v="202210022"/>
    <s v="NL22RABO0381604934"/>
    <s v="EUR"/>
    <x v="6"/>
    <x v="73"/>
    <d v="2022-09-06T00:00:00"/>
    <d v="2022-09-06T00:00:00"/>
    <n v="-3.75"/>
    <n v="3.75"/>
    <m/>
    <s v="De Efteling B.V. Kaatsheuvel"/>
    <x v="1"/>
    <x v="12"/>
    <x v="68"/>
  </r>
  <r>
    <n v="202210027"/>
    <s v="NL22RABO0381604934"/>
    <s v="EUR"/>
    <x v="6"/>
    <x v="73"/>
    <d v="2022-09-11T00:00:00"/>
    <d v="2022-09-11T00:00:00"/>
    <n v="-2.75"/>
    <n v="2.75"/>
    <m/>
    <s v="Partycentrum SEVENUM"/>
    <x v="1"/>
    <x v="12"/>
    <x v="65"/>
  </r>
  <r>
    <n v="202210030"/>
    <s v="NL22RABO0381604934"/>
    <s v="EUR"/>
    <x v="6"/>
    <x v="73"/>
    <d v="2022-09-15T00:00:00"/>
    <d v="2022-09-15T00:00:00"/>
    <n v="82"/>
    <n v="82"/>
    <s v="NL13ABNA0506417344"/>
    <s v="AAB INZ TIKKIE"/>
    <x v="1"/>
    <x v="12"/>
    <x v="68"/>
  </r>
  <r>
    <n v="202301057"/>
    <s v="NL22RABO0381604934"/>
    <s v="EUR"/>
    <x v="6"/>
    <x v="35"/>
    <d v="2022-11-06T00:00:00"/>
    <d v="2022-11-06T00:00:00"/>
    <n v="-6.95"/>
    <m/>
    <m/>
    <s v="CCV*YU FAMILY KITCHEN AMSTERDAM"/>
    <x v="1"/>
    <x v="12"/>
    <x v="67"/>
  </r>
  <r>
    <n v="202301058"/>
    <s v="NL22RABO0381604934"/>
    <s v="EUR"/>
    <x v="6"/>
    <x v="35"/>
    <d v="2022-11-06T00:00:00"/>
    <d v="2022-11-06T00:00:00"/>
    <n v="-3.75"/>
    <m/>
    <m/>
    <s v="Smullers A'dam Sloterd AMSTERDAM"/>
    <x v="1"/>
    <x v="12"/>
    <x v="65"/>
  </r>
  <r>
    <n v="202301060"/>
    <s v="NL22RABO0381604934"/>
    <s v="EUR"/>
    <x v="6"/>
    <x v="35"/>
    <d v="2022-11-07T00:00:00"/>
    <d v="2022-11-07T00:00:00"/>
    <n v="-3.75"/>
    <m/>
    <m/>
    <s v="HMS Host International Amsterdam"/>
    <x v="1"/>
    <x v="12"/>
    <x v="66"/>
  </r>
  <r>
    <n v="202301149"/>
    <s v="KAS"/>
    <m/>
    <x v="6"/>
    <x v="34"/>
    <d v="2022-10-14T00:00:00"/>
    <m/>
    <n v="-12"/>
    <m/>
    <m/>
    <s v="Cafe meijers"/>
    <x v="1"/>
    <x v="12"/>
    <x v="64"/>
  </r>
  <r>
    <n v="202301150"/>
    <s v="KAS"/>
    <m/>
    <x v="6"/>
    <x v="34"/>
    <d v="2022-10-14T00:00:00"/>
    <m/>
    <n v="-4.5"/>
    <m/>
    <m/>
    <s v="McDonalds"/>
    <x v="1"/>
    <x v="12"/>
    <x v="64"/>
  </r>
  <r>
    <n v="202301156"/>
    <s v="KAS"/>
    <m/>
    <x v="6"/>
    <x v="34"/>
    <d v="2022-10-17T00:00:00"/>
    <m/>
    <n v="-7.1"/>
    <m/>
    <m/>
    <s v="Ann&amp;max met loek"/>
    <x v="1"/>
    <x v="12"/>
    <x v="66"/>
  </r>
  <r>
    <n v="202301161"/>
    <s v="KAS"/>
    <m/>
    <x v="6"/>
    <x v="34"/>
    <d v="2022-10-18T00:00:00"/>
    <m/>
    <n v="-3.5"/>
    <m/>
    <m/>
    <s v="ABC libertas"/>
    <x v="1"/>
    <x v="12"/>
    <x v="64"/>
  </r>
  <r>
    <n v="202301167"/>
    <s v="KAS"/>
    <m/>
    <x v="6"/>
    <x v="34"/>
    <d v="2022-10-21T00:00:00"/>
    <m/>
    <n v="-2.5"/>
    <m/>
    <m/>
    <s v="koffie Hengelo"/>
    <x v="1"/>
    <x v="12"/>
    <x v="66"/>
  </r>
  <r>
    <n v="202305070"/>
    <s v="NL22RABO0381604934"/>
    <s v="EUR"/>
    <x v="0"/>
    <x v="75"/>
    <d v="2023-04-07T00:00:00"/>
    <d v="2023-04-07T00:00:00"/>
    <n v="-2.5"/>
    <n v="70.45"/>
    <m/>
    <s v="Partycentrum SEVENUM"/>
    <x v="1"/>
    <x v="12"/>
    <x v="65"/>
  </r>
  <r>
    <n v="202305072"/>
    <s v="NL22RABO0381604934"/>
    <s v="EUR"/>
    <x v="0"/>
    <x v="75"/>
    <d v="2023-04-09T00:00:00"/>
    <d v="2023-04-09T00:00:00"/>
    <n v="-5.3"/>
    <n v="61.46"/>
    <m/>
    <s v="McDonald's Maasbree MAASBREE"/>
    <x v="1"/>
    <x v="12"/>
    <x v="64"/>
  </r>
  <r>
    <n v="202305080"/>
    <s v="NL22RABO0381604934"/>
    <s v="EUR"/>
    <x v="0"/>
    <x v="75"/>
    <d v="2023-04-13T00:00:00"/>
    <d v="2023-04-13T00:00:00"/>
    <n v="-2.5"/>
    <n v="-6.38"/>
    <m/>
    <s v="Partycentrum SEVENUM"/>
    <x v="1"/>
    <x v="12"/>
    <x v="65"/>
  </r>
  <r>
    <n v="202305088"/>
    <s v="NL22RABO0381604934"/>
    <s v="EUR"/>
    <x v="0"/>
    <x v="75"/>
    <d v="2023-04-19T00:00:00"/>
    <d v="2023-04-19T00:00:00"/>
    <n v="-7"/>
    <n v="99.41"/>
    <m/>
    <s v="Stek Venlo"/>
    <x v="1"/>
    <x v="12"/>
    <x v="66"/>
  </r>
  <r>
    <n v="202305092"/>
    <s v="NL22RABO0381604934"/>
    <s v="EUR"/>
    <x v="0"/>
    <x v="75"/>
    <d v="2023-04-19T00:00:00"/>
    <d v="2023-04-19T00:00:00"/>
    <n v="-12.3"/>
    <n v="62.87"/>
    <m/>
    <s v="Nena Pizza VENLO"/>
    <x v="1"/>
    <x v="12"/>
    <x v="64"/>
  </r>
  <r>
    <n v="202305110"/>
    <s v="NL22RABO0381604934"/>
    <s v="EUR"/>
    <x v="0"/>
    <x v="75"/>
    <d v="2023-04-27T00:00:00"/>
    <d v="2023-04-27T00:00:00"/>
    <n v="-2.4"/>
    <n v="515.15"/>
    <s v="NL35RABO0117713678"/>
    <s v="Partycentrum de Schatber via PAY.nl"/>
    <x v="1"/>
    <x v="12"/>
    <x v="65"/>
  </r>
  <r>
    <n v="202305116"/>
    <s v="NL22RABO0381604934"/>
    <s v="EUR"/>
    <x v="0"/>
    <x v="76"/>
    <d v="2023-05-02T00:00:00"/>
    <d v="2023-05-02T00:00:00"/>
    <n v="-3"/>
    <n v="284.07"/>
    <m/>
    <s v="Partycentrum SEVENUM"/>
    <x v="1"/>
    <x v="12"/>
    <x v="65"/>
  </r>
  <r>
    <n v="9"/>
    <s v="BNPPARIBAS"/>
    <m/>
    <x v="1"/>
    <x v="1"/>
    <d v="2017-01-06T00:00:00"/>
    <d v="2017-01-06T00:00:00"/>
    <n v="-10.9"/>
    <n v="10.9"/>
    <m/>
    <s v="PRLV SEPA CARDIF ASSURANCE VIE ECH/060317 ID EMETT"/>
    <x v="5"/>
    <x v="13"/>
    <x v="69"/>
  </r>
  <r>
    <n v="21"/>
    <s v="BNPPARIBAS"/>
    <m/>
    <x v="1"/>
    <x v="2"/>
    <d v="2017-02-06T00:00:00"/>
    <d v="2017-02-06T00:00:00"/>
    <n v="-10.9"/>
    <n v="10.9"/>
    <m/>
    <s v="PRLV SEPA CARDIF ASSURANCE VIE ECH/060317 ID EMETT"/>
    <x v="5"/>
    <x v="13"/>
    <x v="69"/>
  </r>
  <r>
    <n v="22"/>
    <s v="BNPPARIBAS"/>
    <m/>
    <x v="1"/>
    <x v="2"/>
    <d v="2017-02-24T00:00:00"/>
    <d v="2017-02-24T00:00:00"/>
    <n v="-20"/>
    <n v="20"/>
    <m/>
    <s v="vodafone beltegoed"/>
    <x v="5"/>
    <x v="13"/>
    <x v="70"/>
  </r>
  <r>
    <n v="30"/>
    <s v="BNPPARIBAS"/>
    <m/>
    <x v="1"/>
    <x v="43"/>
    <d v="2017-03-06T00:00:00"/>
    <d v="2017-03-06T00:00:00"/>
    <n v="-10.9"/>
    <n v="10.9"/>
    <m/>
    <s v="PRLV SEPA CARDIF ASSURANCE VIE ECH/060317 ID EMETT"/>
    <x v="5"/>
    <x v="13"/>
    <x v="69"/>
  </r>
  <r>
    <n v="32"/>
    <s v="BNPPARIBAS"/>
    <m/>
    <x v="1"/>
    <x v="43"/>
    <d v="2017-03-20T00:00:00"/>
    <d v="2017-03-20T00:00:00"/>
    <n v="-4.68"/>
    <n v="4.68"/>
    <m/>
    <s v="FACTURE CARTE DU 180317 TUMMEE.COM MONT CARTE 4974XXXX"/>
    <x v="5"/>
    <x v="13"/>
    <x v="71"/>
  </r>
  <r>
    <n v="33"/>
    <s v="BNPPARIBAS"/>
    <m/>
    <x v="1"/>
    <x v="43"/>
    <d v="2017-03-22T00:00:00"/>
    <d v="2017-03-22T00:00:00"/>
    <n v="2.76"/>
    <n v="2.76"/>
    <m/>
    <s v=" REMBOURST CB DU 190317 TUMMEE.COM MONT C"/>
    <x v="5"/>
    <x v="13"/>
    <x v="71"/>
  </r>
  <r>
    <n v="34"/>
    <s v="BNPPARIBAS"/>
    <m/>
    <x v="1"/>
    <x v="1"/>
    <d v="2017-03-27T00:00:00"/>
    <d v="2017-03-27T00:00:00"/>
    <n v="-9.99"/>
    <n v="9.99"/>
    <m/>
    <s v="PRLV SEPA PAYPAL EUROPE S.A.R.L. ET CIE S.C.A ECH/"/>
    <x v="5"/>
    <x v="13"/>
    <x v="72"/>
  </r>
  <r>
    <n v="35"/>
    <s v="BNPPARIBAS"/>
    <m/>
    <x v="1"/>
    <x v="2"/>
    <d v="2017-03-27T00:00:00"/>
    <d v="2017-03-27T00:00:00"/>
    <n v="-9.99"/>
    <n v="9.99"/>
    <m/>
    <s v="PRLV SEPA PAYPAL EUROPE S.A.R.L. ET CIE S.C.A ECH/"/>
    <x v="5"/>
    <x v="13"/>
    <x v="72"/>
  </r>
  <r>
    <n v="36"/>
    <s v="BNPPARIBAS"/>
    <m/>
    <x v="1"/>
    <x v="43"/>
    <d v="2017-03-27T00:00:00"/>
    <d v="2017-03-27T00:00:00"/>
    <n v="-9.99"/>
    <n v="9.99"/>
    <m/>
    <s v="PRLV SEPA PAYPAL EUROPE S.A.R.L. ET CIE S.C.A ECH/"/>
    <x v="5"/>
    <x v="13"/>
    <x v="72"/>
  </r>
  <r>
    <n v="37"/>
    <s v="BNPPARIBAS"/>
    <m/>
    <x v="1"/>
    <x v="1"/>
    <d v="2017-03-27T00:00:00"/>
    <d v="2017-03-27T00:00:00"/>
    <n v="-7"/>
    <n v="7"/>
    <m/>
    <s v="PRLV SEPA PAYPAL EUROPE S.A.R.L. ET CIE S.C.A ECH/"/>
    <x v="5"/>
    <x v="13"/>
    <x v="73"/>
  </r>
  <r>
    <n v="38"/>
    <s v="BNPPARIBAS"/>
    <m/>
    <x v="1"/>
    <x v="2"/>
    <d v="2017-03-27T00:00:00"/>
    <d v="2017-03-27T00:00:00"/>
    <n v="-7"/>
    <n v="7"/>
    <m/>
    <s v="PRLV SEPA PAYPAL EUROPE S.A.R.L. ET CIE S.C.A ECH/"/>
    <x v="5"/>
    <x v="13"/>
    <x v="73"/>
  </r>
  <r>
    <n v="39"/>
    <s v="BNPPARIBAS"/>
    <m/>
    <x v="1"/>
    <x v="43"/>
    <d v="2017-03-27T00:00:00"/>
    <d v="2017-03-27T00:00:00"/>
    <n v="-7"/>
    <n v="7"/>
    <m/>
    <s v="PRLV SEPA PAYPAL EUROPE S.A.R.L. ET CIE S.C.A ECH/"/>
    <x v="5"/>
    <x v="13"/>
    <x v="73"/>
  </r>
  <r>
    <n v="42"/>
    <s v="BNPPARIBAS"/>
    <m/>
    <x v="1"/>
    <x v="44"/>
    <d v="2017-04-04T00:00:00"/>
    <d v="2017-04-04T00:00:00"/>
    <n v="-8.7799999999999994"/>
    <n v="8.7799999999999994"/>
    <m/>
    <s v="COMMISSIONS COTISATION ESPRIT LIBRE"/>
    <x v="5"/>
    <x v="13"/>
    <x v="74"/>
  </r>
  <r>
    <n v="43"/>
    <s v="BNPPARIBAS"/>
    <m/>
    <x v="1"/>
    <x v="44"/>
    <d v="2017-04-05T00:00:00"/>
    <d v="2017-04-05T00:00:00"/>
    <n v="-10.9"/>
    <n v="10.9"/>
    <m/>
    <s v="PRLV SEPA CARDIF ASSURANCE VIE ECH/050417 ID EMETT"/>
    <x v="5"/>
    <x v="13"/>
    <x v="69"/>
  </r>
  <r>
    <n v="44"/>
    <s v="BNPPARIBAS"/>
    <m/>
    <x v="1"/>
    <x v="44"/>
    <d v="2017-04-25T00:00:00"/>
    <d v="2017-04-25T00:00:00"/>
    <n v="-9.99"/>
    <n v="9.99"/>
    <m/>
    <s v="PRLV SEPA PAYPAL EUROPE S.A.R.L. ET CIE S.C.A ECH/"/>
    <x v="5"/>
    <x v="13"/>
    <x v="72"/>
  </r>
  <r>
    <n v="45"/>
    <s v="BNPPARIBAS"/>
    <m/>
    <x v="1"/>
    <x v="44"/>
    <d v="2017-04-25T00:00:00"/>
    <d v="2017-04-25T00:00:00"/>
    <n v="-7"/>
    <n v="7"/>
    <m/>
    <s v="PRLV SEPA PAYPAL EUROPE S.A.R.L. ET CIE S.C.A ECH/"/>
    <x v="5"/>
    <x v="13"/>
    <x v="73"/>
  </r>
  <r>
    <n v="46"/>
    <s v="BNPPARIBAS"/>
    <m/>
    <x v="1"/>
    <x v="45"/>
    <d v="2017-05-03T00:00:00"/>
    <d v="2017-05-03T00:00:00"/>
    <n v="-8.7799999999999994"/>
    <n v="8.7799999999999994"/>
    <m/>
    <s v="COMMISSIONS COTISATION ESPRIT LIBRE"/>
    <x v="5"/>
    <x v="13"/>
    <x v="74"/>
  </r>
  <r>
    <n v="48"/>
    <s v="BNPPARIBAS"/>
    <m/>
    <x v="1"/>
    <x v="45"/>
    <d v="2017-05-05T00:00:00"/>
    <d v="2017-05-05T00:00:00"/>
    <n v="-10.9"/>
    <n v="10.9"/>
    <m/>
    <s v="PRLV SEPA CARDIF ASSURANCE VIE ECH/050517 ID EMETT"/>
    <x v="5"/>
    <x v="13"/>
    <x v="69"/>
  </r>
  <r>
    <n v="49"/>
    <s v="BNPPARIBAS"/>
    <m/>
    <x v="1"/>
    <x v="45"/>
    <d v="2017-05-23T00:00:00"/>
    <d v="2017-05-23T00:00:00"/>
    <n v="-7"/>
    <n v="7"/>
    <m/>
    <s v="PRLV SEPA PAYPAL EUROPE S.A.R.L. ET CIE S.C.A ECH/"/>
    <x v="5"/>
    <x v="13"/>
    <x v="73"/>
  </r>
  <r>
    <n v="50"/>
    <s v="BNPPARIBAS"/>
    <m/>
    <x v="1"/>
    <x v="45"/>
    <d v="2017-05-26T00:00:00"/>
    <d v="2017-05-26T00:00:00"/>
    <n v="-9.99"/>
    <n v="9.99"/>
    <m/>
    <s v="PRLV SEPA PAYPAL EUROPE S.A.R.L. ET CIE S.C.A ECH/"/>
    <x v="5"/>
    <x v="13"/>
    <x v="72"/>
  </r>
  <r>
    <n v="51"/>
    <s v="BNPPARIBAS"/>
    <m/>
    <x v="1"/>
    <x v="46"/>
    <d v="2017-06-02T00:00:00"/>
    <d v="2017-06-02T00:00:00"/>
    <n v="-26"/>
    <n v="26"/>
    <m/>
    <s v="COMMISSIONS FORMULE BNP NET. CARTE N : 0004974014048"/>
    <x v="5"/>
    <x v="13"/>
    <x v="74"/>
  </r>
  <r>
    <n v="52"/>
    <s v="BNPPARIBAS"/>
    <m/>
    <x v="1"/>
    <x v="46"/>
    <d v="2017-06-02T00:00:00"/>
    <d v="2017-06-02T00:00:00"/>
    <n v="-8.7799999999999994"/>
    <n v="8.7799999999999994"/>
    <m/>
    <s v="COMMISSIONS COTISATION ESPRIT LIBRE"/>
    <x v="5"/>
    <x v="13"/>
    <x v="74"/>
  </r>
  <r>
    <n v="53"/>
    <s v="BNPPARIBAS"/>
    <m/>
    <x v="1"/>
    <x v="46"/>
    <d v="2017-06-06T00:00:00"/>
    <d v="2017-06-06T00:00:00"/>
    <n v="-10.9"/>
    <n v="10.9"/>
    <m/>
    <s v="PRLV SEPA CARDIF ASSURANCE VIE ECH/060617 ID EMETT"/>
    <x v="5"/>
    <x v="13"/>
    <x v="69"/>
  </r>
  <r>
    <n v="55"/>
    <s v="BNPPARIBAS"/>
    <m/>
    <x v="1"/>
    <x v="46"/>
    <d v="2017-06-20T00:00:00"/>
    <d v="2017-06-20T00:00:00"/>
    <n v="-4.55"/>
    <n v="4.55"/>
    <m/>
    <s v="FACTURE CARTE DU 180617 TUMMEE.COM MONT CARTE 4974XXXX"/>
    <x v="5"/>
    <x v="13"/>
    <x v="71"/>
  </r>
  <r>
    <n v="56"/>
    <s v="BNPPARIBAS"/>
    <m/>
    <x v="1"/>
    <x v="46"/>
    <d v="2017-06-23T00:00:00"/>
    <d v="2017-06-23T00:00:00"/>
    <n v="-7"/>
    <n v="7"/>
    <m/>
    <s v="PRLV SEPA PAYPAL EUROPE S.A.R.L. ET CIE S.C.A ECH/"/>
    <x v="5"/>
    <x v="13"/>
    <x v="73"/>
  </r>
  <r>
    <n v="57"/>
    <s v="BNPPARIBAS"/>
    <m/>
    <x v="1"/>
    <x v="46"/>
    <d v="2017-06-27T00:00:00"/>
    <d v="2017-06-27T00:00:00"/>
    <n v="-9.99"/>
    <n v="9.99"/>
    <m/>
    <s v="PRLV SEPA PAYPAL EUROPE S.A.R.L. ET CIE S.C.A ECH/"/>
    <x v="5"/>
    <x v="13"/>
    <x v="72"/>
  </r>
  <r>
    <n v="59"/>
    <s v="BNPPARIBAS"/>
    <m/>
    <x v="1"/>
    <x v="36"/>
    <d v="2017-07-04T00:00:00"/>
    <d v="2017-07-04T00:00:00"/>
    <n v="-14.44"/>
    <n v="14.44"/>
    <m/>
    <s v="FACTURE CARTE DU 020717 OMSTARS.COM OMS CARTE 4974XXXX"/>
    <x v="5"/>
    <x v="13"/>
    <x v="75"/>
  </r>
  <r>
    <n v="60"/>
    <s v="BNPPARIBAS"/>
    <m/>
    <x v="1"/>
    <x v="36"/>
    <d v="2017-07-04T00:00:00"/>
    <d v="2017-07-04T00:00:00"/>
    <n v="-8.7799999999999994"/>
    <n v="8.7799999999999994"/>
    <m/>
    <s v="COMMISSIONS COTISATION ESPRIT LIBRE"/>
    <x v="5"/>
    <x v="13"/>
    <x v="74"/>
  </r>
  <r>
    <n v="61"/>
    <s v="BNPPARIBAS"/>
    <m/>
    <x v="1"/>
    <x v="36"/>
    <d v="2017-07-05T00:00:00"/>
    <d v="2017-07-05T00:00:00"/>
    <n v="-10.9"/>
    <n v="10.9"/>
    <m/>
    <s v="PRLV SEPA CARDIF ASSURANCE VIE ECH/050717 ID EMETT"/>
    <x v="5"/>
    <x v="13"/>
    <x v="69"/>
  </r>
  <r>
    <n v="62"/>
    <s v="BNPPARIBAS"/>
    <m/>
    <x v="1"/>
    <x v="36"/>
    <d v="2017-07-20T00:00:00"/>
    <d v="2017-07-20T00:00:00"/>
    <n v="-42.38"/>
    <n v="42.38"/>
    <m/>
    <s v="PRLV SEPA PAYPAL EUROPE S.A.R.L. ET CIE S.C.A ECH/"/>
    <x v="5"/>
    <x v="13"/>
    <x v="71"/>
  </r>
  <r>
    <n v="63"/>
    <s v="BNPPARIBAS"/>
    <m/>
    <x v="1"/>
    <x v="36"/>
    <d v="2017-07-20T00:00:00"/>
    <d v="2017-07-20T00:00:00"/>
    <n v="-4.43"/>
    <n v="4.43"/>
    <m/>
    <s v="FACTURE CARTE DU 180717 TUMMEE.COM MONT CARTE 4974XXXX"/>
    <x v="5"/>
    <x v="13"/>
    <x v="71"/>
  </r>
  <r>
    <n v="64"/>
    <s v="BNPPARIBAS"/>
    <m/>
    <x v="1"/>
    <x v="36"/>
    <d v="2017-07-25T00:00:00"/>
    <d v="2017-07-25T00:00:00"/>
    <n v="-7"/>
    <n v="7"/>
    <m/>
    <s v="PRLV SEPA PAYPAL EUROPE S.A.R.L. ET CIE S.C.A ECH/"/>
    <x v="5"/>
    <x v="13"/>
    <x v="73"/>
  </r>
  <r>
    <n v="65"/>
    <s v="BNPPARIBAS"/>
    <m/>
    <x v="1"/>
    <x v="36"/>
    <d v="2017-07-26T00:00:00"/>
    <d v="2017-07-26T00:00:00"/>
    <n v="-9.99"/>
    <n v="9.99"/>
    <m/>
    <s v="PRLV SEPA PAYPAL EUROPE S.A.R.L. ET CIE S.C.A ECH/"/>
    <x v="5"/>
    <x v="13"/>
    <x v="72"/>
  </r>
  <r>
    <n v="66"/>
    <s v="BNPPARIBAS"/>
    <m/>
    <x v="1"/>
    <x v="47"/>
    <d v="2017-08-02T00:00:00"/>
    <d v="2017-08-02T00:00:00"/>
    <n v="-8.7799999999999994"/>
    <n v="8.7799999999999994"/>
    <m/>
    <s v="COMMISSIONS COTISATION ESPRIT LIBRE"/>
    <x v="5"/>
    <x v="13"/>
    <x v="74"/>
  </r>
  <r>
    <n v="68"/>
    <s v="BNPPARIBAS"/>
    <m/>
    <x v="1"/>
    <x v="47"/>
    <d v="2017-08-04T00:00:00"/>
    <d v="2017-08-04T00:00:00"/>
    <n v="-13.97"/>
    <n v="13.97"/>
    <m/>
    <s v="FACTURE CARTE DU 020817 OMSTARS SUBSCRI CARTE 4974XXXX"/>
    <x v="5"/>
    <x v="13"/>
    <x v="75"/>
  </r>
  <r>
    <n v="69"/>
    <s v="BNPPARIBAS"/>
    <m/>
    <x v="1"/>
    <x v="47"/>
    <d v="2017-08-07T00:00:00"/>
    <d v="2017-08-07T00:00:00"/>
    <n v="-10.9"/>
    <n v="10.9"/>
    <m/>
    <s v="PRLV SEPA CARDIF ASSURANCE VIE ECH/070817 ID EMETT"/>
    <x v="5"/>
    <x v="13"/>
    <x v="69"/>
  </r>
  <r>
    <n v="70"/>
    <s v="BNPPARIBAS"/>
    <m/>
    <x v="1"/>
    <x v="47"/>
    <d v="2017-08-23T00:00:00"/>
    <d v="2017-08-23T00:00:00"/>
    <n v="-7"/>
    <n v="7"/>
    <m/>
    <s v="PRLV SEPA PAYPAL EUROPE S.A.R.L. ET CIE S.C.A ECH/"/>
    <x v="5"/>
    <x v="13"/>
    <x v="73"/>
  </r>
  <r>
    <n v="71"/>
    <s v="BNPPARIBAS"/>
    <m/>
    <x v="1"/>
    <x v="47"/>
    <d v="2017-08-29T00:00:00"/>
    <d v="2017-08-29T00:00:00"/>
    <n v="-9.99"/>
    <n v="9.99"/>
    <m/>
    <s v="PRLV SEPA PAYPAL EUROPE S.A.R.L. ET CIE S.C.A ECH/"/>
    <x v="5"/>
    <x v="13"/>
    <x v="72"/>
  </r>
  <r>
    <n v="72"/>
    <s v="BNPPARIBAS"/>
    <m/>
    <x v="1"/>
    <x v="48"/>
    <d v="2017-09-04T00:00:00"/>
    <d v="2017-09-04T00:00:00"/>
    <n v="-8.7799999999999994"/>
    <n v="8.7799999999999994"/>
    <m/>
    <s v="COMMISSIONS COTISATION ESPRIT LIBRE"/>
    <x v="5"/>
    <x v="13"/>
    <x v="74"/>
  </r>
  <r>
    <n v="74"/>
    <s v="BNPPARIBAS"/>
    <m/>
    <x v="1"/>
    <x v="48"/>
    <d v="2017-09-05T00:00:00"/>
    <d v="2017-09-05T00:00:00"/>
    <n v="-10.9"/>
    <n v="10.9"/>
    <m/>
    <s v="PRLV SEPA CARDIF ASSURANCE VIE ECH/050917 ID EMETT"/>
    <x v="5"/>
    <x v="13"/>
    <x v="69"/>
  </r>
  <r>
    <n v="75"/>
    <s v="BNPPARIBAS"/>
    <m/>
    <x v="1"/>
    <x v="48"/>
    <d v="2017-09-25T00:00:00"/>
    <d v="2017-09-25T00:00:00"/>
    <n v="-7"/>
    <n v="7"/>
    <m/>
    <s v="PRLV SEPA PAYPAL EUROPE S.A.R.L. ET CIE S.C.A ECH/"/>
    <x v="5"/>
    <x v="13"/>
    <x v="73"/>
  </r>
  <r>
    <n v="76"/>
    <s v="BNPPARIBAS"/>
    <m/>
    <x v="1"/>
    <x v="48"/>
    <d v="2017-09-28T00:00:00"/>
    <d v="2017-09-28T00:00:00"/>
    <n v="-9.99"/>
    <n v="9.99"/>
    <m/>
    <s v="PRLV SEPA PAYPAL EUROPE S.A.R.L. ET CIE S.C.A ECH/"/>
    <x v="5"/>
    <x v="13"/>
    <x v="72"/>
  </r>
  <r>
    <n v="77"/>
    <s v="BNPPARIBAS"/>
    <m/>
    <x v="1"/>
    <x v="3"/>
    <d v="2017-10-03T00:00:00"/>
    <d v="2017-10-03T00:00:00"/>
    <n v="-8.7799999999999994"/>
    <n v="8.7799999999999994"/>
    <m/>
    <s v="COMMISSIONS COTISATION ESPRIT LIBRE"/>
    <x v="5"/>
    <x v="13"/>
    <x v="74"/>
  </r>
  <r>
    <n v="79"/>
    <s v="BNPPARIBAS"/>
    <m/>
    <x v="1"/>
    <x v="3"/>
    <d v="2017-10-05T00:00:00"/>
    <d v="2017-10-05T00:00:00"/>
    <n v="-10.9"/>
    <n v="10.9"/>
    <m/>
    <s v="PRLV SEPA CARDIF ASSURANCE VIE ECH/051017 ID EMETT"/>
    <x v="5"/>
    <x v="13"/>
    <x v="69"/>
  </r>
  <r>
    <n v="82"/>
    <s v="BNPPARIBAS"/>
    <m/>
    <x v="1"/>
    <x v="3"/>
    <d v="2017-10-24T00:00:00"/>
    <d v="2017-10-24T00:00:00"/>
    <n v="-7"/>
    <n v="7"/>
    <m/>
    <s v="PRLV SEPA PAYPAL EUROPE S.A.R.L. ET CIE S.C.A ECH/"/>
    <x v="5"/>
    <x v="13"/>
    <x v="73"/>
  </r>
  <r>
    <n v="84"/>
    <s v="BNPPARIBAS"/>
    <m/>
    <x v="1"/>
    <x v="3"/>
    <d v="2017-10-31T00:00:00"/>
    <d v="2017-10-31T00:00:00"/>
    <n v="-9.99"/>
    <n v="9.99"/>
    <m/>
    <s v="PRLV SEPA PAYPAL EUROPE S.A.R.L. ET CIE S.C.A ECH/"/>
    <x v="5"/>
    <x v="13"/>
    <x v="72"/>
  </r>
  <r>
    <n v="85"/>
    <s v="BNPPARIBAS"/>
    <m/>
    <x v="1"/>
    <x v="4"/>
    <d v="2017-11-03T00:00:00"/>
    <d v="2017-11-03T00:00:00"/>
    <n v="-8.7799999999999994"/>
    <n v="8.7799999999999994"/>
    <m/>
    <s v="COMMISSIONS COTISATION ESPRIT LIBRE"/>
    <x v="5"/>
    <x v="13"/>
    <x v="74"/>
  </r>
  <r>
    <n v="87"/>
    <s v="BNPPARIBAS"/>
    <m/>
    <x v="1"/>
    <x v="4"/>
    <d v="2017-11-06T00:00:00"/>
    <d v="2017-11-06T00:00:00"/>
    <n v="-10.9"/>
    <n v="10.9"/>
    <m/>
    <s v="PRLV SEPA CARDIF ASSURANCE VIE ECH/061117 ID EMETT"/>
    <x v="5"/>
    <x v="13"/>
    <x v="69"/>
  </r>
  <r>
    <n v="93"/>
    <s v="BNPPARIBAS"/>
    <m/>
    <x v="1"/>
    <x v="4"/>
    <d v="2017-11-23T00:00:00"/>
    <d v="2017-11-23T00:00:00"/>
    <n v="-7"/>
    <n v="7"/>
    <m/>
    <s v="PRLV SEPA PAYPAL EUROPE S.A.R.L. ET CIE S.C.A ECH/"/>
    <x v="5"/>
    <x v="13"/>
    <x v="73"/>
  </r>
  <r>
    <n v="94"/>
    <s v="BNPPARIBAS"/>
    <m/>
    <x v="1"/>
    <x v="4"/>
    <d v="2017-11-30T00:00:00"/>
    <d v="2017-11-30T00:00:00"/>
    <n v="-9.99"/>
    <n v="9.99"/>
    <m/>
    <s v="PRLV SEPA PAYPAL EUROPE S.A.R.L. ET CIE S.C.A ECH/"/>
    <x v="5"/>
    <x v="13"/>
    <x v="72"/>
  </r>
  <r>
    <n v="95"/>
    <s v="BNPPARIBAS"/>
    <m/>
    <x v="1"/>
    <x v="5"/>
    <d v="2017-12-04T00:00:00"/>
    <d v="2017-12-04T00:00:00"/>
    <n v="-8.7799999999999994"/>
    <n v="8.7799999999999994"/>
    <m/>
    <s v="COMMISSIONS COTISATION ESPRIT LIBRE"/>
    <x v="5"/>
    <x v="13"/>
    <x v="74"/>
  </r>
  <r>
    <n v="96"/>
    <s v="BNPPARIBAS"/>
    <m/>
    <x v="1"/>
    <x v="5"/>
    <d v="2017-12-05T00:00:00"/>
    <d v="2017-12-05T00:00:00"/>
    <n v="-10.9"/>
    <n v="10.9"/>
    <m/>
    <s v="PRLV SEPA CARDIF ASSURANCE VIE ECH/051217 ID EMETT"/>
    <x v="5"/>
    <x v="13"/>
    <x v="69"/>
  </r>
  <r>
    <n v="102"/>
    <s v="BNPPARIBAS"/>
    <m/>
    <x v="1"/>
    <x v="5"/>
    <d v="2017-12-28T00:00:00"/>
    <d v="2017-12-28T00:00:00"/>
    <n v="-7"/>
    <n v="7"/>
    <m/>
    <s v="PRLV SEPA PAYPAL EUROPE S.A.R.L. ET CIE S.C.A ECH/"/>
    <x v="5"/>
    <x v="13"/>
    <x v="73"/>
  </r>
  <r>
    <n v="173"/>
    <s v="KAS"/>
    <m/>
    <x v="1"/>
    <x v="44"/>
    <d v="2017-04-17T00:00:00"/>
    <d v="2017-04-17T00:00:00"/>
    <n v="-10"/>
    <n v="10"/>
    <m/>
    <s v="beltegoed"/>
    <x v="5"/>
    <x v="13"/>
    <x v="76"/>
  </r>
  <r>
    <n v="250"/>
    <s v="KAS"/>
    <m/>
    <x v="1"/>
    <x v="45"/>
    <d v="2017-05-29T00:00:00"/>
    <d v="2017-05-29T00:00:00"/>
    <n v="-10"/>
    <n v="10"/>
    <m/>
    <s v="beltegoed kaart A"/>
    <x v="5"/>
    <x v="13"/>
    <x v="76"/>
  </r>
  <r>
    <n v="263"/>
    <s v="KAS"/>
    <m/>
    <x v="1"/>
    <x v="46"/>
    <d v="2017-06-10T00:00:00"/>
    <d v="2017-06-10T00:00:00"/>
    <n v="-10"/>
    <n v="10"/>
    <m/>
    <s v="beltegoed mobiel"/>
    <x v="5"/>
    <x v="13"/>
    <x v="76"/>
  </r>
  <r>
    <n v="283"/>
    <s v="KAS"/>
    <m/>
    <x v="1"/>
    <x v="46"/>
    <d v="2017-06-12T00:00:00"/>
    <d v="2017-06-12T00:00:00"/>
    <n v="-10"/>
    <n v="10"/>
    <m/>
    <s v="beltegoed19/6"/>
    <x v="5"/>
    <x v="13"/>
    <x v="76"/>
  </r>
  <r>
    <n v="296"/>
    <s v="KAS"/>
    <m/>
    <x v="1"/>
    <x v="46"/>
    <d v="2017-06-29T00:00:00"/>
    <d v="2017-06-29T00:00:00"/>
    <n v="-10"/>
    <n v="10"/>
    <m/>
    <s v="beltegoed"/>
    <x v="5"/>
    <x v="13"/>
    <x v="76"/>
  </r>
  <r>
    <n v="302"/>
    <s v="KAS"/>
    <m/>
    <x v="1"/>
    <x v="36"/>
    <d v="2017-07-05T00:00:00"/>
    <d v="2017-07-05T00:00:00"/>
    <n v="-10"/>
    <n v="10"/>
    <m/>
    <s v="beltegoed"/>
    <x v="5"/>
    <x v="13"/>
    <x v="76"/>
  </r>
  <r>
    <n v="313"/>
    <s v="KAS"/>
    <m/>
    <x v="1"/>
    <x v="36"/>
    <d v="2017-07-16T00:00:00"/>
    <d v="2017-07-16T00:00:00"/>
    <n v="-20"/>
    <n v="20"/>
    <m/>
    <s v="tre 25/7"/>
    <x v="5"/>
    <x v="13"/>
    <x v="76"/>
  </r>
  <r>
    <n v="338"/>
    <s v="KAS"/>
    <m/>
    <x v="1"/>
    <x v="47"/>
    <d v="2017-08-02T00:00:00"/>
    <d v="2017-08-02T00:00:00"/>
    <n v="-10"/>
    <n v="10"/>
    <m/>
    <s v="tre"/>
    <x v="5"/>
    <x v="13"/>
    <x v="76"/>
  </r>
  <r>
    <n v="346"/>
    <s v="KAS"/>
    <m/>
    <x v="1"/>
    <x v="47"/>
    <d v="2017-08-08T00:00:00"/>
    <d v="2017-08-08T00:00:00"/>
    <n v="-10"/>
    <n v="10"/>
    <m/>
    <s v="beltegoed"/>
    <x v="5"/>
    <x v="13"/>
    <x v="76"/>
  </r>
  <r>
    <n v="362"/>
    <s v="KAS"/>
    <m/>
    <x v="1"/>
    <x v="47"/>
    <d v="2017-08-21T00:00:00"/>
    <d v="2017-08-21T00:00:00"/>
    <n v="-30"/>
    <n v="30"/>
    <m/>
    <s v="beltegoed (10 set voor rob)"/>
    <x v="5"/>
    <x v="13"/>
    <x v="76"/>
  </r>
  <r>
    <n v="423"/>
    <s v="NL22RABO0381604934"/>
    <m/>
    <x v="1"/>
    <x v="1"/>
    <d v="2017-01-04T00:00:00"/>
    <d v="2017-01-04T00:00:00"/>
    <n v="-4.5"/>
    <n v="4.5"/>
    <m/>
    <s v="Kosten"/>
    <x v="5"/>
    <x v="13"/>
    <x v="74"/>
  </r>
  <r>
    <n v="425"/>
    <s v="NL22RABO0381604934"/>
    <m/>
    <x v="1"/>
    <x v="1"/>
    <d v="2017-01-23T00:00:00"/>
    <d v="2017-01-23T00:00:00"/>
    <n v="-62.9"/>
    <n v="62.9"/>
    <m/>
    <s v="NS GROEP IZ NS REIZIGERS"/>
    <x v="5"/>
    <x v="13"/>
    <x v="77"/>
  </r>
  <r>
    <n v="426"/>
    <s v="NL22RABO0381604934"/>
    <m/>
    <x v="1"/>
    <x v="1"/>
    <d v="2017-01-25T00:00:00"/>
    <d v="2017-01-25T00:00:00"/>
    <n v="-97.88"/>
    <n v="97.88"/>
    <m/>
    <s v="DUO Hoofdrekening"/>
    <x v="5"/>
    <x v="13"/>
    <x v="78"/>
  </r>
  <r>
    <n v="429"/>
    <s v="NL22RABO0381604934"/>
    <m/>
    <x v="1"/>
    <x v="2"/>
    <d v="2017-02-03T00:00:00"/>
    <d v="2017-02-03T00:00:00"/>
    <n v="-4.5"/>
    <n v="4.5"/>
    <m/>
    <s v="Kosten"/>
    <x v="5"/>
    <x v="13"/>
    <x v="74"/>
  </r>
  <r>
    <n v="430"/>
    <s v="NL22RABO0381604934"/>
    <m/>
    <x v="1"/>
    <x v="2"/>
    <d v="2017-02-07T00:00:00"/>
    <d v="2017-02-07T00:00:00"/>
    <n v="-16.5"/>
    <n v="16.5"/>
    <m/>
    <s v="Starthosting"/>
    <x v="5"/>
    <x v="13"/>
    <x v="79"/>
  </r>
  <r>
    <n v="431"/>
    <s v="NL22RABO0381604934"/>
    <m/>
    <x v="1"/>
    <x v="2"/>
    <d v="2017-02-22T00:00:00"/>
    <d v="2017-02-22T00:00:00"/>
    <n v="-16.5"/>
    <n v="16.5"/>
    <m/>
    <s v="Starthosting"/>
    <x v="5"/>
    <x v="13"/>
    <x v="79"/>
  </r>
  <r>
    <n v="439"/>
    <s v="NL22RABO0381604934"/>
    <m/>
    <x v="1"/>
    <x v="2"/>
    <d v="2017-02-27T00:00:00"/>
    <d v="2017-02-27T00:00:00"/>
    <n v="-97.88"/>
    <n v="97.88"/>
    <m/>
    <s v="DUO Hoofdrekening"/>
    <x v="5"/>
    <x v="13"/>
    <x v="78"/>
  </r>
  <r>
    <n v="450"/>
    <s v="NL22RABO0381604934"/>
    <m/>
    <x v="1"/>
    <x v="43"/>
    <d v="2017-03-04T00:00:00"/>
    <d v="2017-03-04T00:00:00"/>
    <n v="-9"/>
    <n v="9"/>
    <m/>
    <s v="Kosten"/>
    <x v="5"/>
    <x v="13"/>
    <x v="74"/>
  </r>
  <r>
    <n v="456"/>
    <s v="NL22RABO0381604934"/>
    <m/>
    <x v="1"/>
    <x v="43"/>
    <d v="2017-03-07T00:00:00"/>
    <d v="2017-03-07T00:00:00"/>
    <n v="4.5"/>
    <n v="4.5"/>
    <m/>
    <s v="Kosten"/>
    <x v="5"/>
    <x v="13"/>
    <x v="74"/>
  </r>
  <r>
    <n v="478"/>
    <s v="NL22RABO0381604934"/>
    <m/>
    <x v="1"/>
    <x v="43"/>
    <d v="2017-03-14T00:00:00"/>
    <d v="2017-03-14T00:00:00"/>
    <n v="-3.7"/>
    <n v="3.7"/>
    <m/>
    <s v="UNIVE STAD EN LAND BV"/>
    <x v="5"/>
    <x v="13"/>
    <x v="80"/>
  </r>
  <r>
    <n v="514"/>
    <s v="NL22RABO0381604934"/>
    <m/>
    <x v="1"/>
    <x v="43"/>
    <d v="2017-03-23T00:00:00"/>
    <d v="2017-03-23T00:00:00"/>
    <n v="-3.7"/>
    <n v="3.7"/>
    <m/>
    <s v="UNIVE STAD EN LAND BV"/>
    <x v="5"/>
    <x v="13"/>
    <x v="80"/>
  </r>
  <r>
    <n v="516"/>
    <s v="NL22RABO0381604934"/>
    <m/>
    <x v="1"/>
    <x v="43"/>
    <d v="2017-03-27T00:00:00"/>
    <d v="2017-03-27T00:00:00"/>
    <n v="-97.88"/>
    <n v="97.88"/>
    <m/>
    <s v="DUO Hoofdrekening"/>
    <x v="5"/>
    <x v="13"/>
    <x v="78"/>
  </r>
  <r>
    <n v="523"/>
    <s v="NL22RABO0381604934"/>
    <m/>
    <x v="1"/>
    <x v="43"/>
    <d v="2017-03-30T00:00:00"/>
    <d v="2017-03-30T00:00:00"/>
    <n v="-20"/>
    <n v="20"/>
    <m/>
    <s v="TRE                   \ROMA         \"/>
    <x v="5"/>
    <x v="13"/>
    <x v="76"/>
  </r>
  <r>
    <n v="524"/>
    <s v="NL22RABO0381604934"/>
    <m/>
    <x v="1"/>
    <x v="43"/>
    <d v="2017-03-30T00:00:00"/>
    <d v="2017-03-30T00:00:00"/>
    <n v="-20"/>
    <n v="20"/>
    <m/>
    <s v="TRE                   \ROMA         \"/>
    <x v="5"/>
    <x v="13"/>
    <x v="76"/>
  </r>
  <r>
    <n v="525"/>
    <s v="NL22RABO0381604934"/>
    <m/>
    <x v="1"/>
    <x v="43"/>
    <d v="2017-03-30T00:00:00"/>
    <d v="2017-03-30T00:00:00"/>
    <n v="-30"/>
    <n v="30"/>
    <m/>
    <s v="TRE                   \ROMA         \"/>
    <x v="5"/>
    <x v="13"/>
    <x v="76"/>
  </r>
  <r>
    <n v="531"/>
    <s v="NL22RABO0381604934"/>
    <m/>
    <x v="1"/>
    <x v="44"/>
    <d v="2017-04-08T00:00:00"/>
    <d v="2017-04-08T00:00:00"/>
    <n v="-4.5999999999999996"/>
    <n v="4.5999999999999996"/>
    <m/>
    <s v="Kosten"/>
    <x v="5"/>
    <x v="13"/>
    <x v="74"/>
  </r>
  <r>
    <n v="536"/>
    <s v="NL22RABO0381604934"/>
    <m/>
    <x v="1"/>
    <x v="44"/>
    <d v="2017-04-12T00:00:00"/>
    <d v="2017-04-12T00:00:00"/>
    <n v="-25"/>
    <n v="25"/>
    <m/>
    <s v="RET ONE SRL           \ROMA         \"/>
    <x v="5"/>
    <x v="13"/>
    <x v="76"/>
  </r>
  <r>
    <n v="540"/>
    <s v="NL22RABO0381604934"/>
    <m/>
    <x v="1"/>
    <x v="44"/>
    <d v="2017-04-19T00:00:00"/>
    <d v="2017-04-19T00:00:00"/>
    <n v="-30"/>
    <n v="30"/>
    <m/>
    <s v="TRE                   \ROMA         \"/>
    <x v="5"/>
    <x v="13"/>
    <x v="76"/>
  </r>
  <r>
    <n v="543"/>
    <s v="NL22RABO0381604934"/>
    <m/>
    <x v="1"/>
    <x v="44"/>
    <d v="2017-04-25T00:00:00"/>
    <d v="2017-04-25T00:00:00"/>
    <n v="-97.88"/>
    <n v="97.88"/>
    <m/>
    <s v="DUO Hoofdrekening"/>
    <x v="5"/>
    <x v="13"/>
    <x v="78"/>
  </r>
  <r>
    <n v="545"/>
    <s v="NL22RABO0381604934"/>
    <m/>
    <x v="1"/>
    <x v="44"/>
    <d v="2017-04-27T00:00:00"/>
    <d v="2017-04-27T00:00:00"/>
    <n v="-327.37"/>
    <n v="327.37"/>
    <m/>
    <s v="NV UNIVE ZORG"/>
    <x v="5"/>
    <x v="13"/>
    <x v="81"/>
  </r>
  <r>
    <n v="546"/>
    <s v="NL22RABO0381604934"/>
    <m/>
    <x v="1"/>
    <x v="44"/>
    <d v="2017-04-27T00:00:00"/>
    <d v="2017-04-27T00:00:00"/>
    <n v="-3.7"/>
    <n v="3.7"/>
    <m/>
    <s v="UNIVE STAD EN LAND BV"/>
    <x v="5"/>
    <x v="13"/>
    <x v="80"/>
  </r>
  <r>
    <n v="553"/>
    <s v="NL22RABO0381604934"/>
    <m/>
    <x v="1"/>
    <x v="45"/>
    <d v="2017-05-04T00:00:00"/>
    <d v="2017-05-04T00:00:00"/>
    <n v="-4.5999999999999996"/>
    <n v="4.5999999999999996"/>
    <m/>
    <s v="Kosten"/>
    <x v="5"/>
    <x v="13"/>
    <x v="74"/>
  </r>
  <r>
    <n v="554"/>
    <s v="NL22RABO0381604934"/>
    <m/>
    <x v="1"/>
    <x v="45"/>
    <d v="2017-05-05T00:00:00"/>
    <d v="2017-05-05T00:00:00"/>
    <n v="-30"/>
    <n v="30"/>
    <m/>
    <s v="TRE                   \ROMA         \"/>
    <x v="5"/>
    <x v="13"/>
    <x v="76"/>
  </r>
  <r>
    <n v="555"/>
    <s v="NL22RABO0381604934"/>
    <m/>
    <x v="1"/>
    <x v="45"/>
    <d v="2017-05-10T00:00:00"/>
    <d v="2017-05-10T00:00:00"/>
    <n v="-49.5"/>
    <n v="49.5"/>
    <m/>
    <s v="Starthosting"/>
    <x v="5"/>
    <x v="13"/>
    <x v="79"/>
  </r>
  <r>
    <n v="562"/>
    <s v="NL22RABO0381604934"/>
    <m/>
    <x v="1"/>
    <x v="45"/>
    <d v="2017-05-25T00:00:00"/>
    <d v="2017-05-25T00:00:00"/>
    <n v="-3.7"/>
    <n v="3.7"/>
    <m/>
    <s v="UNIVE STAD EN LAND BV"/>
    <x v="5"/>
    <x v="13"/>
    <x v="80"/>
  </r>
  <r>
    <n v="563"/>
    <s v="NL22RABO0381604934"/>
    <m/>
    <x v="1"/>
    <x v="45"/>
    <d v="2017-05-25T00:00:00"/>
    <d v="2017-05-25T00:00:00"/>
    <n v="-97.88"/>
    <n v="97.88"/>
    <m/>
    <s v="DUO Hoofdrekening"/>
    <x v="5"/>
    <x v="13"/>
    <x v="78"/>
  </r>
  <r>
    <n v="565"/>
    <s v="NL22RABO0381604934"/>
    <m/>
    <x v="1"/>
    <x v="45"/>
    <d v="2017-05-29T00:00:00"/>
    <d v="2017-05-29T00:00:00"/>
    <n v="-101.25"/>
    <n v="101.25"/>
    <m/>
    <s v="NV UNIVE ZORG"/>
    <x v="5"/>
    <x v="13"/>
    <x v="81"/>
  </r>
  <r>
    <n v="567"/>
    <s v="NL22RABO0381604934"/>
    <m/>
    <x v="1"/>
    <x v="46"/>
    <d v="2017-06-03T00:00:00"/>
    <d v="2017-06-03T00:00:00"/>
    <n v="-4.5999999999999996"/>
    <n v="4.5999999999999996"/>
    <m/>
    <s v="Kosten"/>
    <x v="5"/>
    <x v="13"/>
    <x v="74"/>
  </r>
  <r>
    <n v="574"/>
    <s v="NL22RABO0381604934"/>
    <m/>
    <x v="1"/>
    <x v="46"/>
    <d v="2017-06-23T00:00:00"/>
    <d v="2017-06-23T00:00:00"/>
    <n v="-23"/>
    <n v="23"/>
    <m/>
    <s v="Starthosting"/>
    <x v="5"/>
    <x v="13"/>
    <x v="79"/>
  </r>
  <r>
    <n v="575"/>
    <s v="NL22RABO0381604934"/>
    <m/>
    <x v="1"/>
    <x v="46"/>
    <d v="2017-06-26T00:00:00"/>
    <d v="2017-06-26T00:00:00"/>
    <n v="-97.88"/>
    <n v="97.88"/>
    <m/>
    <s v="DUO Hoofdrekening"/>
    <x v="5"/>
    <x v="13"/>
    <x v="78"/>
  </r>
  <r>
    <n v="578"/>
    <s v="NL22RABO0381604934"/>
    <m/>
    <x v="1"/>
    <x v="46"/>
    <d v="2017-06-27T00:00:00"/>
    <d v="2017-06-27T00:00:00"/>
    <n v="-101.25"/>
    <n v="101.25"/>
    <m/>
    <s v="NV UNIVE ZORG"/>
    <x v="5"/>
    <x v="13"/>
    <x v="81"/>
  </r>
  <r>
    <n v="579"/>
    <s v="NL22RABO0381604934"/>
    <m/>
    <x v="1"/>
    <x v="46"/>
    <d v="2017-06-29T00:00:00"/>
    <d v="2017-06-29T00:00:00"/>
    <n v="-3.7"/>
    <n v="3.7"/>
    <m/>
    <s v="UNIVE STAD EN LAND BV"/>
    <x v="5"/>
    <x v="13"/>
    <x v="80"/>
  </r>
  <r>
    <n v="583"/>
    <s v="NL22RABO0381604934"/>
    <m/>
    <x v="1"/>
    <x v="36"/>
    <d v="2017-07-06T00:00:00"/>
    <d v="2017-07-06T00:00:00"/>
    <n v="-4.5999999999999996"/>
    <n v="4.5999999999999996"/>
    <m/>
    <s v="Kosten"/>
    <x v="5"/>
    <x v="13"/>
    <x v="74"/>
  </r>
  <r>
    <n v="586"/>
    <s v="NL22RABO0381604934"/>
    <m/>
    <x v="1"/>
    <x v="36"/>
    <d v="2017-07-20T00:00:00"/>
    <d v="2017-07-20T00:00:00"/>
    <n v="532"/>
    <n v="532"/>
    <m/>
    <s v="BELASTINGDIENST"/>
    <x v="5"/>
    <x v="13"/>
    <x v="82"/>
  </r>
  <r>
    <n v="588"/>
    <s v="NL22RABO0381604934"/>
    <m/>
    <x v="1"/>
    <x v="36"/>
    <d v="2017-07-25T00:00:00"/>
    <d v="2017-07-25T00:00:00"/>
    <n v="-97.88"/>
    <n v="97.88"/>
    <m/>
    <s v="DUO Hoofdrekening"/>
    <x v="5"/>
    <x v="13"/>
    <x v="78"/>
  </r>
  <r>
    <n v="592"/>
    <s v="NL22RABO0381604934"/>
    <m/>
    <x v="1"/>
    <x v="36"/>
    <d v="2017-07-27T00:00:00"/>
    <d v="2017-07-27T00:00:00"/>
    <n v="-3.7"/>
    <n v="3.7"/>
    <m/>
    <s v="UNIVE STAD EN LAND BV"/>
    <x v="5"/>
    <x v="13"/>
    <x v="80"/>
  </r>
  <r>
    <n v="593"/>
    <s v="NL22RABO0381604934"/>
    <m/>
    <x v="1"/>
    <x v="36"/>
    <d v="2017-07-27T00:00:00"/>
    <d v="2017-07-27T00:00:00"/>
    <n v="-101.25"/>
    <n v="101.25"/>
    <m/>
    <s v="NV UNIVE ZORG"/>
    <x v="5"/>
    <x v="13"/>
    <x v="81"/>
  </r>
  <r>
    <n v="596"/>
    <s v="NL22RABO0381604934"/>
    <m/>
    <x v="1"/>
    <x v="47"/>
    <d v="2017-08-04T00:00:00"/>
    <d v="2017-08-04T00:00:00"/>
    <n v="-4.5999999999999996"/>
    <n v="4.5999999999999996"/>
    <m/>
    <s v="Kosten"/>
    <x v="5"/>
    <x v="13"/>
    <x v="74"/>
  </r>
  <r>
    <n v="603"/>
    <s v="NL22RABO0381604934"/>
    <m/>
    <x v="1"/>
    <x v="47"/>
    <d v="2017-08-21T00:00:00"/>
    <d v="2017-08-21T00:00:00"/>
    <n v="89"/>
    <n v="89"/>
    <m/>
    <s v="BELASTINGDIENST"/>
    <x v="5"/>
    <x v="13"/>
    <x v="82"/>
  </r>
  <r>
    <n v="605"/>
    <s v="NL22RABO0381604934"/>
    <m/>
    <x v="1"/>
    <x v="47"/>
    <d v="2017-08-24T00:00:00"/>
    <d v="2017-08-24T00:00:00"/>
    <n v="-3.7"/>
    <n v="3.7"/>
    <m/>
    <s v="UNIVE STAD EN LAND BV"/>
    <x v="5"/>
    <x v="13"/>
    <x v="80"/>
  </r>
  <r>
    <n v="608"/>
    <s v="NL22RABO0381604934"/>
    <m/>
    <x v="1"/>
    <x v="47"/>
    <d v="2017-08-25T00:00:00"/>
    <d v="2017-08-25T00:00:00"/>
    <n v="-97.88"/>
    <n v="97.88"/>
    <m/>
    <s v="DUO Hoofdrekening"/>
    <x v="5"/>
    <x v="13"/>
    <x v="78"/>
  </r>
  <r>
    <n v="610"/>
    <s v="NL22RABO0381604934"/>
    <m/>
    <x v="1"/>
    <x v="47"/>
    <d v="2017-08-28T00:00:00"/>
    <d v="2017-08-28T00:00:00"/>
    <n v="-101.25"/>
    <n v="101.25"/>
    <m/>
    <s v="NV UNIVE ZORG"/>
    <x v="5"/>
    <x v="13"/>
    <x v="81"/>
  </r>
  <r>
    <n v="612"/>
    <s v="NL22RABO0381604934"/>
    <m/>
    <x v="1"/>
    <x v="48"/>
    <d v="2017-09-05T00:00:00"/>
    <d v="2017-09-05T00:00:00"/>
    <n v="-4.5999999999999996"/>
    <n v="4.5999999999999996"/>
    <m/>
    <s v="Kosten"/>
    <x v="5"/>
    <x v="13"/>
    <x v="74"/>
  </r>
  <r>
    <n v="620"/>
    <s v="NL22RABO0381604934"/>
    <m/>
    <x v="1"/>
    <x v="48"/>
    <d v="2017-09-20T00:00:00"/>
    <d v="2017-09-20T00:00:00"/>
    <n v="89"/>
    <n v="89"/>
    <m/>
    <s v="BELASTINGDIENST"/>
    <x v="5"/>
    <x v="13"/>
    <x v="82"/>
  </r>
  <r>
    <n v="623"/>
    <s v="NL22RABO0381604934"/>
    <m/>
    <x v="1"/>
    <x v="48"/>
    <d v="2017-09-25T00:00:00"/>
    <d v="2017-09-25T00:00:00"/>
    <n v="-97.88"/>
    <n v="97.88"/>
    <m/>
    <s v="DUO Hoofdrekening"/>
    <x v="5"/>
    <x v="13"/>
    <x v="78"/>
  </r>
  <r>
    <n v="625"/>
    <s v="NL22RABO0381604934"/>
    <m/>
    <x v="1"/>
    <x v="48"/>
    <d v="2017-09-27T00:00:00"/>
    <d v="2017-09-27T00:00:00"/>
    <n v="-3.7"/>
    <n v="3.7"/>
    <m/>
    <s v="UNIVE STAD EN LAND BV"/>
    <x v="5"/>
    <x v="13"/>
    <x v="80"/>
  </r>
  <r>
    <n v="626"/>
    <s v="NL22RABO0381604934"/>
    <m/>
    <x v="1"/>
    <x v="48"/>
    <d v="2017-09-27T00:00:00"/>
    <d v="2017-09-27T00:00:00"/>
    <n v="-101.25"/>
    <n v="101.25"/>
    <m/>
    <s v="NV UNIVE ZORG"/>
    <x v="5"/>
    <x v="13"/>
    <x v="81"/>
  </r>
  <r>
    <n v="629"/>
    <s v="NL22RABO0381604934"/>
    <m/>
    <x v="1"/>
    <x v="3"/>
    <d v="2017-10-03T00:00:00"/>
    <d v="2017-10-03T00:00:00"/>
    <n v="-20"/>
    <n v="20"/>
    <m/>
    <s v="Belcompany Stadskana STADSKANAAL"/>
    <x v="5"/>
    <x v="13"/>
    <x v="70"/>
  </r>
  <r>
    <n v="630"/>
    <s v="NL22RABO0381604934"/>
    <m/>
    <x v="1"/>
    <x v="3"/>
    <d v="2017-10-05T00:00:00"/>
    <d v="2017-10-05T00:00:00"/>
    <n v="-4.5999999999999996"/>
    <n v="4.5999999999999996"/>
    <m/>
    <s v="Kosten"/>
    <x v="5"/>
    <x v="13"/>
    <x v="74"/>
  </r>
  <r>
    <n v="634"/>
    <s v="NL22RABO0381604934"/>
    <m/>
    <x v="1"/>
    <x v="3"/>
    <d v="2017-10-09T00:00:00"/>
    <d v="2017-10-09T00:00:00"/>
    <n v="-72.599999999999994"/>
    <n v="72.599999999999994"/>
    <m/>
    <s v="VEVIDA BV"/>
    <x v="5"/>
    <x v="13"/>
    <x v="79"/>
  </r>
  <r>
    <n v="664"/>
    <s v="NL22RABO0381604934"/>
    <m/>
    <x v="1"/>
    <x v="3"/>
    <d v="2017-10-20T00:00:00"/>
    <d v="2017-10-20T00:00:00"/>
    <n v="89"/>
    <n v="89"/>
    <m/>
    <s v="BELASTINGDIENST"/>
    <x v="5"/>
    <x v="13"/>
    <x v="82"/>
  </r>
  <r>
    <n v="680"/>
    <s v="NL22RABO0381604934"/>
    <m/>
    <x v="1"/>
    <x v="3"/>
    <d v="2017-10-25T00:00:00"/>
    <d v="2017-10-25T00:00:00"/>
    <n v="-97.88"/>
    <n v="97.88"/>
    <m/>
    <s v="DUO Hoofdrekening"/>
    <x v="5"/>
    <x v="13"/>
    <x v="78"/>
  </r>
  <r>
    <n v="683"/>
    <s v="NL22RABO0381604934"/>
    <m/>
    <x v="1"/>
    <x v="3"/>
    <d v="2017-10-27T00:00:00"/>
    <d v="2017-10-27T00:00:00"/>
    <n v="-101.25"/>
    <n v="101.25"/>
    <m/>
    <s v="NV UNIVE ZORG"/>
    <x v="5"/>
    <x v="13"/>
    <x v="81"/>
  </r>
  <r>
    <n v="701"/>
    <s v="NL22RABO0381604934"/>
    <m/>
    <x v="1"/>
    <x v="4"/>
    <d v="2017-11-03T00:00:00"/>
    <d v="2017-11-03T00:00:00"/>
    <n v="-4.5999999999999996"/>
    <n v="4.5999999999999996"/>
    <m/>
    <s v="Kosten"/>
    <x v="5"/>
    <x v="13"/>
    <x v="74"/>
  </r>
  <r>
    <n v="703"/>
    <s v="NL22RABO0381604934"/>
    <m/>
    <x v="1"/>
    <x v="4"/>
    <d v="2017-11-17T00:00:00"/>
    <d v="2017-11-17T00:00:00"/>
    <n v="-49.5"/>
    <n v="49.5"/>
    <m/>
    <s v="Starthosting"/>
    <x v="5"/>
    <x v="13"/>
    <x v="79"/>
  </r>
  <r>
    <n v="704"/>
    <s v="NL22RABO0381604934"/>
    <m/>
    <x v="1"/>
    <x v="4"/>
    <d v="2017-11-20T00:00:00"/>
    <d v="2017-11-20T00:00:00"/>
    <n v="89"/>
    <n v="89"/>
    <m/>
    <s v="BELASTINGDIENST"/>
    <x v="5"/>
    <x v="13"/>
    <x v="82"/>
  </r>
  <r>
    <n v="706"/>
    <s v="NL22RABO0381604934"/>
    <m/>
    <x v="1"/>
    <x v="4"/>
    <d v="2017-11-27T00:00:00"/>
    <d v="2017-11-27T00:00:00"/>
    <n v="-97.88"/>
    <n v="97.88"/>
    <m/>
    <s v="DUO Hoofdrekening"/>
    <x v="5"/>
    <x v="13"/>
    <x v="78"/>
  </r>
  <r>
    <n v="707"/>
    <s v="NL22RABO0381604934"/>
    <m/>
    <x v="1"/>
    <x v="4"/>
    <d v="2017-11-27T00:00:00"/>
    <d v="2017-11-27T00:00:00"/>
    <n v="-101.25"/>
    <n v="101.25"/>
    <m/>
    <s v="NV UNIVE ZORG"/>
    <x v="5"/>
    <x v="13"/>
    <x v="81"/>
  </r>
  <r>
    <n v="709"/>
    <s v="NL22RABO0381604934"/>
    <m/>
    <x v="1"/>
    <x v="5"/>
    <d v="2017-12-05T00:00:00"/>
    <d v="2017-12-05T00:00:00"/>
    <n v="-4.5999999999999996"/>
    <n v="4.5999999999999996"/>
    <m/>
    <s v="Kosten"/>
    <x v="5"/>
    <x v="13"/>
    <x v="74"/>
  </r>
  <r>
    <n v="712"/>
    <s v="NL22RABO0381604934"/>
    <m/>
    <x v="1"/>
    <x v="5"/>
    <d v="2017-12-20T00:00:00"/>
    <d v="2017-12-20T00:00:00"/>
    <n v="94"/>
    <n v="94"/>
    <m/>
    <s v="BELASTINGDIENST"/>
    <x v="5"/>
    <x v="13"/>
    <x v="82"/>
  </r>
  <r>
    <n v="714"/>
    <s v="NL22RABO0381604934"/>
    <m/>
    <x v="1"/>
    <x v="5"/>
    <d v="2017-12-22T00:00:00"/>
    <d v="2017-12-22T00:00:00"/>
    <n v="-97.88"/>
    <n v="97.88"/>
    <m/>
    <s v="DUO Hoofdrekening"/>
    <x v="5"/>
    <x v="13"/>
    <x v="78"/>
  </r>
  <r>
    <n v="715"/>
    <s v="NL22RABO0381604934"/>
    <m/>
    <x v="1"/>
    <x v="5"/>
    <d v="2017-12-27T00:00:00"/>
    <d v="2017-12-27T00:00:00"/>
    <n v="-103.45"/>
    <n v="103.45"/>
    <m/>
    <s v="NV UNIVE ZORG"/>
    <x v="5"/>
    <x v="13"/>
    <x v="81"/>
  </r>
  <r>
    <n v="723"/>
    <s v="BNPPARIBAS"/>
    <m/>
    <x v="2"/>
    <x v="6"/>
    <d v="2018-01-03T00:00:00"/>
    <d v="2018-01-03T00:00:00"/>
    <n v="-9.99"/>
    <n v="9.99"/>
    <m/>
    <s v="PRLV SEPA PAYPAL EUROPE S.A.R.L. ET CIE S.C.A ECH/"/>
    <x v="5"/>
    <x v="13"/>
    <x v="72"/>
  </r>
  <r>
    <n v="724"/>
    <s v="BNPPARIBAS"/>
    <m/>
    <x v="2"/>
    <x v="6"/>
    <d v="2018-01-03T00:00:00"/>
    <d v="2018-01-03T00:00:00"/>
    <n v="-8.7799999999999994"/>
    <n v="8.7799999999999994"/>
    <m/>
    <s v="COMMISSIONS COTISATION ESPRIT LIBRE"/>
    <x v="5"/>
    <x v="13"/>
    <x v="74"/>
  </r>
  <r>
    <n v="726"/>
    <s v="BNPPARIBAS"/>
    <m/>
    <x v="2"/>
    <x v="6"/>
    <d v="2018-01-05T00:00:00"/>
    <d v="2018-01-05T00:00:00"/>
    <n v="-10.9"/>
    <n v="10.9"/>
    <m/>
    <s v="PRLV SEPA CARDIF ASSURANCE VIE ECH/050118 ID EMETT"/>
    <x v="5"/>
    <x v="13"/>
    <x v="69"/>
  </r>
  <r>
    <n v="728"/>
    <s v="BNPPARIBAS"/>
    <m/>
    <x v="2"/>
    <x v="6"/>
    <d v="2018-01-22T00:00:00"/>
    <d v="2018-01-22T00:00:00"/>
    <n v="-7"/>
    <n v="7"/>
    <m/>
    <s v="FACTURE CARTE DU 210118 PAYPAL 0800 942 890 CARTE 4974"/>
    <x v="5"/>
    <x v="13"/>
    <x v="73"/>
  </r>
  <r>
    <n v="729"/>
    <s v="BNPPARIBAS"/>
    <m/>
    <x v="2"/>
    <x v="9"/>
    <d v="2018-02-01T00:00:00"/>
    <d v="2018-02-01T00:00:00"/>
    <n v="-9.99"/>
    <n v="9.99"/>
    <m/>
    <s v="PRLV SEPA PAYPAL EUROPE S.A.R.L. ET CIE S.C.A ECH/"/>
    <x v="5"/>
    <x v="13"/>
    <x v="72"/>
  </r>
  <r>
    <n v="730"/>
    <s v="BNPPARIBAS"/>
    <m/>
    <x v="2"/>
    <x v="9"/>
    <d v="2018-02-02T00:00:00"/>
    <d v="2018-02-02T00:00:00"/>
    <n v="-8.7799999999999994"/>
    <n v="8.7799999999999994"/>
    <m/>
    <s v="COMMISSIONS COTISATION ESPRIT LIBRE"/>
    <x v="5"/>
    <x v="13"/>
    <x v="74"/>
  </r>
  <r>
    <n v="731"/>
    <s v="BNPPARIBAS"/>
    <m/>
    <x v="2"/>
    <x v="9"/>
    <d v="2018-02-05T00:00:00"/>
    <d v="2018-02-05T00:00:00"/>
    <n v="-10.9"/>
    <n v="10.9"/>
    <m/>
    <s v="PRLV SEPA CARDIF ASSURANCE VIE ECH/050218 ID EMETT"/>
    <x v="5"/>
    <x v="13"/>
    <x v="69"/>
  </r>
  <r>
    <n v="733"/>
    <s v="BNPPARIBAS"/>
    <m/>
    <x v="2"/>
    <x v="9"/>
    <d v="2018-02-22T00:00:00"/>
    <d v="2018-02-22T00:00:00"/>
    <n v="-7"/>
    <n v="7"/>
    <m/>
    <s v="PRLV SEPA PAYPAL EUROPE S.A.R.L. ET CIE S.C.A ECH/"/>
    <x v="5"/>
    <x v="13"/>
    <x v="73"/>
  </r>
  <r>
    <n v="734"/>
    <s v="BNPPARIBAS"/>
    <m/>
    <x v="2"/>
    <x v="10"/>
    <d v="2018-03-02T00:00:00"/>
    <d v="2018-03-02T00:00:00"/>
    <n v="-9.99"/>
    <n v="9.99"/>
    <m/>
    <s v="PRLV SEPA PAYPAL EUROPE S.A.R.L. ET CIE S.C.A ECH/"/>
    <x v="5"/>
    <x v="13"/>
    <x v="72"/>
  </r>
  <r>
    <n v="735"/>
    <s v="BNPPARIBAS"/>
    <m/>
    <x v="2"/>
    <x v="6"/>
    <d v="2018-03-02T00:00:00"/>
    <d v="2018-03-02T00:00:00"/>
    <n v="-8.7799999999999994"/>
    <n v="8.7799999999999994"/>
    <m/>
    <s v="COMMISSIONS COTISATION ESPRIT LIBRE"/>
    <x v="5"/>
    <x v="13"/>
    <x v="74"/>
  </r>
  <r>
    <n v="736"/>
    <s v="BNPPARIBAS"/>
    <m/>
    <x v="2"/>
    <x v="10"/>
    <d v="2018-03-02T00:00:00"/>
    <d v="2018-03-02T00:00:00"/>
    <n v="-8.7799999999999994"/>
    <n v="8.7799999999999994"/>
    <m/>
    <s v="COMMISSIONS COTISATION ESPRIT LIBRE"/>
    <x v="5"/>
    <x v="13"/>
    <x v="74"/>
  </r>
  <r>
    <n v="737"/>
    <s v="BNPPARIBAS"/>
    <m/>
    <x v="2"/>
    <x v="10"/>
    <d v="2018-03-02T00:00:00"/>
    <d v="2018-03-02T00:00:00"/>
    <n v="-8.7799999999999994"/>
    <n v="8.7799999999999994"/>
    <m/>
    <s v="COMMISSIONS COTISATION ESPRIT LIBRE"/>
    <x v="5"/>
    <x v="13"/>
    <x v="74"/>
  </r>
  <r>
    <n v="738"/>
    <s v="BNPPARIBAS"/>
    <m/>
    <x v="2"/>
    <x v="10"/>
    <d v="2018-03-05T00:00:00"/>
    <d v="2018-03-05T00:00:00"/>
    <n v="-11.53"/>
    <n v="11.53"/>
    <m/>
    <s v="PRLV SEPA CARDIF ASSURANCE VIE ECH/050318 ID EMETT"/>
    <x v="5"/>
    <x v="13"/>
    <x v="69"/>
  </r>
  <r>
    <n v="741"/>
    <s v="BNPPARIBAS"/>
    <m/>
    <x v="2"/>
    <x v="10"/>
    <d v="2018-03-22T00:00:00"/>
    <d v="2018-03-22T00:00:00"/>
    <n v="-7"/>
    <n v="7"/>
    <m/>
    <s v="PRLV SEPA PAYPAL EUROPE S.A.R.L. ET CIE S.C.A ECH/"/>
    <x v="5"/>
    <x v="13"/>
    <x v="73"/>
  </r>
  <r>
    <n v="742"/>
    <s v="BNPPARIBAS"/>
    <m/>
    <x v="2"/>
    <x v="49"/>
    <d v="2018-04-15T00:00:00"/>
    <d v="2018-04-15T00:00:00"/>
    <n v="-7"/>
    <n v="7"/>
    <m/>
    <s v="paypal"/>
    <x v="5"/>
    <x v="13"/>
    <x v="73"/>
  </r>
  <r>
    <n v="743"/>
    <s v="BNPPARIBAS"/>
    <m/>
    <x v="2"/>
    <x v="49"/>
    <d v="2018-04-15T00:00:00"/>
    <d v="2018-04-15T00:00:00"/>
    <n v="-11.53"/>
    <n v="11.53"/>
    <m/>
    <s v="cardiff"/>
    <x v="5"/>
    <x v="13"/>
    <x v="69"/>
  </r>
  <r>
    <n v="744"/>
    <s v="BNPPARIBAS"/>
    <m/>
    <x v="2"/>
    <x v="49"/>
    <d v="2018-04-15T00:00:00"/>
    <d v="2018-04-15T00:00:00"/>
    <n v="-9.99"/>
    <n v="9.99"/>
    <m/>
    <s v="paypal"/>
    <x v="5"/>
    <x v="13"/>
    <x v="72"/>
  </r>
  <r>
    <n v="745"/>
    <s v="BNPPARIBAS"/>
    <m/>
    <x v="2"/>
    <x v="49"/>
    <d v="2018-04-15T00:00:00"/>
    <d v="2018-04-15T00:00:00"/>
    <n v="-8.7799999999999994"/>
    <n v="8.7799999999999994"/>
    <m/>
    <s v="esprit libre"/>
    <x v="5"/>
    <x v="13"/>
    <x v="74"/>
  </r>
  <r>
    <n v="747"/>
    <s v="BNPPARIBAS"/>
    <m/>
    <x v="2"/>
    <x v="50"/>
    <d v="2018-05-15T00:00:00"/>
    <d v="2018-05-15T00:00:00"/>
    <n v="-7"/>
    <n v="7"/>
    <m/>
    <s v="paypal"/>
    <x v="5"/>
    <x v="13"/>
    <x v="73"/>
  </r>
  <r>
    <n v="748"/>
    <s v="BNPPARIBAS"/>
    <m/>
    <x v="2"/>
    <x v="50"/>
    <d v="2018-05-15T00:00:00"/>
    <d v="2018-05-15T00:00:00"/>
    <n v="-11.53"/>
    <n v="11.53"/>
    <m/>
    <s v="cardiff"/>
    <x v="5"/>
    <x v="13"/>
    <x v="69"/>
  </r>
  <r>
    <n v="749"/>
    <s v="BNPPARIBAS"/>
    <m/>
    <x v="2"/>
    <x v="50"/>
    <d v="2018-05-15T00:00:00"/>
    <d v="2018-05-15T00:00:00"/>
    <n v="-9.99"/>
    <n v="9.99"/>
    <m/>
    <s v="paypal"/>
    <x v="5"/>
    <x v="13"/>
    <x v="72"/>
  </r>
  <r>
    <n v="750"/>
    <s v="BNPPARIBAS"/>
    <m/>
    <x v="2"/>
    <x v="50"/>
    <d v="2018-05-15T00:00:00"/>
    <d v="2018-05-15T00:00:00"/>
    <n v="-8.7799999999999994"/>
    <n v="8.7799999999999994"/>
    <m/>
    <s v="esprit libre"/>
    <x v="5"/>
    <x v="13"/>
    <x v="74"/>
  </r>
  <r>
    <n v="752"/>
    <s v="BNPPARIBAS"/>
    <m/>
    <x v="2"/>
    <x v="51"/>
    <d v="2018-06-04T00:00:00"/>
    <d v="2018-06-04T00:00:00"/>
    <n v="26"/>
    <n v="26"/>
    <m/>
    <s v="bnp.net"/>
    <x v="5"/>
    <x v="13"/>
    <x v="74"/>
  </r>
  <r>
    <n v="753"/>
    <s v="BNPPARIBAS"/>
    <m/>
    <x v="2"/>
    <x v="51"/>
    <d v="2018-06-15T00:00:00"/>
    <d v="2018-06-15T00:00:00"/>
    <n v="-7"/>
    <n v="7"/>
    <m/>
    <s v="paypal"/>
    <x v="5"/>
    <x v="13"/>
    <x v="73"/>
  </r>
  <r>
    <n v="754"/>
    <s v="BNPPARIBAS"/>
    <m/>
    <x v="2"/>
    <x v="51"/>
    <d v="2018-06-15T00:00:00"/>
    <d v="2018-06-15T00:00:00"/>
    <n v="-11.53"/>
    <n v="11.53"/>
    <m/>
    <s v="cardiff"/>
    <x v="5"/>
    <x v="13"/>
    <x v="69"/>
  </r>
  <r>
    <n v="755"/>
    <s v="BNPPARIBAS"/>
    <m/>
    <x v="2"/>
    <x v="51"/>
    <d v="2018-06-15T00:00:00"/>
    <d v="2018-06-15T00:00:00"/>
    <n v="-9.99"/>
    <n v="9.99"/>
    <m/>
    <s v="paypal"/>
    <x v="5"/>
    <x v="13"/>
    <x v="72"/>
  </r>
  <r>
    <n v="756"/>
    <s v="BNPPARIBAS"/>
    <m/>
    <x v="2"/>
    <x v="51"/>
    <d v="2018-06-15T00:00:00"/>
    <d v="2018-06-15T00:00:00"/>
    <n v="-8.7799999999999994"/>
    <n v="8.7799999999999994"/>
    <m/>
    <s v="esprit libre"/>
    <x v="5"/>
    <x v="13"/>
    <x v="74"/>
  </r>
  <r>
    <n v="758"/>
    <s v="BNPPARIBAS"/>
    <m/>
    <x v="2"/>
    <x v="52"/>
    <d v="2018-07-15T00:00:00"/>
    <d v="2018-07-15T00:00:00"/>
    <n v="-7"/>
    <n v="7"/>
    <m/>
    <s v="paypal"/>
    <x v="5"/>
    <x v="13"/>
    <x v="73"/>
  </r>
  <r>
    <n v="759"/>
    <s v="BNPPARIBAS"/>
    <m/>
    <x v="2"/>
    <x v="52"/>
    <d v="2018-07-15T00:00:00"/>
    <d v="2018-07-15T00:00:00"/>
    <n v="-11.53"/>
    <n v="11.53"/>
    <m/>
    <s v="cardiff"/>
    <x v="5"/>
    <x v="13"/>
    <x v="69"/>
  </r>
  <r>
    <n v="760"/>
    <s v="BNPPARIBAS"/>
    <m/>
    <x v="2"/>
    <x v="52"/>
    <d v="2018-07-15T00:00:00"/>
    <d v="2018-07-15T00:00:00"/>
    <n v="-9.99"/>
    <n v="9.99"/>
    <m/>
    <s v="paypal"/>
    <x v="5"/>
    <x v="13"/>
    <x v="72"/>
  </r>
  <r>
    <n v="761"/>
    <s v="BNPPARIBAS"/>
    <m/>
    <x v="2"/>
    <x v="52"/>
    <d v="2018-07-15T00:00:00"/>
    <d v="2018-07-15T00:00:00"/>
    <n v="-8.7799999999999994"/>
    <n v="8.7799999999999994"/>
    <m/>
    <s v="esprit libre"/>
    <x v="5"/>
    <x v="13"/>
    <x v="74"/>
  </r>
  <r>
    <n v="763"/>
    <s v="BNPPARIBAS"/>
    <m/>
    <x v="2"/>
    <x v="52"/>
    <d v="2018-07-15T00:00:00"/>
    <d v="2018-07-15T00:00:00"/>
    <n v="10"/>
    <n v="10"/>
    <m/>
    <s v="paypal"/>
    <x v="5"/>
    <x v="13"/>
    <x v="76"/>
  </r>
  <r>
    <n v="764"/>
    <s v="BNPPARIBAS"/>
    <m/>
    <x v="2"/>
    <x v="52"/>
    <d v="2018-07-15T00:00:00"/>
    <d v="2018-07-15T00:00:00"/>
    <n v="5"/>
    <n v="5"/>
    <m/>
    <s v="paypal"/>
    <x v="5"/>
    <x v="13"/>
    <x v="76"/>
  </r>
  <r>
    <n v="765"/>
    <s v="BNPPARIBAS"/>
    <m/>
    <x v="2"/>
    <x v="37"/>
    <d v="2018-08-15T00:00:00"/>
    <d v="2018-08-15T00:00:00"/>
    <n v="-7"/>
    <n v="7"/>
    <m/>
    <s v="paypal"/>
    <x v="5"/>
    <x v="13"/>
    <x v="73"/>
  </r>
  <r>
    <n v="766"/>
    <s v="BNPPARIBAS"/>
    <m/>
    <x v="2"/>
    <x v="37"/>
    <d v="2018-08-15T00:00:00"/>
    <d v="2018-08-15T00:00:00"/>
    <n v="-11.53"/>
    <n v="11.53"/>
    <m/>
    <s v="cardiff"/>
    <x v="5"/>
    <x v="13"/>
    <x v="69"/>
  </r>
  <r>
    <n v="767"/>
    <s v="BNPPARIBAS"/>
    <m/>
    <x v="2"/>
    <x v="37"/>
    <d v="2018-08-15T00:00:00"/>
    <d v="2018-08-15T00:00:00"/>
    <n v="-9.99"/>
    <n v="9.99"/>
    <m/>
    <s v="paypal"/>
    <x v="5"/>
    <x v="13"/>
    <x v="72"/>
  </r>
  <r>
    <n v="768"/>
    <s v="BNPPARIBAS"/>
    <m/>
    <x v="2"/>
    <x v="37"/>
    <d v="2018-08-15T00:00:00"/>
    <d v="2018-08-15T00:00:00"/>
    <n v="-8.7799999999999994"/>
    <n v="8.7799999999999994"/>
    <m/>
    <s v="esprit libre"/>
    <x v="5"/>
    <x v="13"/>
    <x v="74"/>
  </r>
  <r>
    <n v="770"/>
    <s v="BNPPARIBAS"/>
    <m/>
    <x v="2"/>
    <x v="37"/>
    <d v="2018-08-15T00:00:00"/>
    <d v="2018-08-15T00:00:00"/>
    <n v="-1.99"/>
    <n v="1.99"/>
    <m/>
    <s v="paypal"/>
    <x v="5"/>
    <x v="13"/>
    <x v="83"/>
  </r>
  <r>
    <n v="771"/>
    <s v="BNPPARIBAS"/>
    <m/>
    <x v="2"/>
    <x v="37"/>
    <d v="2018-08-15T00:00:00"/>
    <d v="2018-08-15T00:00:00"/>
    <n v="10"/>
    <n v="10"/>
    <m/>
    <s v="paypal"/>
    <x v="5"/>
    <x v="13"/>
    <x v="76"/>
  </r>
  <r>
    <n v="772"/>
    <s v="BNPPARIBAS"/>
    <m/>
    <x v="2"/>
    <x v="12"/>
    <d v="2018-09-15T00:00:00"/>
    <d v="2018-09-15T00:00:00"/>
    <n v="-7"/>
    <n v="7"/>
    <m/>
    <s v="paypal"/>
    <x v="5"/>
    <x v="13"/>
    <x v="73"/>
  </r>
  <r>
    <n v="773"/>
    <s v="BNPPARIBAS"/>
    <m/>
    <x v="2"/>
    <x v="12"/>
    <d v="2018-09-15T00:00:00"/>
    <d v="2018-09-15T00:00:00"/>
    <n v="-11.53"/>
    <n v="11.53"/>
    <m/>
    <s v="cardiff"/>
    <x v="5"/>
    <x v="13"/>
    <x v="69"/>
  </r>
  <r>
    <n v="774"/>
    <s v="BNPPARIBAS"/>
    <m/>
    <x v="2"/>
    <x v="12"/>
    <d v="2018-09-15T00:00:00"/>
    <d v="2018-09-15T00:00:00"/>
    <n v="-9.99"/>
    <n v="9.99"/>
    <m/>
    <s v="paypal"/>
    <x v="5"/>
    <x v="13"/>
    <x v="72"/>
  </r>
  <r>
    <n v="775"/>
    <s v="BNPPARIBAS"/>
    <m/>
    <x v="2"/>
    <x v="12"/>
    <d v="2018-09-15T00:00:00"/>
    <d v="2018-09-15T00:00:00"/>
    <n v="-8.7799999999999994"/>
    <n v="8.7799999999999994"/>
    <m/>
    <s v="esprit libre"/>
    <x v="5"/>
    <x v="13"/>
    <x v="74"/>
  </r>
  <r>
    <n v="776"/>
    <s v="BNPPARIBAS"/>
    <m/>
    <x v="2"/>
    <x v="12"/>
    <d v="2018-09-15T00:00:00"/>
    <d v="2018-09-15T00:00:00"/>
    <n v="-1.99"/>
    <n v="1.99"/>
    <m/>
    <s v="paypal"/>
    <x v="5"/>
    <x v="13"/>
    <x v="83"/>
  </r>
  <r>
    <n v="777"/>
    <s v="BNPPARIBAS"/>
    <m/>
    <x v="2"/>
    <x v="12"/>
    <d v="2018-09-15T00:00:00"/>
    <d v="2018-09-15T00:00:00"/>
    <n v="-4.99"/>
    <n v="4.99"/>
    <m/>
    <s v="paypal"/>
    <x v="5"/>
    <x v="13"/>
    <x v="84"/>
  </r>
  <r>
    <n v="779"/>
    <s v="BNPPARIBAS"/>
    <m/>
    <x v="2"/>
    <x v="11"/>
    <d v="2018-10-15T00:00:00"/>
    <d v="2018-10-15T00:00:00"/>
    <n v="-7"/>
    <n v="7"/>
    <m/>
    <s v="paypal"/>
    <x v="5"/>
    <x v="13"/>
    <x v="73"/>
  </r>
  <r>
    <n v="780"/>
    <s v="BNPPARIBAS"/>
    <m/>
    <x v="2"/>
    <x v="11"/>
    <d v="2018-10-15T00:00:00"/>
    <d v="2018-10-15T00:00:00"/>
    <n v="-11.53"/>
    <n v="11.53"/>
    <m/>
    <s v="cardiff"/>
    <x v="5"/>
    <x v="13"/>
    <x v="69"/>
  </r>
  <r>
    <n v="781"/>
    <s v="BNPPARIBAS"/>
    <m/>
    <x v="2"/>
    <x v="11"/>
    <d v="2018-10-15T00:00:00"/>
    <d v="2018-10-15T00:00:00"/>
    <n v="-9.99"/>
    <n v="9.99"/>
    <m/>
    <s v="paypal"/>
    <x v="5"/>
    <x v="13"/>
    <x v="72"/>
  </r>
  <r>
    <n v="782"/>
    <s v="BNPPARIBAS"/>
    <m/>
    <x v="2"/>
    <x v="11"/>
    <d v="2018-10-15T00:00:00"/>
    <d v="2018-10-15T00:00:00"/>
    <n v="-8.7799999999999994"/>
    <n v="8.7799999999999994"/>
    <m/>
    <s v="esprit libre"/>
    <x v="5"/>
    <x v="13"/>
    <x v="74"/>
  </r>
  <r>
    <n v="783"/>
    <s v="BNPPARIBAS"/>
    <m/>
    <x v="2"/>
    <x v="11"/>
    <d v="2018-10-15T00:00:00"/>
    <d v="2018-10-15T00:00:00"/>
    <n v="-39"/>
    <n v="39"/>
    <m/>
    <s v="gravit"/>
    <x v="5"/>
    <x v="13"/>
    <x v="85"/>
  </r>
  <r>
    <n v="784"/>
    <s v="BNPPARIBAS"/>
    <m/>
    <x v="2"/>
    <x v="11"/>
    <d v="2018-10-15T00:00:00"/>
    <d v="2018-10-15T00:00:00"/>
    <n v="-4.99"/>
    <n v="4.99"/>
    <m/>
    <s v="paypal"/>
    <x v="5"/>
    <x v="13"/>
    <x v="84"/>
  </r>
  <r>
    <n v="800"/>
    <s v="BNPPARIBAS"/>
    <m/>
    <x v="2"/>
    <x v="7"/>
    <d v="2018-11-15T00:00:00"/>
    <d v="2018-11-15T00:00:00"/>
    <n v="-7"/>
    <n v="7"/>
    <m/>
    <s v="paypal"/>
    <x v="5"/>
    <x v="13"/>
    <x v="73"/>
  </r>
  <r>
    <n v="801"/>
    <s v="BNPPARIBAS"/>
    <m/>
    <x v="2"/>
    <x v="7"/>
    <d v="2018-11-15T00:00:00"/>
    <d v="2018-11-15T00:00:00"/>
    <n v="-11.53"/>
    <n v="11.53"/>
    <m/>
    <s v="cardiff"/>
    <x v="5"/>
    <x v="13"/>
    <x v="69"/>
  </r>
  <r>
    <n v="802"/>
    <s v="BNPPARIBAS"/>
    <m/>
    <x v="2"/>
    <x v="7"/>
    <d v="2018-11-15T00:00:00"/>
    <d v="2018-11-15T00:00:00"/>
    <n v="-9.99"/>
    <n v="9.99"/>
    <m/>
    <s v="paypal"/>
    <x v="5"/>
    <x v="13"/>
    <x v="72"/>
  </r>
  <r>
    <n v="803"/>
    <s v="BNPPARIBAS"/>
    <m/>
    <x v="2"/>
    <x v="7"/>
    <d v="2018-11-15T00:00:00"/>
    <d v="2018-11-15T00:00:00"/>
    <n v="-8.7799999999999994"/>
    <n v="8.7799999999999994"/>
    <m/>
    <s v="esprit libre"/>
    <x v="5"/>
    <x v="13"/>
    <x v="74"/>
  </r>
  <r>
    <n v="804"/>
    <s v="BNPPARIBAS"/>
    <m/>
    <x v="2"/>
    <x v="7"/>
    <d v="2018-11-15T00:00:00"/>
    <d v="2018-11-15T00:00:00"/>
    <n v="-4.99"/>
    <n v="4.99"/>
    <m/>
    <s v="paypal"/>
    <x v="5"/>
    <x v="13"/>
    <x v="84"/>
  </r>
  <r>
    <n v="805"/>
    <s v="BNPPARIBAS"/>
    <m/>
    <x v="2"/>
    <x v="7"/>
    <d v="2018-11-15T00:00:00"/>
    <d v="2018-11-15T00:00:00"/>
    <n v="-1.99"/>
    <n v="1.99"/>
    <m/>
    <s v="paypal"/>
    <x v="5"/>
    <x v="13"/>
    <x v="83"/>
  </r>
  <r>
    <n v="808"/>
    <s v="BNPPARIBAS"/>
    <m/>
    <x v="2"/>
    <x v="8"/>
    <d v="2018-12-01T00:00:00"/>
    <d v="2018-12-01T00:00:00"/>
    <n v="39"/>
    <n v="39"/>
    <m/>
    <s v="paypall remboursement gravit"/>
    <x v="5"/>
    <x v="13"/>
    <x v="85"/>
  </r>
  <r>
    <n v="809"/>
    <s v="BNPPARIBAS"/>
    <m/>
    <x v="2"/>
    <x v="8"/>
    <d v="2018-12-01T00:00:00"/>
    <d v="2018-12-01T00:00:00"/>
    <n v="-17.420000000000002"/>
    <n v="17.420000000000002"/>
    <m/>
    <s v="gravit"/>
    <x v="5"/>
    <x v="13"/>
    <x v="85"/>
  </r>
  <r>
    <n v="810"/>
    <s v="BNPPARIBAS"/>
    <m/>
    <x v="2"/>
    <x v="8"/>
    <d v="2018-12-15T00:00:00"/>
    <d v="2018-12-15T00:00:00"/>
    <n v="-7"/>
    <n v="7"/>
    <m/>
    <s v="paypal"/>
    <x v="5"/>
    <x v="13"/>
    <x v="73"/>
  </r>
  <r>
    <n v="811"/>
    <s v="BNPPARIBAS"/>
    <m/>
    <x v="2"/>
    <x v="8"/>
    <d v="2018-12-15T00:00:00"/>
    <d v="2018-12-15T00:00:00"/>
    <n v="-11.53"/>
    <n v="11.53"/>
    <m/>
    <s v="cardiff"/>
    <x v="5"/>
    <x v="13"/>
    <x v="69"/>
  </r>
  <r>
    <n v="812"/>
    <s v="BNPPARIBAS"/>
    <m/>
    <x v="2"/>
    <x v="8"/>
    <d v="2018-12-15T00:00:00"/>
    <d v="2018-12-15T00:00:00"/>
    <n v="-9.99"/>
    <n v="9.99"/>
    <m/>
    <s v="paypal"/>
    <x v="5"/>
    <x v="13"/>
    <x v="72"/>
  </r>
  <r>
    <n v="813"/>
    <s v="BNPPARIBAS"/>
    <m/>
    <x v="2"/>
    <x v="8"/>
    <d v="2018-12-15T00:00:00"/>
    <d v="2018-12-15T00:00:00"/>
    <n v="-8.7799999999999994"/>
    <n v="8.7799999999999994"/>
    <m/>
    <s v="esprit libre"/>
    <x v="5"/>
    <x v="13"/>
    <x v="74"/>
  </r>
  <r>
    <n v="814"/>
    <s v="BNPPARIBAS"/>
    <m/>
    <x v="2"/>
    <x v="8"/>
    <d v="2018-12-15T00:00:00"/>
    <d v="2018-12-15T00:00:00"/>
    <n v="-4.99"/>
    <n v="4.99"/>
    <m/>
    <s v="paypal"/>
    <x v="5"/>
    <x v="13"/>
    <x v="84"/>
  </r>
  <r>
    <n v="815"/>
    <s v="BNPPARIBAS"/>
    <m/>
    <x v="2"/>
    <x v="8"/>
    <d v="2018-12-15T00:00:00"/>
    <d v="2018-12-15T00:00:00"/>
    <n v="-1.99"/>
    <n v="1.99"/>
    <m/>
    <s v="paypal"/>
    <x v="5"/>
    <x v="13"/>
    <x v="83"/>
  </r>
  <r>
    <n v="818"/>
    <s v="IT47Z3608105138243365043377"/>
    <m/>
    <x v="2"/>
    <x v="10"/>
    <d v="2018-03-29T00:00:00"/>
    <d v="2018-03-29T00:00:00"/>
    <n v="-10"/>
    <n v="10"/>
    <m/>
    <s v="CANONE ANNUO CONTESTUALE A VENDITA 29/03/2018 12.44 ROMA 183"/>
    <x v="5"/>
    <x v="13"/>
    <x v="74"/>
  </r>
  <r>
    <n v="819"/>
    <s v="IT47Z3608105138243365043377"/>
    <m/>
    <x v="2"/>
    <x v="52"/>
    <d v="2018-07-10T00:00:00"/>
    <d v="2018-07-10T00:00:00"/>
    <n v="-24.45"/>
    <n v="24.45"/>
    <m/>
    <s v="ADDEBITO DIRETTO PREAUTORIZZATO VODAFONE (CCB CID.IT200010000093026890017 100718 MAN.SMTRCN77M23Z217Q"/>
    <x v="5"/>
    <x v="13"/>
    <x v="76"/>
  </r>
  <r>
    <n v="820"/>
    <s v="IT47Z3608105138243365043377"/>
    <m/>
    <x v="2"/>
    <x v="12"/>
    <d v="2018-09-10T00:00:00"/>
    <d v="2018-09-10T00:00:00"/>
    <n v="-92.62"/>
    <n v="92.62"/>
    <m/>
    <s v="ADDEBITO DIRETTO PREAUTORIZZATO VODAFONE (CCB CID.IT200010000093026890017 100918 MAN.SMTRCN77M23Z217Q"/>
    <x v="5"/>
    <x v="13"/>
    <x v="76"/>
  </r>
  <r>
    <n v="821"/>
    <s v="IT47Z3608105138243365043377"/>
    <m/>
    <x v="2"/>
    <x v="7"/>
    <d v="2018-11-08T00:00:00"/>
    <d v="2018-11-08T00:00:00"/>
    <n v="-149.63"/>
    <n v="149.63"/>
    <m/>
    <s v="ADDEBITO DIRETTO PREAUTORIZZATO VODAFONE (CCB CID.IT200010000093026890017 081118 MAN.SMTRCN77M23Z217Q"/>
    <x v="5"/>
    <x v="13"/>
    <x v="76"/>
  </r>
  <r>
    <n v="839"/>
    <s v="KAS"/>
    <m/>
    <x v="2"/>
    <x v="10"/>
    <d v="2018-03-09T00:00:00"/>
    <d v="2018-03-09T00:00:00"/>
    <n v="-50"/>
    <n v="50"/>
    <m/>
    <s v="poste prepay"/>
    <x v="5"/>
    <x v="13"/>
    <x v="76"/>
  </r>
  <r>
    <n v="932"/>
    <s v="KAS"/>
    <m/>
    <x v="2"/>
    <x v="50"/>
    <d v="2018-05-15T00:00:00"/>
    <d v="2018-05-15T00:00:00"/>
    <n v="-10"/>
    <n v="10"/>
    <m/>
    <s v="beltegoed"/>
    <x v="5"/>
    <x v="13"/>
    <x v="76"/>
  </r>
  <r>
    <n v="1081"/>
    <s v="KAS"/>
    <m/>
    <x v="2"/>
    <x v="12"/>
    <d v="2018-09-01T00:00:00"/>
    <d v="2018-09-01T00:00:00"/>
    <n v="20"/>
    <n v="20"/>
    <m/>
    <s v="retour rob internet"/>
    <x v="5"/>
    <x v="13"/>
    <x v="76"/>
  </r>
  <r>
    <n v="1119"/>
    <s v="NL22RABO0381604934"/>
    <m/>
    <x v="2"/>
    <x v="6"/>
    <d v="2018-01-04T00:00:00"/>
    <d v="2018-01-04T00:00:00"/>
    <n v="-4.5999999999999996"/>
    <n v="4.5999999999999996"/>
    <m/>
    <s v="Kosten"/>
    <x v="5"/>
    <x v="13"/>
    <x v="74"/>
  </r>
  <r>
    <n v="1120"/>
    <s v="NL22RABO0381604934"/>
    <m/>
    <x v="2"/>
    <x v="6"/>
    <d v="2018-01-22T00:00:00"/>
    <d v="2018-01-22T00:00:00"/>
    <n v="-63.7"/>
    <n v="63.7"/>
    <m/>
    <s v="NS GROEP IZ NS REIZIGERS"/>
    <x v="5"/>
    <x v="13"/>
    <x v="77"/>
  </r>
  <r>
    <n v="1121"/>
    <s v="NL22RABO0381604934"/>
    <m/>
    <x v="2"/>
    <x v="6"/>
    <d v="2018-01-22T00:00:00"/>
    <d v="2018-01-22T00:00:00"/>
    <n v="95"/>
    <n v="95"/>
    <m/>
    <s v="BELASTINGDIENST"/>
    <x v="5"/>
    <x v="13"/>
    <x v="82"/>
  </r>
  <r>
    <n v="1122"/>
    <s v="NL22RABO0381604934"/>
    <m/>
    <x v="2"/>
    <x v="6"/>
    <d v="2018-01-25T00:00:00"/>
    <d v="2018-01-25T00:00:00"/>
    <n v="-97.87"/>
    <n v="97.87"/>
    <m/>
    <s v="DUO Hoofdrekening"/>
    <x v="5"/>
    <x v="13"/>
    <x v="78"/>
  </r>
  <r>
    <n v="1124"/>
    <s v="NL22RABO0381604934"/>
    <m/>
    <x v="2"/>
    <x v="6"/>
    <d v="2018-01-29T00:00:00"/>
    <d v="2018-01-29T00:00:00"/>
    <n v="-103.45"/>
    <n v="103.45"/>
    <m/>
    <s v="NV UNIVE ZORG"/>
    <x v="5"/>
    <x v="13"/>
    <x v="81"/>
  </r>
  <r>
    <n v="1125"/>
    <s v="NL22RABO0381604934"/>
    <m/>
    <x v="2"/>
    <x v="9"/>
    <d v="2018-02-04T00:00:00"/>
    <d v="2018-02-04T00:00:00"/>
    <n v="-4.5999999999999996"/>
    <n v="4.5999999999999996"/>
    <m/>
    <s v="Kosten"/>
    <x v="5"/>
    <x v="13"/>
    <x v="74"/>
  </r>
  <r>
    <n v="1126"/>
    <s v="NL22RABO0381604934"/>
    <m/>
    <x v="2"/>
    <x v="9"/>
    <d v="2018-02-06T00:00:00"/>
    <d v="2018-02-06T00:00:00"/>
    <n v="-38.909999999999997"/>
    <n v="38.909999999999997"/>
    <m/>
    <s v="YOUR HOSTING B.V."/>
    <x v="5"/>
    <x v="13"/>
    <x v="79"/>
  </r>
  <r>
    <n v="1129"/>
    <s v="NL22RABO0381604934"/>
    <m/>
    <x v="2"/>
    <x v="9"/>
    <d v="2018-02-20T00:00:00"/>
    <d v="2018-02-20T00:00:00"/>
    <n v="-20"/>
    <n v="20"/>
    <m/>
    <s v="Vesta Payment Solutions"/>
    <x v="5"/>
    <x v="13"/>
    <x v="70"/>
  </r>
  <r>
    <n v="1130"/>
    <s v="NL22RABO0381604934"/>
    <m/>
    <x v="2"/>
    <x v="9"/>
    <d v="2018-02-20T00:00:00"/>
    <d v="2018-02-20T00:00:00"/>
    <n v="95"/>
    <n v="95"/>
    <m/>
    <s v="BELASTINGDIENST"/>
    <x v="5"/>
    <x v="13"/>
    <x v="82"/>
  </r>
  <r>
    <n v="1133"/>
    <s v="NL22RABO0381604934"/>
    <m/>
    <x v="2"/>
    <x v="9"/>
    <d v="2018-02-26T00:00:00"/>
    <d v="2018-02-26T00:00:00"/>
    <n v="-97.87"/>
    <n v="97.87"/>
    <m/>
    <s v="DUO Hoofdrekening"/>
    <x v="5"/>
    <x v="13"/>
    <x v="78"/>
  </r>
  <r>
    <n v="1134"/>
    <s v="NL22RABO0381604934"/>
    <m/>
    <x v="2"/>
    <x v="9"/>
    <d v="2018-02-27T00:00:00"/>
    <d v="2018-02-27T00:00:00"/>
    <n v="-103.45"/>
    <n v="103.45"/>
    <m/>
    <s v="NV UNIVE ZORG"/>
    <x v="5"/>
    <x v="13"/>
    <x v="81"/>
  </r>
  <r>
    <n v="1143"/>
    <s v="NL22RABO0381604934"/>
    <m/>
    <x v="2"/>
    <x v="10"/>
    <d v="2018-03-03T00:00:00"/>
    <d v="2018-03-03T00:00:00"/>
    <n v="-4.5999999999999996"/>
    <n v="4.5999999999999996"/>
    <m/>
    <s v="Kosten"/>
    <x v="5"/>
    <x v="13"/>
    <x v="74"/>
  </r>
  <r>
    <n v="1150"/>
    <s v="NL22RABO0381604934"/>
    <m/>
    <x v="2"/>
    <x v="10"/>
    <d v="2018-03-07T00:00:00"/>
    <d v="2018-03-07T00:00:00"/>
    <n v="-3.7"/>
    <n v="3.7"/>
    <m/>
    <s v="UNIVE STAD EN LAND BV"/>
    <x v="5"/>
    <x v="13"/>
    <x v="80"/>
  </r>
  <r>
    <n v="1174"/>
    <s v="NL22RABO0381604934"/>
    <m/>
    <x v="2"/>
    <x v="10"/>
    <d v="2018-03-19T00:00:00"/>
    <d v="2018-03-19T00:00:00"/>
    <n v="-10"/>
    <n v="10"/>
    <m/>
    <s v="Vesta Payment Solutions"/>
    <x v="5"/>
    <x v="13"/>
    <x v="70"/>
  </r>
  <r>
    <n v="1175"/>
    <s v="NL22RABO0381604934"/>
    <m/>
    <x v="2"/>
    <x v="10"/>
    <d v="2018-03-20T00:00:00"/>
    <d v="2018-03-20T00:00:00"/>
    <n v="95"/>
    <n v="95"/>
    <m/>
    <s v="BELASTINGDIENST"/>
    <x v="5"/>
    <x v="13"/>
    <x v="82"/>
  </r>
  <r>
    <n v="1184"/>
    <s v="NL22RABO0381604934"/>
    <m/>
    <x v="2"/>
    <x v="10"/>
    <d v="2018-03-26T00:00:00"/>
    <d v="2018-03-26T00:00:00"/>
    <n v="-97.87"/>
    <n v="97.87"/>
    <m/>
    <s v="DUO Hoofdrekening"/>
    <x v="5"/>
    <x v="13"/>
    <x v="78"/>
  </r>
  <r>
    <n v="1186"/>
    <s v="NL22RABO0381604934"/>
    <m/>
    <x v="2"/>
    <x v="10"/>
    <d v="2018-03-27T00:00:00"/>
    <d v="2018-03-27T00:00:00"/>
    <n v="-103.45"/>
    <n v="103.45"/>
    <m/>
    <s v="NV UNIVE ZORG"/>
    <x v="5"/>
    <x v="13"/>
    <x v="81"/>
  </r>
  <r>
    <n v="1189"/>
    <s v="NL22RABO0381604934"/>
    <m/>
    <x v="2"/>
    <x v="10"/>
    <d v="2018-03-28T00:00:00"/>
    <d v="2018-03-28T00:00:00"/>
    <n v="-3.7"/>
    <n v="3.7"/>
    <m/>
    <s v="UNIVE STAD EN LAND BV"/>
    <x v="5"/>
    <x v="13"/>
    <x v="80"/>
  </r>
  <r>
    <n v="1190"/>
    <s v="NL22RABO0381604934"/>
    <m/>
    <x v="2"/>
    <x v="10"/>
    <d v="2018-03-28T00:00:00"/>
    <d v="2018-03-28T00:00:00"/>
    <n v="-30"/>
    <n v="30"/>
    <m/>
    <s v="VODAFONE STORE ROMA ITA"/>
    <x v="5"/>
    <x v="13"/>
    <x v="76"/>
  </r>
  <r>
    <n v="1195"/>
    <s v="NL22RABO0381604934"/>
    <m/>
    <x v="2"/>
    <x v="49"/>
    <d v="2018-04-15T00:00:00"/>
    <d v="2018-04-15T00:00:00"/>
    <n v="-10"/>
    <n v="10"/>
    <m/>
    <s v="beltegoed"/>
    <x v="5"/>
    <x v="13"/>
    <x v="76"/>
  </r>
  <r>
    <n v="1196"/>
    <s v="NL22RABO0381604934"/>
    <m/>
    <x v="2"/>
    <x v="49"/>
    <d v="2018-04-15T00:00:00"/>
    <d v="2018-04-15T00:00:00"/>
    <n v="-3.7"/>
    <n v="3.7"/>
    <m/>
    <s v="UNIVE STAD EN LAND BV"/>
    <x v="5"/>
    <x v="13"/>
    <x v="80"/>
  </r>
  <r>
    <n v="1197"/>
    <s v="NL22RABO0381604934"/>
    <m/>
    <x v="2"/>
    <x v="49"/>
    <d v="2018-04-15T00:00:00"/>
    <d v="2018-04-15T00:00:00"/>
    <n v="-103.45"/>
    <n v="103.45"/>
    <m/>
    <s v="unive zorg"/>
    <x v="5"/>
    <x v="13"/>
    <x v="81"/>
  </r>
  <r>
    <n v="1198"/>
    <s v="NL22RABO0381604934"/>
    <m/>
    <x v="2"/>
    <x v="49"/>
    <d v="2018-04-15T00:00:00"/>
    <d v="2018-04-15T00:00:00"/>
    <n v="-97.87"/>
    <n v="97.87"/>
    <m/>
    <s v="DUO Hoofdrekening"/>
    <x v="5"/>
    <x v="13"/>
    <x v="78"/>
  </r>
  <r>
    <n v="1200"/>
    <s v="NL22RABO0381604934"/>
    <m/>
    <x v="2"/>
    <x v="49"/>
    <d v="2018-04-15T00:00:00"/>
    <d v="2018-04-15T00:00:00"/>
    <n v="95"/>
    <n v="95"/>
    <m/>
    <s v="BELASTINGDIENST"/>
    <x v="5"/>
    <x v="13"/>
    <x v="82"/>
  </r>
  <r>
    <n v="1201"/>
    <s v="NL22RABO0381604934"/>
    <m/>
    <x v="2"/>
    <x v="49"/>
    <d v="2018-04-15T00:00:00"/>
    <d v="2018-04-15T00:00:00"/>
    <n v="-4.7"/>
    <n v="4.7"/>
    <m/>
    <s v="kosten"/>
    <x v="5"/>
    <x v="13"/>
    <x v="74"/>
  </r>
  <r>
    <n v="1217"/>
    <s v="NL22RABO0381604934"/>
    <m/>
    <x v="2"/>
    <x v="50"/>
    <d v="2018-05-15T00:00:00"/>
    <d v="2018-05-15T00:00:00"/>
    <n v="-3.7"/>
    <n v="3.7"/>
    <m/>
    <s v="UNIVE STAD EN LAND BV"/>
    <x v="5"/>
    <x v="13"/>
    <x v="80"/>
  </r>
  <r>
    <n v="1218"/>
    <s v="NL22RABO0381604934"/>
    <m/>
    <x v="2"/>
    <x v="50"/>
    <d v="2018-05-15T00:00:00"/>
    <d v="2018-05-15T00:00:00"/>
    <n v="-103.45"/>
    <n v="103.45"/>
    <m/>
    <s v="unive zorg"/>
    <x v="5"/>
    <x v="13"/>
    <x v="81"/>
  </r>
  <r>
    <n v="1219"/>
    <s v="NL22RABO0381604934"/>
    <m/>
    <x v="2"/>
    <x v="50"/>
    <d v="2018-05-15T00:00:00"/>
    <d v="2018-05-15T00:00:00"/>
    <n v="-97.87"/>
    <n v="97.87"/>
    <m/>
    <s v="DUO Hoofdrekening"/>
    <x v="5"/>
    <x v="13"/>
    <x v="78"/>
  </r>
  <r>
    <n v="1221"/>
    <s v="NL22RABO0381604934"/>
    <m/>
    <x v="2"/>
    <x v="50"/>
    <d v="2018-05-15T00:00:00"/>
    <d v="2018-05-15T00:00:00"/>
    <n v="95"/>
    <n v="95"/>
    <m/>
    <s v="BELASTINGDIENST"/>
    <x v="5"/>
    <x v="13"/>
    <x v="82"/>
  </r>
  <r>
    <n v="1223"/>
    <s v="NL22RABO0381604934"/>
    <m/>
    <x v="2"/>
    <x v="50"/>
    <d v="2018-05-15T00:00:00"/>
    <d v="2018-05-15T00:00:00"/>
    <n v="-4.7"/>
    <n v="4.7"/>
    <m/>
    <s v="kosten"/>
    <x v="5"/>
    <x v="13"/>
    <x v="74"/>
  </r>
  <r>
    <n v="1225"/>
    <s v="NL22RABO0381604934"/>
    <m/>
    <x v="2"/>
    <x v="50"/>
    <d v="2018-05-15T00:00:00"/>
    <d v="2018-05-15T00:00:00"/>
    <n v="-49.43"/>
    <n v="49.43"/>
    <m/>
    <s v="yourhosting"/>
    <x v="5"/>
    <x v="13"/>
    <x v="79"/>
  </r>
  <r>
    <n v="1228"/>
    <s v="NL22RABO0381604934"/>
    <m/>
    <x v="2"/>
    <x v="51"/>
    <d v="2018-06-05T00:00:00"/>
    <d v="2018-06-05T00:00:00"/>
    <n v="-4.7"/>
    <n v="4.7"/>
    <m/>
    <s v="Kosten"/>
    <x v="5"/>
    <x v="13"/>
    <x v="74"/>
  </r>
  <r>
    <n v="1233"/>
    <s v="NL22RABO0381604934"/>
    <m/>
    <x v="2"/>
    <x v="51"/>
    <d v="2018-06-18T00:00:00"/>
    <d v="2018-06-18T00:00:00"/>
    <n v="-10"/>
    <n v="10"/>
    <m/>
    <s v="VODAFONE ONE ROMA ITA"/>
    <x v="5"/>
    <x v="13"/>
    <x v="76"/>
  </r>
  <r>
    <n v="1235"/>
    <s v="NL22RABO0381604934"/>
    <m/>
    <x v="2"/>
    <x v="51"/>
    <d v="2018-06-20T00:00:00"/>
    <d v="2018-06-20T00:00:00"/>
    <n v="95"/>
    <n v="95"/>
    <m/>
    <s v="BELASTINGDIENST"/>
    <x v="5"/>
    <x v="13"/>
    <x v="82"/>
  </r>
  <r>
    <n v="1238"/>
    <s v="NL22RABO0381604934"/>
    <m/>
    <x v="2"/>
    <x v="51"/>
    <d v="2018-06-25T00:00:00"/>
    <d v="2018-06-25T00:00:00"/>
    <n v="-97.87"/>
    <n v="97.87"/>
    <m/>
    <s v="DUO Hoofdrekening"/>
    <x v="5"/>
    <x v="13"/>
    <x v="78"/>
  </r>
  <r>
    <n v="1240"/>
    <s v="NL22RABO0381604934"/>
    <m/>
    <x v="2"/>
    <x v="51"/>
    <d v="2018-06-27T00:00:00"/>
    <d v="2018-06-27T00:00:00"/>
    <n v="-103.45"/>
    <n v="103.45"/>
    <m/>
    <s v="NV UNIVE ZORG"/>
    <x v="5"/>
    <x v="13"/>
    <x v="81"/>
  </r>
  <r>
    <n v="1241"/>
    <s v="NL22RABO0381604934"/>
    <m/>
    <x v="2"/>
    <x v="51"/>
    <d v="2018-06-28T00:00:00"/>
    <d v="2018-06-28T00:00:00"/>
    <n v="-3.7"/>
    <n v="3.7"/>
    <m/>
    <s v="UNIVE STAD EN LAND BV"/>
    <x v="5"/>
    <x v="13"/>
    <x v="80"/>
  </r>
  <r>
    <n v="1244"/>
    <s v="NL22RABO0381604934"/>
    <m/>
    <x v="2"/>
    <x v="52"/>
    <d v="2018-07-04T00:00:00"/>
    <d v="2018-07-04T00:00:00"/>
    <n v="-0.6"/>
    <n v="0.6"/>
    <m/>
    <s v="Kosten"/>
    <x v="5"/>
    <x v="13"/>
    <x v="74"/>
  </r>
  <r>
    <n v="1245"/>
    <s v="NL22RABO0381604934"/>
    <m/>
    <x v="2"/>
    <x v="52"/>
    <d v="2018-07-04T00:00:00"/>
    <d v="2018-07-04T00:00:00"/>
    <n v="-4.7"/>
    <n v="4.7"/>
    <m/>
    <s v="Kosten"/>
    <x v="5"/>
    <x v="13"/>
    <x v="74"/>
  </r>
  <r>
    <n v="1246"/>
    <s v="NL22RABO0381604934"/>
    <m/>
    <x v="2"/>
    <x v="52"/>
    <d v="2018-07-05T00:00:00"/>
    <d v="2018-07-05T00:00:00"/>
    <n v="-24.91"/>
    <n v="24.91"/>
    <m/>
    <s v="Your Hosting B.V."/>
    <x v="5"/>
    <x v="13"/>
    <x v="79"/>
  </r>
  <r>
    <n v="1249"/>
    <s v="NL22RABO0381604934"/>
    <m/>
    <x v="2"/>
    <x v="52"/>
    <d v="2018-07-20T00:00:00"/>
    <d v="2018-07-20T00:00:00"/>
    <n v="95"/>
    <n v="95"/>
    <m/>
    <s v="BELASTINGDIENST"/>
    <x v="5"/>
    <x v="13"/>
    <x v="82"/>
  </r>
  <r>
    <n v="1251"/>
    <s v="NL22RABO0381604934"/>
    <m/>
    <x v="2"/>
    <x v="52"/>
    <d v="2018-07-25T00:00:00"/>
    <d v="2018-07-25T00:00:00"/>
    <n v="-97.87"/>
    <n v="97.87"/>
    <m/>
    <s v="DUO Hoofdrekening"/>
    <x v="5"/>
    <x v="13"/>
    <x v="78"/>
  </r>
  <r>
    <n v="1252"/>
    <s v="NL22RABO0381604934"/>
    <m/>
    <x v="2"/>
    <x v="52"/>
    <d v="2018-07-25T00:00:00"/>
    <d v="2018-07-25T00:00:00"/>
    <n v="-3.7"/>
    <n v="3.7"/>
    <m/>
    <s v="UNIVE STAD EN LAND BV"/>
    <x v="5"/>
    <x v="13"/>
    <x v="80"/>
  </r>
  <r>
    <n v="1255"/>
    <s v="NL22RABO0381604934"/>
    <m/>
    <x v="2"/>
    <x v="52"/>
    <d v="2018-07-27T00:00:00"/>
    <d v="2018-07-27T00:00:00"/>
    <n v="-103.45"/>
    <n v="103.45"/>
    <m/>
    <s v="NV UNIVE ZORG"/>
    <x v="5"/>
    <x v="13"/>
    <x v="81"/>
  </r>
  <r>
    <n v="1258"/>
    <s v="NL22RABO0381604934"/>
    <m/>
    <x v="2"/>
    <x v="37"/>
    <d v="2018-08-02T00:00:00"/>
    <d v="2018-08-02T00:00:00"/>
    <n v="1"/>
    <n v="1"/>
    <m/>
    <s v="BELASTINGDIENST"/>
    <x v="5"/>
    <x v="13"/>
    <x v="82"/>
  </r>
  <r>
    <n v="1259"/>
    <s v="NL22RABO0381604934"/>
    <m/>
    <x v="2"/>
    <x v="37"/>
    <d v="2018-08-03T00:00:00"/>
    <d v="2018-08-03T00:00:00"/>
    <n v="-0.6"/>
    <n v="0.6"/>
    <m/>
    <s v="Kosten"/>
    <x v="5"/>
    <x v="13"/>
    <x v="74"/>
  </r>
  <r>
    <n v="1260"/>
    <s v="NL22RABO0381604934"/>
    <m/>
    <x v="2"/>
    <x v="37"/>
    <d v="2018-08-03T00:00:00"/>
    <d v="2018-08-03T00:00:00"/>
    <n v="-4.7"/>
    <n v="4.7"/>
    <m/>
    <s v="Kosten"/>
    <x v="5"/>
    <x v="13"/>
    <x v="74"/>
  </r>
  <r>
    <n v="1263"/>
    <s v="NL22RABO0381604934"/>
    <m/>
    <x v="2"/>
    <x v="37"/>
    <d v="2018-08-20T00:00:00"/>
    <d v="2018-08-20T00:00:00"/>
    <n v="95"/>
    <n v="95"/>
    <m/>
    <s v="BELASTINGDIENST"/>
    <x v="5"/>
    <x v="13"/>
    <x v="82"/>
  </r>
  <r>
    <n v="1264"/>
    <s v="NL22RABO0381604934"/>
    <m/>
    <x v="2"/>
    <x v="37"/>
    <d v="2018-08-27T00:00:00"/>
    <d v="2018-08-27T00:00:00"/>
    <n v="-103.45"/>
    <n v="103.45"/>
    <m/>
    <s v="NV UNIVE ZORG"/>
    <x v="5"/>
    <x v="13"/>
    <x v="81"/>
  </r>
  <r>
    <n v="1265"/>
    <s v="NL22RABO0381604934"/>
    <m/>
    <x v="2"/>
    <x v="37"/>
    <d v="2018-08-27T00:00:00"/>
    <d v="2018-08-27T00:00:00"/>
    <n v="-97.87"/>
    <n v="97.87"/>
    <m/>
    <s v="DUO Hoofdrekening"/>
    <x v="5"/>
    <x v="13"/>
    <x v="78"/>
  </r>
  <r>
    <n v="1268"/>
    <s v="NL22RABO0381604934"/>
    <m/>
    <x v="2"/>
    <x v="37"/>
    <d v="2018-08-29T00:00:00"/>
    <d v="2018-08-29T00:00:00"/>
    <n v="-3.7"/>
    <n v="3.7"/>
    <m/>
    <s v="UNIVE STAD EN LAND BV"/>
    <x v="5"/>
    <x v="13"/>
    <x v="80"/>
  </r>
  <r>
    <n v="1269"/>
    <s v="NL22RABO0381604934"/>
    <m/>
    <x v="2"/>
    <x v="12"/>
    <d v="2018-09-04T00:00:00"/>
    <d v="2018-09-04T00:00:00"/>
    <n v="-0.6"/>
    <n v="0.6"/>
    <m/>
    <s v="Kosten"/>
    <x v="5"/>
    <x v="13"/>
    <x v="74"/>
  </r>
  <r>
    <n v="1270"/>
    <s v="NL22RABO0381604934"/>
    <m/>
    <x v="2"/>
    <x v="12"/>
    <d v="2018-09-04T00:00:00"/>
    <d v="2018-09-04T00:00:00"/>
    <n v="-4.7"/>
    <n v="4.7"/>
    <m/>
    <s v="Kosten"/>
    <x v="5"/>
    <x v="13"/>
    <x v="74"/>
  </r>
  <r>
    <n v="1275"/>
    <s v="NL22RABO0381604934"/>
    <m/>
    <x v="2"/>
    <x v="12"/>
    <d v="2018-09-20T00:00:00"/>
    <d v="2018-09-20T00:00:00"/>
    <n v="95"/>
    <n v="95"/>
    <m/>
    <s v="BELASTINGDIENST"/>
    <x v="5"/>
    <x v="13"/>
    <x v="82"/>
  </r>
  <r>
    <n v="1278"/>
    <s v="NL22RABO0381604934"/>
    <m/>
    <x v="2"/>
    <x v="12"/>
    <d v="2018-09-25T00:00:00"/>
    <d v="2018-09-25T00:00:00"/>
    <n v="-97.87"/>
    <n v="97.87"/>
    <m/>
    <s v="DUO Hoofdrekening"/>
    <x v="5"/>
    <x v="13"/>
    <x v="78"/>
  </r>
  <r>
    <n v="1281"/>
    <s v="NL22RABO0381604934"/>
    <m/>
    <x v="2"/>
    <x v="12"/>
    <d v="2018-09-26T00:00:00"/>
    <d v="2018-09-26T00:00:00"/>
    <n v="-3.7"/>
    <n v="3.7"/>
    <m/>
    <s v="UNIVE STAD EN LAND BV"/>
    <x v="5"/>
    <x v="13"/>
    <x v="80"/>
  </r>
  <r>
    <n v="1282"/>
    <s v="NL22RABO0381604934"/>
    <m/>
    <x v="2"/>
    <x v="12"/>
    <d v="2018-09-27T00:00:00"/>
    <d v="2018-09-27T00:00:00"/>
    <n v="-103.45"/>
    <n v="103.45"/>
    <m/>
    <s v="NV UNIVE ZORG"/>
    <x v="5"/>
    <x v="13"/>
    <x v="81"/>
  </r>
  <r>
    <n v="1284"/>
    <s v="NL22RABO0381604934"/>
    <m/>
    <x v="2"/>
    <x v="11"/>
    <d v="2018-10-01T00:00:00"/>
    <d v="2018-10-01T00:00:00"/>
    <n v="-10"/>
    <n v="10"/>
    <m/>
    <s v="Vesta Payment Solutions"/>
    <x v="5"/>
    <x v="13"/>
    <x v="70"/>
  </r>
  <r>
    <n v="1285"/>
    <s v="NL22RABO0381604934"/>
    <m/>
    <x v="2"/>
    <x v="11"/>
    <d v="2018-10-02T00:00:00"/>
    <d v="2018-10-02T00:00:00"/>
    <n v="-0.6"/>
    <n v="0.6"/>
    <m/>
    <s v="Kosten"/>
    <x v="5"/>
    <x v="13"/>
    <x v="74"/>
  </r>
  <r>
    <n v="1286"/>
    <s v="NL22RABO0381604934"/>
    <m/>
    <x v="2"/>
    <x v="11"/>
    <d v="2018-10-02T00:00:00"/>
    <d v="2018-10-02T00:00:00"/>
    <n v="-4.7"/>
    <n v="4.7"/>
    <m/>
    <s v="Kosten"/>
    <x v="5"/>
    <x v="13"/>
    <x v="74"/>
  </r>
  <r>
    <n v="1292"/>
    <s v="NL22RABO0381604934"/>
    <m/>
    <x v="2"/>
    <x v="11"/>
    <d v="2018-10-05T00:00:00"/>
    <d v="2018-10-05T00:00:00"/>
    <n v="-72.599999999999994"/>
    <n v="72.599999999999994"/>
    <m/>
    <s v="VEVIDA BV"/>
    <x v="5"/>
    <x v="13"/>
    <x v="79"/>
  </r>
  <r>
    <n v="1324"/>
    <s v="NL22RABO0381604934"/>
    <m/>
    <x v="2"/>
    <x v="11"/>
    <d v="2018-10-22T00:00:00"/>
    <d v="2018-10-22T00:00:00"/>
    <n v="95"/>
    <n v="95"/>
    <m/>
    <s v="BELASTINGDIENST"/>
    <x v="5"/>
    <x v="13"/>
    <x v="82"/>
  </r>
  <r>
    <n v="1330"/>
    <s v="NL22RABO0381604934"/>
    <m/>
    <x v="2"/>
    <x v="11"/>
    <d v="2018-10-24T00:00:00"/>
    <d v="2018-10-24T00:00:00"/>
    <n v="-295.93"/>
    <n v="295.93"/>
    <m/>
    <s v="DIENST UITVOERING ONDERWIJS"/>
    <x v="5"/>
    <x v="13"/>
    <x v="78"/>
  </r>
  <r>
    <n v="1333"/>
    <s v="NL22RABO0381604934"/>
    <m/>
    <x v="2"/>
    <x v="11"/>
    <d v="2018-10-29T00:00:00"/>
    <d v="2018-10-29T00:00:00"/>
    <n v="-103.45"/>
    <n v="103.45"/>
    <m/>
    <s v="NV UNIVE ZORG"/>
    <x v="5"/>
    <x v="13"/>
    <x v="81"/>
  </r>
  <r>
    <n v="1334"/>
    <s v="NL22RABO0381604934"/>
    <m/>
    <x v="2"/>
    <x v="11"/>
    <d v="2018-10-31T00:00:00"/>
    <d v="2018-10-31T00:00:00"/>
    <n v="-3.7"/>
    <n v="3.7"/>
    <m/>
    <s v="UNIVE STAD EN LAND BV"/>
    <x v="5"/>
    <x v="13"/>
    <x v="80"/>
  </r>
  <r>
    <n v="1335"/>
    <s v="NL22RABO0381604934"/>
    <m/>
    <x v="2"/>
    <x v="11"/>
    <d v="2018-10-31T00:00:00"/>
    <d v="2018-10-31T00:00:00"/>
    <n v="-25"/>
    <n v="25"/>
    <m/>
    <s v="K-Mobile Shop STADSKANAAL"/>
    <x v="5"/>
    <x v="13"/>
    <x v="70"/>
  </r>
  <r>
    <n v="1336"/>
    <s v="NL22RABO0381604934"/>
    <m/>
    <x v="2"/>
    <x v="11"/>
    <d v="2018-10-31T00:00:00"/>
    <d v="2018-10-31T00:00:00"/>
    <n v="-10"/>
    <n v="10"/>
    <m/>
    <s v="ACP*VFW 699 STADSKANAAL"/>
    <x v="5"/>
    <x v="13"/>
    <x v="70"/>
  </r>
  <r>
    <n v="1338"/>
    <s v="NL22RABO0381604934"/>
    <m/>
    <x v="2"/>
    <x v="7"/>
    <d v="2018-11-01T00:00:00"/>
    <d v="2018-11-01T00:00:00"/>
    <n v="3.2"/>
    <n v="3.2"/>
    <m/>
    <s v="UNIVE STAD EN LAND BV"/>
    <x v="5"/>
    <x v="13"/>
    <x v="80"/>
  </r>
  <r>
    <n v="1339"/>
    <s v="NL22RABO0381604934"/>
    <m/>
    <x v="2"/>
    <x v="7"/>
    <d v="2018-11-01T00:00:00"/>
    <d v="2018-11-01T00:00:00"/>
    <n v="60"/>
    <n v="60"/>
    <m/>
    <s v="AAB RETAIL INZ TIKKIE"/>
    <x v="5"/>
    <x v="13"/>
    <x v="76"/>
  </r>
  <r>
    <n v="1345"/>
    <s v="NL22RABO0381604934"/>
    <m/>
    <x v="2"/>
    <x v="7"/>
    <d v="2018-11-02T00:00:00"/>
    <d v="2018-11-02T00:00:00"/>
    <n v="-0.6"/>
    <n v="0.6"/>
    <m/>
    <s v="Kosten"/>
    <x v="5"/>
    <x v="13"/>
    <x v="74"/>
  </r>
  <r>
    <n v="1346"/>
    <s v="NL22RABO0381604934"/>
    <m/>
    <x v="2"/>
    <x v="7"/>
    <d v="2018-11-02T00:00:00"/>
    <d v="2018-11-02T00:00:00"/>
    <n v="-4.7"/>
    <n v="4.7"/>
    <m/>
    <s v="Kosten"/>
    <x v="5"/>
    <x v="13"/>
    <x v="74"/>
  </r>
  <r>
    <n v="1350"/>
    <s v="NL22RABO0381604934"/>
    <m/>
    <x v="2"/>
    <x v="7"/>
    <d v="2018-11-06T00:00:00"/>
    <d v="2018-11-06T00:00:00"/>
    <n v="-50.6"/>
    <n v="50.6"/>
    <m/>
    <s v="Your Hosting B.V."/>
    <x v="5"/>
    <x v="13"/>
    <x v="79"/>
  </r>
  <r>
    <n v="1354"/>
    <s v="NL22RABO0381604934"/>
    <m/>
    <x v="2"/>
    <x v="7"/>
    <d v="2018-11-20T00:00:00"/>
    <d v="2018-11-20T00:00:00"/>
    <n v="95"/>
    <n v="95"/>
    <m/>
    <s v="BELASTINGDIENST"/>
    <x v="5"/>
    <x v="13"/>
    <x v="82"/>
  </r>
  <r>
    <n v="1355"/>
    <s v="NL22RABO0381604934"/>
    <m/>
    <x v="2"/>
    <x v="7"/>
    <d v="2018-11-27T00:00:00"/>
    <d v="2018-11-27T00:00:00"/>
    <n v="-103.45"/>
    <n v="103.45"/>
    <m/>
    <s v="NV UNIVE ZORG"/>
    <x v="5"/>
    <x v="13"/>
    <x v="81"/>
  </r>
  <r>
    <n v="1358"/>
    <s v="NL22RABO0381604934"/>
    <m/>
    <x v="2"/>
    <x v="8"/>
    <d v="2018-12-04T00:00:00"/>
    <d v="2018-12-04T00:00:00"/>
    <n v="-0.6"/>
    <n v="0.6"/>
    <m/>
    <s v="Kosten"/>
    <x v="5"/>
    <x v="13"/>
    <x v="74"/>
  </r>
  <r>
    <n v="1359"/>
    <s v="NL22RABO0381604934"/>
    <m/>
    <x v="2"/>
    <x v="8"/>
    <d v="2018-12-04T00:00:00"/>
    <d v="2018-12-04T00:00:00"/>
    <n v="-4.7"/>
    <n v="4.7"/>
    <m/>
    <s v="Kosten"/>
    <x v="5"/>
    <x v="13"/>
    <x v="74"/>
  </r>
  <r>
    <n v="1361"/>
    <s v="NL22RABO0381604934"/>
    <m/>
    <x v="2"/>
    <x v="8"/>
    <d v="2018-12-20T00:00:00"/>
    <d v="2018-12-20T00:00:00"/>
    <n v="99"/>
    <n v="99"/>
    <m/>
    <s v="BELASTINGDIENST"/>
    <x v="5"/>
    <x v="13"/>
    <x v="82"/>
  </r>
  <r>
    <n v="1364"/>
    <s v="NL22RABO0381604934"/>
    <m/>
    <x v="2"/>
    <x v="8"/>
    <d v="2018-12-27T00:00:00"/>
    <d v="2018-12-27T00:00:00"/>
    <n v="-108.35"/>
    <n v="108.35"/>
    <m/>
    <s v="NV UNIVE ZORG"/>
    <x v="5"/>
    <x v="13"/>
    <x v="81"/>
  </r>
  <r>
    <n v="1382"/>
    <s v="BNPPARIBAS"/>
    <m/>
    <x v="3"/>
    <x v="13"/>
    <d v="2019-01-03T00:00:00"/>
    <d v="2019-01-03T00:00:00"/>
    <n v="-8.7799999999999994"/>
    <n v="8.7799999999999994"/>
    <m/>
    <s v="COMMISSIONS COTISATION ESPRIT LIBRE"/>
    <x v="5"/>
    <x v="13"/>
    <x v="74"/>
  </r>
  <r>
    <n v="1383"/>
    <s v="BNPPARIBAS"/>
    <m/>
    <x v="3"/>
    <x v="13"/>
    <d v="2019-01-07T00:00:00"/>
    <d v="2019-01-07T00:00:00"/>
    <n v="-11.53"/>
    <n v="11.53"/>
    <m/>
    <s v="PRLV SEPA CARDIF ASSURANCE VIE ECH/070119 ID EMETT"/>
    <x v="5"/>
    <x v="13"/>
    <x v="69"/>
  </r>
  <r>
    <n v="1384"/>
    <s v="BNPPARIBAS"/>
    <m/>
    <x v="3"/>
    <x v="13"/>
    <d v="2019-01-08T00:00:00"/>
    <d v="2019-01-08T00:00:00"/>
    <n v="-4.99"/>
    <n v="4.99"/>
    <m/>
    <s v="PRLV SEPA PAYPAL EUROPE S.A.R.L. ET CIE S.C.A ECH/"/>
    <x v="5"/>
    <x v="13"/>
    <x v="84"/>
  </r>
  <r>
    <n v="1386"/>
    <s v="BNPPARIBAS"/>
    <m/>
    <x v="3"/>
    <x v="13"/>
    <d v="2019-01-15T00:00:00"/>
    <d v="2019-01-15T00:00:00"/>
    <n v="-9.99"/>
    <n v="9.99"/>
    <m/>
    <s v="PRLV SEPA PAYPAL EUROPE S.A.R.L. ET CIE S.C.A ECH/"/>
    <x v="5"/>
    <x v="13"/>
    <x v="72"/>
  </r>
  <r>
    <n v="1387"/>
    <s v="BNPPARIBAS"/>
    <m/>
    <x v="3"/>
    <x v="13"/>
    <d v="2019-01-22T00:00:00"/>
    <d v="2019-01-22T00:00:00"/>
    <n v="-1.99"/>
    <n v="1.99"/>
    <m/>
    <s v="PRLV SEPA PAYPAL EUROPE S.A.R.L. ET CIE S.C.A ECH/"/>
    <x v="5"/>
    <x v="13"/>
    <x v="83"/>
  </r>
  <r>
    <n v="1388"/>
    <s v="BNPPARIBAS"/>
    <m/>
    <x v="3"/>
    <x v="13"/>
    <d v="2019-01-23T00:00:00"/>
    <d v="2019-01-23T00:00:00"/>
    <n v="-7"/>
    <n v="7"/>
    <m/>
    <s v="PRLV SEPA PAYPAL EUROPE S.A.R.L. ET CIE S.C.A ECH/"/>
    <x v="5"/>
    <x v="13"/>
    <x v="73"/>
  </r>
  <r>
    <n v="1390"/>
    <s v="BNPPARIBAS"/>
    <m/>
    <x v="3"/>
    <x v="15"/>
    <d v="2019-02-04T00:00:00"/>
    <d v="2019-02-04T00:00:00"/>
    <n v="-8.7799999999999994"/>
    <n v="8.7799999999999994"/>
    <m/>
    <s v="COMMISSIONS COTISATION ESPRIT LIBRE"/>
    <x v="5"/>
    <x v="13"/>
    <x v="74"/>
  </r>
  <r>
    <n v="1391"/>
    <s v="BNPPARIBAS"/>
    <m/>
    <x v="3"/>
    <x v="15"/>
    <d v="2019-02-05T00:00:00"/>
    <d v="2019-02-05T00:00:00"/>
    <n v="-11.53"/>
    <n v="11.53"/>
    <m/>
    <s v="PRLV SEPA CARDIF ASSURANCE VIE ECH/050219 ID EMETTEUR/FR28ZZZ110086 MDT/++FR28ZZZ1100862013111800895153CDIF REF/BP008372063         050219108638 LIB/BP008372063         050219"/>
    <x v="5"/>
    <x v="13"/>
    <x v="69"/>
  </r>
  <r>
    <n v="1392"/>
    <s v="BNPPARIBAS"/>
    <m/>
    <x v="3"/>
    <x v="15"/>
    <d v="2019-02-07T00:00:00"/>
    <d v="2019-02-07T00:00:00"/>
    <n v="-4.99"/>
    <n v="4.99"/>
    <m/>
    <s v="PRLV SEPA PAYPAL EUROPE S.A.R.L. ET CIE S.C.A ECH/070219 ID EMETTEUR/LU96ZZZ0000000000000000058 MDT/5HBJ224MREGGA REF/1004887281353 PAYPAL VIREMENT LIB/1004887281353 PAYPAL"/>
    <x v="5"/>
    <x v="13"/>
    <x v="84"/>
  </r>
  <r>
    <n v="1393"/>
    <s v="BNPPARIBAS"/>
    <m/>
    <x v="3"/>
    <x v="15"/>
    <d v="2019-02-14T00:00:00"/>
    <d v="2019-02-14T00:00:00"/>
    <n v="-9.99"/>
    <n v="9.99"/>
    <m/>
    <s v="PRLV SEPA PAYPAL EUROPE S.A.R.L. ET CIE S.C.A ECH/140219 ID EMETTEUR/LU96ZZZ0000000000000000058 MDT/5HBJ224MREGGA REF/1004935953865 PAYPAL VIREMENT LIB/1004935953865 PAYPAL"/>
    <x v="5"/>
    <x v="13"/>
    <x v="72"/>
  </r>
  <r>
    <n v="1394"/>
    <s v="BNPPARIBAS"/>
    <m/>
    <x v="3"/>
    <x v="15"/>
    <d v="2019-02-22T00:00:00"/>
    <d v="2019-02-22T00:00:00"/>
    <n v="-1.99"/>
    <n v="1.99"/>
    <m/>
    <s v="PRLV SEPA PAYPAL EUROPE S.A.R.L. ET CIE S.C.A ECH/220219 ID EMETTEUR/LU96ZZZ0000000000000000058 MDT/5HBJ224MREGGA REF/1004991692064 PAYPAL VIREMENT LIB/1004991692064 PAYPAL"/>
    <x v="5"/>
    <x v="13"/>
    <x v="83"/>
  </r>
  <r>
    <n v="1395"/>
    <s v="BNPPARIBAS"/>
    <m/>
    <x v="3"/>
    <x v="15"/>
    <d v="2019-02-25T00:00:00"/>
    <d v="2019-02-25T00:00:00"/>
    <n v="-7"/>
    <n v="7"/>
    <m/>
    <s v="PRLV SEPA PAYPAL EUROPE S.A.R.L. ET CIE S.C.A ECH/250219 ID EMETTEUR/LU96ZZZ0000000000000000058 MDT/5HBJ224MREGGA REF/1005003993735 PAYPAL VIREMENT LIB/1005003993735 PAYPAL"/>
    <x v="5"/>
    <x v="13"/>
    <x v="73"/>
  </r>
  <r>
    <n v="1397"/>
    <s v="BNPPARIBAS"/>
    <m/>
    <x v="3"/>
    <x v="14"/>
    <d v="2019-03-04T00:00:00"/>
    <d v="2019-03-04T00:00:00"/>
    <n v="-8.7799999999999994"/>
    <n v="8.7799999999999994"/>
    <m/>
    <s v="COMMISSIONS COTISATION ESPRIT LIBRE"/>
    <x v="5"/>
    <x v="13"/>
    <x v="74"/>
  </r>
  <r>
    <n v="1398"/>
    <s v="BNPPARIBAS"/>
    <m/>
    <x v="3"/>
    <x v="14"/>
    <d v="2019-03-05T00:00:00"/>
    <d v="2019-03-05T00:00:00"/>
    <n v="-12.32"/>
    <n v="12.32"/>
    <m/>
    <s v="PRLV SEPA CARDIF ASSURANCE VIE ECH/050319 ID EMETTEUR/FR28ZZZ110086 MDT/++FR28ZZZ1100862013111800895153CDIF REF/BP008372063 050319107889 LIB/BP008372063 050319"/>
    <x v="5"/>
    <x v="13"/>
    <x v="69"/>
  </r>
  <r>
    <n v="1399"/>
    <s v="BNPPARIBAS"/>
    <m/>
    <x v="3"/>
    <x v="14"/>
    <d v="2019-03-07T00:00:00"/>
    <d v="2019-03-07T00:00:00"/>
    <n v="-4.99"/>
    <n v="4.99"/>
    <m/>
    <s v="PRLV SEPA PAYPAL EUROPE S.A.R.L. ET CIE S.C.A ECH/"/>
    <x v="5"/>
    <x v="13"/>
    <x v="84"/>
  </r>
  <r>
    <n v="1401"/>
    <s v="BNPPARIBAS"/>
    <m/>
    <x v="3"/>
    <x v="14"/>
    <d v="2019-03-15T00:00:00"/>
    <d v="2019-03-15T00:00:00"/>
    <n v="-9.99"/>
    <n v="9.99"/>
    <m/>
    <s v="PRLV SEPA PAYPAL EUROPE S.A.R.L. ET CIE S.C.A ECH/"/>
    <x v="5"/>
    <x v="13"/>
    <x v="72"/>
  </r>
  <r>
    <n v="1402"/>
    <s v="BNPPARIBAS"/>
    <m/>
    <x v="3"/>
    <x v="14"/>
    <d v="2019-03-22T00:00:00"/>
    <d v="2019-03-22T00:00:00"/>
    <n v="-1.99"/>
    <n v="1.99"/>
    <m/>
    <s v="PRLV SEPA PAYPAL EUROPE S.A.R.L. ET CIE S.C.A ECH/220319 ID EMETTEUR/LU96ZZZ0000000000000000058 MDT/5HBJ224MREGGA REF/1005205329850 PAYPAL VIREMENT LIB/1005205329850 PAYPAL"/>
    <x v="5"/>
    <x v="13"/>
    <x v="83"/>
  </r>
  <r>
    <n v="1403"/>
    <s v="BNPPARIBAS"/>
    <m/>
    <x v="3"/>
    <x v="14"/>
    <d v="2019-03-25T00:00:00"/>
    <d v="2019-03-25T00:00:00"/>
    <n v="-7"/>
    <n v="7"/>
    <m/>
    <s v="PRLV SEPA PAYPAL EUROPE S.A.R.L. ET CIE S.C.A ECH/250319 ID EMETTEUR/LU96ZZZ0000000000000000058 MDT/5HBJ224MREGGA REF/1005217579876 PAYPAL VIREMENT LIB/1005217579876 PAYPAL"/>
    <x v="5"/>
    <x v="13"/>
    <x v="73"/>
  </r>
  <r>
    <n v="1404"/>
    <s v="BNPPARIBAS"/>
    <m/>
    <x v="3"/>
    <x v="53"/>
    <d v="2019-04-02T00:00:00"/>
    <d v="2019-04-02T00:00:00"/>
    <n v="-8.7799999999999994"/>
    <n v="8.7799999999999994"/>
    <m/>
    <s v="COMMISSIONS COTISATION ESPRIT LIBRE"/>
    <x v="5"/>
    <x v="13"/>
    <x v="74"/>
  </r>
  <r>
    <n v="1406"/>
    <s v="BNPPARIBAS"/>
    <m/>
    <x v="3"/>
    <x v="53"/>
    <d v="2019-04-05T00:00:00"/>
    <d v="2019-04-05T00:00:00"/>
    <n v="-12.32"/>
    <n v="12.32"/>
    <m/>
    <s v="PRLV SEPA CARDIF ASSURANCE VIE ECH/050419 ID EMETTEUR/FR28ZZZ110086 MDT/++FR28ZZZ1100862013111800895153CDIF REF/BP008372063         050419105752 LIB/BP008372063         050419"/>
    <x v="5"/>
    <x v="13"/>
    <x v="69"/>
  </r>
  <r>
    <n v="1408"/>
    <s v="BNPPARIBAS"/>
    <m/>
    <x v="3"/>
    <x v="53"/>
    <d v="2019-04-09T00:00:00"/>
    <d v="2019-04-09T00:00:00"/>
    <n v="-4.99"/>
    <n v="4.99"/>
    <m/>
    <s v="PRLV SEPA PAYPAL EUROPE S.A.R.L. ET CIE S.C.A ECH/090419 ID EMETTEUR/LU96ZZZ0000000000000000058 MDT/5HBJ224MREGGA REF/1005334713224 PAYPAL VIREMENT LIB/1005334713224 PAYPAL"/>
    <x v="5"/>
    <x v="13"/>
    <x v="84"/>
  </r>
  <r>
    <n v="1410"/>
    <s v="BNPPARIBAS"/>
    <m/>
    <x v="3"/>
    <x v="53"/>
    <d v="2019-04-16T00:00:00"/>
    <d v="2019-04-16T00:00:00"/>
    <n v="-9.99"/>
    <n v="9.99"/>
    <m/>
    <s v="PRLV SEPA PAYPAL EUROPE S.A.R.L. ET CIE S.C.A ECH/160419 ID EMETTEUR/LU96ZZZ0000000000000000058 MDT/5HBJ224MREGGA REF/1005399847706 PAYPAL VIREMENT LIB/1005399847706 PAYPAL"/>
    <x v="5"/>
    <x v="13"/>
    <x v="72"/>
  </r>
  <r>
    <n v="1411"/>
    <s v="BNPPARIBAS"/>
    <m/>
    <x v="3"/>
    <x v="53"/>
    <d v="2019-04-24T00:00:00"/>
    <d v="2019-04-24T00:00:00"/>
    <n v="-1.99"/>
    <n v="1.99"/>
    <m/>
    <s v="PRLV SEPA PAYPAL EUROPE S.A.R.L. ET CIE S.C.A ECH/240419 ID EMETTEUR/LU96ZZZ0000000000000000058 MDT/5HBJ224MREGGA REF/1005442534213 PAYPAL VIREMENT LIB/1005442534213 PAYPAL"/>
    <x v="5"/>
    <x v="13"/>
    <x v="83"/>
  </r>
  <r>
    <n v="1412"/>
    <s v="BNPPARIBAS"/>
    <m/>
    <x v="3"/>
    <x v="53"/>
    <d v="2019-04-24T00:00:00"/>
    <d v="2019-04-24T00:00:00"/>
    <n v="-7"/>
    <n v="7"/>
    <m/>
    <s v="PRLV SEPA PAYPAL EUROPE S.A.R.L. ET CIE S.C.A ECH/240419 ID EMETTEUR/LU96ZZZ0000000000000000058 MDT/5HBJ224MREGGA REF/1005456546937 PAYPAL VIREMENT LIB/1005456546937 PAYPAL"/>
    <x v="5"/>
    <x v="13"/>
    <x v="73"/>
  </r>
  <r>
    <n v="1414"/>
    <s v="BNPPARIBAS"/>
    <m/>
    <x v="3"/>
    <x v="54"/>
    <d v="2019-05-03T00:00:00"/>
    <d v="2019-05-03T00:00:00"/>
    <n v="-8.7799999999999994"/>
    <n v="8.7799999999999994"/>
    <m/>
    <s v="COMMISSIONS COTISATION ESPRIT LIBRE"/>
    <x v="5"/>
    <x v="13"/>
    <x v="74"/>
  </r>
  <r>
    <n v="1415"/>
    <s v="BNPPARIBAS"/>
    <m/>
    <x v="3"/>
    <x v="54"/>
    <d v="2019-05-06T00:00:00"/>
    <d v="2019-05-06T00:00:00"/>
    <n v="-12.32"/>
    <n v="12.32"/>
    <m/>
    <s v="PRLV SEPA CARDIF ASSURANCE VIE ECH/060519 ID EMETTEUR/FR28ZZZ110086 MDT/++FR28ZZZ1100862013111800895153CDIF REF/BP008372063         050519080134 LIB/BP008372063         050519"/>
    <x v="5"/>
    <x v="13"/>
    <x v="69"/>
  </r>
  <r>
    <n v="1416"/>
    <s v="BNPPARIBAS"/>
    <m/>
    <x v="3"/>
    <x v="54"/>
    <d v="2019-05-07T00:00:00"/>
    <d v="2019-05-07T00:00:00"/>
    <n v="-4.99"/>
    <n v="4.99"/>
    <m/>
    <s v="PRLV SEPA PAYPAL EUROPE S.A.R.L. ET CIE S.C.A ECH/070519 ID EMETTEUR/LU96ZZZ0000000000000000058 MDT/5HBJ224MREGGA REF/1005563502455 PAYPAL VIREMENT LIB/1005563502455 PAYPAL"/>
    <x v="5"/>
    <x v="13"/>
    <x v="84"/>
  </r>
  <r>
    <n v="1417"/>
    <s v="BNPPARIBAS"/>
    <m/>
    <x v="3"/>
    <x v="54"/>
    <d v="2019-05-20T00:00:00"/>
    <d v="2019-05-20T00:00:00"/>
    <n v="-9.99"/>
    <n v="9.99"/>
    <m/>
    <s v="PRLV SEPA PAYPAL EUROPE S.A.R.L. ET CIE S.C.A ECH/200519 ID EMETTEUR/LU96ZZZ0000000000000000058 MDT/5HBJ224MREGGA REF/1005637736355 PAYPAL VIREMENT LIB/1005637736355 PAYPAL"/>
    <x v="5"/>
    <x v="13"/>
    <x v="72"/>
  </r>
  <r>
    <n v="1418"/>
    <s v="BNPPARIBAS"/>
    <m/>
    <x v="3"/>
    <x v="54"/>
    <d v="2019-05-22T00:00:00"/>
    <d v="2019-05-22T00:00:00"/>
    <n v="-1.99"/>
    <n v="1.99"/>
    <m/>
    <s v="PRLV SEPA PAYPAL EUROPE S.A.R.L. ET CIE S.C.A ECH/220519 ID EMETTEUR/LU96ZZZ0000000000000000058 MDT/5HBJ224MREGGA REF/1005672887230 PAYPAL VIREMENT LIB/1005672887230 PAYPAL"/>
    <x v="5"/>
    <x v="13"/>
    <x v="83"/>
  </r>
  <r>
    <n v="1419"/>
    <s v="BNPPARIBAS"/>
    <m/>
    <x v="3"/>
    <x v="54"/>
    <d v="2019-05-23T00:00:00"/>
    <d v="2019-05-23T00:00:00"/>
    <n v="-7"/>
    <n v="7"/>
    <m/>
    <s v="PRLV SEPA PAYPAL EUROPE S.A.R.L. ET CIE S.C.A ECH/230519 ID EMETTEUR/LU96ZZZ0000000000000000058 MDT/5HBJ224MREGGA REF/1005686976628 PAYPAL VIREMENT LIB/1005686976628 PAYPAL"/>
    <x v="5"/>
    <x v="13"/>
    <x v="73"/>
  </r>
  <r>
    <n v="1421"/>
    <s v="BNPPARIBAS"/>
    <m/>
    <x v="3"/>
    <x v="55"/>
    <d v="2019-06-04T00:00:00"/>
    <d v="2019-06-04T00:00:00"/>
    <n v="-8.7799999999999994"/>
    <n v="8.7799999999999994"/>
    <m/>
    <s v="COMMISSIONS COTISATION ESPRIT LIBRE"/>
    <x v="5"/>
    <x v="13"/>
    <x v="74"/>
  </r>
  <r>
    <n v="1422"/>
    <s v="BNPPARIBAS"/>
    <m/>
    <x v="3"/>
    <x v="55"/>
    <d v="2019-06-04T00:00:00"/>
    <d v="2019-06-04T00:00:00"/>
    <n v="-26"/>
    <n v="26"/>
    <m/>
    <s v="COMMISSIONS FORMULE BNP NET. CARTE N  : 0004974014048498716"/>
    <x v="5"/>
    <x v="13"/>
    <x v="74"/>
  </r>
  <r>
    <n v="1423"/>
    <s v="BNPPARIBAS"/>
    <m/>
    <x v="3"/>
    <x v="55"/>
    <d v="2019-06-05T00:00:00"/>
    <d v="2019-06-05T00:00:00"/>
    <n v="-12.32"/>
    <n v="12.32"/>
    <m/>
    <s v="PRLV SEPA CARDIF ASSURANCE VIE ECH/050619 ID EMETTEUR/FR28ZZZ110086 MDT/++FR28ZZZ1100862013111800895153CDIF REF/BP008372063         050619085853 LIB/BP008372063         050619"/>
    <x v="5"/>
    <x v="13"/>
    <x v="69"/>
  </r>
  <r>
    <n v="1424"/>
    <s v="BNPPARIBAS"/>
    <m/>
    <x v="3"/>
    <x v="55"/>
    <d v="2019-06-07T00:00:00"/>
    <d v="2019-06-07T00:00:00"/>
    <n v="-4.99"/>
    <n v="4.99"/>
    <m/>
    <s v="PRLV SEPA PAYPAL EUROPE S.A.R.L. ET CIE S.C.A ECH/070619 ID EMETTEUR/LU96ZZZ0000000000000000058 MDT/5HBJ224MREGGA REF/1005801162549 PAYPAL VIREMENT LIB/1005801162549 PAYPAL"/>
    <x v="5"/>
    <x v="13"/>
    <x v="84"/>
  </r>
  <r>
    <n v="1425"/>
    <s v="BNPPARIBAS"/>
    <m/>
    <x v="3"/>
    <x v="55"/>
    <d v="2019-06-18T00:00:00"/>
    <d v="2019-06-18T00:00:00"/>
    <n v="-9.99"/>
    <n v="9.99"/>
    <m/>
    <s v="PRLV SEPA PAYPAL EUROPE S.A.R.L. ET CIE S.C.A ECH/180619 ID EMETTEUR/LU96ZZZ0000000000000000058 MDT/5HBJ224MREGGA REF/1005882105800 PAYPAL VIREMENT LIB/1005882105800 PAYPAL"/>
    <x v="5"/>
    <x v="13"/>
    <x v="72"/>
  </r>
  <r>
    <n v="1426"/>
    <s v="BNPPARIBAS"/>
    <m/>
    <x v="3"/>
    <x v="55"/>
    <d v="2019-06-24T00:00:00"/>
    <d v="2019-06-24T00:00:00"/>
    <n v="-1.99"/>
    <n v="1.99"/>
    <m/>
    <s v="PRLV SEPA PAYPAL EUROPE S.A.R.L. ET CIE S.C.A ECH/240619 ID EMETTEUR/LU96ZZZ0000000000000000058 MDT/5HBJ224MREGGA REF/1005910531304 PAYPAL VIREMENT LIB/1005910531304 PAYPAL"/>
    <x v="5"/>
    <x v="13"/>
    <x v="83"/>
  </r>
  <r>
    <n v="1427"/>
    <s v="BNPPARIBAS"/>
    <m/>
    <x v="3"/>
    <x v="55"/>
    <d v="2019-06-25T00:00:00"/>
    <d v="2019-06-25T00:00:00"/>
    <n v="-7"/>
    <n v="7"/>
    <m/>
    <s v="PRLV SEPA PAYPAL EUROPE S.A.R.L. ET CIE S.C.A ECH/250619 ID EMETTEUR/LU96ZZZ0000000000000000058 MDT/5HBJ224MREGGA REF/1005923270439 PAYPAL VIREMENT LIB/1005923270439 PAYPAL"/>
    <x v="5"/>
    <x v="13"/>
    <x v="73"/>
  </r>
  <r>
    <n v="1428"/>
    <s v="BNPPARIBAS"/>
    <m/>
    <x v="3"/>
    <x v="38"/>
    <d v="2019-07-02T00:00:00"/>
    <d v="2019-07-02T00:00:00"/>
    <n v="-8.7799999999999994"/>
    <n v="8.7799999999999994"/>
    <m/>
    <s v="COMMISSIONS COTISATION ESPRIT LIBRE"/>
    <x v="5"/>
    <x v="13"/>
    <x v="74"/>
  </r>
  <r>
    <n v="1430"/>
    <s v="BNPPARIBAS"/>
    <m/>
    <x v="3"/>
    <x v="38"/>
    <d v="2019-07-05T00:00:00"/>
    <d v="2019-07-05T00:00:00"/>
    <n v="-12.32"/>
    <n v="12.32"/>
    <m/>
    <s v="PRLV SEPA CARDIF ASSURANCE VIE ECH/050719 ID EMETTEUR/FR28ZZZ110086 MDT/++FR28ZZZ1100862013111800895153CDIF REF/BP008372063         050719080625 LIB/BP008372063         050719"/>
    <x v="5"/>
    <x v="13"/>
    <x v="69"/>
  </r>
  <r>
    <n v="1431"/>
    <s v="BNPPARIBAS"/>
    <m/>
    <x v="3"/>
    <x v="38"/>
    <d v="2019-07-09T00:00:00"/>
    <d v="2019-07-09T00:00:00"/>
    <n v="-4.99"/>
    <n v="4.99"/>
    <m/>
    <s v="PRLV SEPA PAYPAL EUROPE S.A.R.L. ET CIE S.C.A ECH/090719 ID EMETTEUR/LU96ZZZ0000000000000000058 MDT/5HBJ224MREGGA REF/1006036592824 PAYPAL VIREMENT LIB/1006036592824 PAYPAL"/>
    <x v="5"/>
    <x v="13"/>
    <x v="84"/>
  </r>
  <r>
    <n v="1433"/>
    <s v="BNPPARIBAS"/>
    <m/>
    <x v="3"/>
    <x v="38"/>
    <d v="2019-07-19T00:00:00"/>
    <d v="2019-07-19T00:00:00"/>
    <n v="-9.99"/>
    <n v="9.99"/>
    <m/>
    <s v="PRLV SEPA PAYPAL EUROPE S.A.R.L. ET CIE S.C.A ECH/190719 ID EMETTEUR/LU96ZZZ0000000000000000058 MDT/5HBJ224MREGGA REF/1006127792521 PAYPAL VIREMENT LIB/1006127792521 PAYPAL"/>
    <x v="5"/>
    <x v="13"/>
    <x v="72"/>
  </r>
  <r>
    <n v="1434"/>
    <s v="BNPPARIBAS"/>
    <m/>
    <x v="3"/>
    <x v="38"/>
    <d v="2019-07-23T00:00:00"/>
    <d v="2019-07-23T00:00:00"/>
    <n v="-1.99"/>
    <n v="1.99"/>
    <m/>
    <s v="PRLV SEPA PAYPAL EUROPE S.A.R.L. ET CIE S.C.A ECH/230719 ID EMETTEUR/LU96ZZZ0000000000000000058 MDT/5HBJ224MREGGA REF/1006148610080 PAYPAL VIREMENT LIB/1006148610080 PAYPAL"/>
    <x v="5"/>
    <x v="13"/>
    <x v="83"/>
  </r>
  <r>
    <n v="1435"/>
    <s v="BNPPARIBAS"/>
    <m/>
    <x v="3"/>
    <x v="38"/>
    <d v="2019-07-24T00:00:00"/>
    <d v="2019-07-24T00:00:00"/>
    <n v="-7"/>
    <n v="7"/>
    <m/>
    <s v="PRLV SEPA PAYPAL EUROPE S.A.R.L. ET CIE S.C.A ECH/240719 ID EMETTEUR/LU96ZZZ0000000000000000058 MDT/5HBJ224MREGGA REF/1006163772031 PAYPAL VIREMENT LIB/1006163772031 PAYPAL"/>
    <x v="5"/>
    <x v="13"/>
    <x v="73"/>
  </r>
  <r>
    <n v="1437"/>
    <s v="BNPPARIBAS"/>
    <m/>
    <x v="3"/>
    <x v="41"/>
    <d v="2019-08-02T00:00:00"/>
    <d v="2019-08-02T00:00:00"/>
    <n v="-8.7799999999999994"/>
    <n v="8.7799999999999994"/>
    <m/>
    <s v="COMMISSIONS COTISATION A UNE OFFRE GROUPEE DE SERVICES ESPRIT LIBRE"/>
    <x v="5"/>
    <x v="13"/>
    <x v="74"/>
  </r>
  <r>
    <n v="1438"/>
    <s v="BNPPARIBAS"/>
    <m/>
    <x v="3"/>
    <x v="41"/>
    <d v="2019-08-05T00:00:00"/>
    <d v="2019-08-05T00:00:00"/>
    <n v="-12.32"/>
    <n v="12.32"/>
    <m/>
    <s v="PRELEVEMENT CARDIF ASSURANCE VIE ECH/050819 ID EMETTEUR/FR28ZZZ110086 MDT/++FR28ZZZ1100862013111800895153CDIF REF/BP008372063         050819079251 LIB/BP008372063         050819"/>
    <x v="5"/>
    <x v="13"/>
    <x v="69"/>
  </r>
  <r>
    <n v="1441"/>
    <s v="BNPPARIBAS"/>
    <m/>
    <x v="3"/>
    <x v="41"/>
    <d v="2019-08-20T00:00:00"/>
    <d v="2019-08-20T00:00:00"/>
    <n v="-5.49"/>
    <n v="5.49"/>
    <m/>
    <s v="PRELEVEMENT PAYPAL EUROPE S.A.R.L. ET CIE S.C.A ECH/200819 ID EMETTEUR/LU96ZZZ0000000000000000058 MDT/5HBJ224MREGGA REF/1006369063773 PAYPAL VIREMENT LIB/1006369063773 PAYPAL"/>
    <x v="5"/>
    <x v="13"/>
    <x v="86"/>
  </r>
  <r>
    <n v="1442"/>
    <s v="BNPPARIBAS"/>
    <m/>
    <x v="3"/>
    <x v="41"/>
    <d v="2019-08-22T00:00:00"/>
    <d v="2019-08-22T00:00:00"/>
    <n v="-1.99"/>
    <n v="1.99"/>
    <m/>
    <s v="PRELEVEMENT PAYPAL EUROPE S.A.R.L. ET CIE S.C.A ECH/220819 ID EMETTEUR/LU96ZZZ0000000000000000058 MDT/5HBJ224MREGGA REF/1006394969872 PAYPAL VIREMENT LIB/1006394969872 PAYPAL"/>
    <x v="5"/>
    <x v="13"/>
    <x v="83"/>
  </r>
  <r>
    <n v="1443"/>
    <s v="BNPPARIBAS"/>
    <m/>
    <x v="3"/>
    <x v="41"/>
    <d v="2019-08-23T00:00:00"/>
    <d v="2019-08-23T00:00:00"/>
    <n v="-7"/>
    <n v="7"/>
    <m/>
    <s v="PRELEVEMENT PAYPAL EUROPE S.A.R.L. ET CIE S.C.A ECH/230819 ID EMETTEUR/LU96ZZZ0000000000000000058 MDT/5HBJ224MREGGA REF/1006406716196 PAYPAL VIREMENT LIB/1006406716196 PAYPAL"/>
    <x v="5"/>
    <x v="13"/>
    <x v="73"/>
  </r>
  <r>
    <n v="1444"/>
    <s v="BNPPARIBAS"/>
    <m/>
    <x v="3"/>
    <x v="41"/>
    <d v="2019-08-27T00:00:00"/>
    <d v="2019-08-27T00:00:00"/>
    <n v="-7"/>
    <n v="7"/>
    <m/>
    <s v="PRELEVEMENT PAYPAL EUROPE S.A.R.L. ET CIE S.C.A ECH/270819 ID EMETTEUR/LU96ZZZ0000000000000000058 MDT/5HBJ224MREGGA REF/1006422595845 PAYPAL VIREMENT LIB/1006422595845 PAYPAL"/>
    <x v="5"/>
    <x v="13"/>
    <x v="19"/>
  </r>
  <r>
    <n v="1445"/>
    <s v="BNPPARIBAS"/>
    <m/>
    <x v="3"/>
    <x v="18"/>
    <d v="2019-09-03T00:00:00"/>
    <d v="2019-09-03T00:00:00"/>
    <n v="-8.7799999999999994"/>
    <n v="8.7799999999999994"/>
    <m/>
    <s v="COMMISSIONS COTISATION A UNE OFFRE GROUPEE DE SERVICES ESPRIT LIBRE"/>
    <x v="5"/>
    <x v="13"/>
    <x v="74"/>
  </r>
  <r>
    <n v="1447"/>
    <s v="BNPPARIBAS"/>
    <m/>
    <x v="3"/>
    <x v="18"/>
    <d v="2019-09-05T00:00:00"/>
    <d v="2019-09-05T00:00:00"/>
    <n v="-12.32"/>
    <n v="12.32"/>
    <m/>
    <s v="PRELEVEMENT CARDIF ASSURANCE VIE ECH/050919 ID EMETTEUR/FR28ZZZ110086 MDT/++FR28ZZZ1100862013111800895153CDIF REF/BP008372063         050919085877 LIB/BP008372063         050919"/>
    <x v="5"/>
    <x v="13"/>
    <x v="69"/>
  </r>
  <r>
    <n v="1448"/>
    <s v="BNPPARIBAS"/>
    <m/>
    <x v="3"/>
    <x v="18"/>
    <d v="2019-09-19T00:00:00"/>
    <d v="2019-09-19T00:00:00"/>
    <n v="-5.49"/>
    <n v="5.49"/>
    <m/>
    <s v="PRELEVEMENT PAYPAL EUROPE Chess.com"/>
    <x v="5"/>
    <x v="13"/>
    <x v="86"/>
  </r>
  <r>
    <n v="1451"/>
    <s v="BNPPARIBAS"/>
    <m/>
    <x v="3"/>
    <x v="18"/>
    <d v="2019-09-24T00:00:00"/>
    <d v="2019-09-24T00:00:00"/>
    <n v="-1.99"/>
    <n v="1.99"/>
    <m/>
    <s v="PRELEVEMENT PAYPAL EUROPE S.A.R.L. ET CIE S.C.A ECH/240919 ID EMETTEUR/LU96ZZZ0000000000000000058 MDT/5HBJ224MREGGA REF/1006651082886 PAYPAL VIREMENT LIB/1006651082886 PAYPAL"/>
    <x v="5"/>
    <x v="13"/>
    <x v="83"/>
  </r>
  <r>
    <n v="1452"/>
    <s v="BNPPARIBAS"/>
    <m/>
    <x v="3"/>
    <x v="18"/>
    <d v="2019-09-25T00:00:00"/>
    <d v="2019-09-25T00:00:00"/>
    <n v="-7"/>
    <n v="7"/>
    <m/>
    <s v="PRELEVEMENT PAYPAL EUROPE S.A.R.L. ET CIE S.C.A ECH/250919 ID EMETTEUR/LU96ZZZ0000000000000000058 MDT/5HBJ224MREGGA REF/1006681123402 PAYPAL VIREMENT LIB/1006681123402 PAYPAL"/>
    <x v="5"/>
    <x v="13"/>
    <x v="73"/>
  </r>
  <r>
    <n v="1454"/>
    <s v="BNPPARIBAS"/>
    <m/>
    <x v="3"/>
    <x v="39"/>
    <d v="2019-10-31T00:00:00"/>
    <d v="2019-10-31T00:00:00"/>
    <n v="-8.7799999999999994"/>
    <n v="8.7799999999999994"/>
    <m/>
    <s v="comissions esprit libre"/>
    <x v="5"/>
    <x v="13"/>
    <x v="74"/>
  </r>
  <r>
    <n v="1457"/>
    <s v="BNPPARIBAS"/>
    <m/>
    <x v="3"/>
    <x v="39"/>
    <d v="2019-10-31T00:00:00"/>
    <d v="2019-10-31T00:00:00"/>
    <n v="-12.32"/>
    <n v="12.32"/>
    <m/>
    <s v="cardif assurance"/>
    <x v="5"/>
    <x v="13"/>
    <x v="69"/>
  </r>
  <r>
    <n v="1458"/>
    <s v="BNPPARIBAS"/>
    <m/>
    <x v="3"/>
    <x v="39"/>
    <d v="2019-10-31T00:00:00"/>
    <d v="2019-10-31T00:00:00"/>
    <n v="-5.49"/>
    <n v="5.49"/>
    <m/>
    <s v="paypall schaken"/>
    <x v="5"/>
    <x v="13"/>
    <x v="86"/>
  </r>
  <r>
    <n v="1463"/>
    <s v="BNPPARIBAS"/>
    <m/>
    <x v="3"/>
    <x v="16"/>
    <d v="2019-11-04T00:00:00"/>
    <d v="2019-11-04T00:00:00"/>
    <n v="-0.99"/>
    <n v="0.99"/>
    <m/>
    <s v="PAIEMENT CARTE DU 021119 APPLE.COM/BILL  CARTE   4974XXXXXXXX8716                IRL     0,99EUR"/>
    <x v="5"/>
    <x v="13"/>
    <x v="18"/>
  </r>
  <r>
    <n v="1464"/>
    <s v="BNPPARIBAS"/>
    <m/>
    <x v="3"/>
    <x v="16"/>
    <d v="2019-11-05T00:00:00"/>
    <d v="2019-11-05T00:00:00"/>
    <n v="-12.32"/>
    <n v="12.32"/>
    <m/>
    <s v="PRELEVEMENT CARDIF ASSURANCE VIE ECH/051119 ID EMETTEUR/FR28ZZZ110086 MDT/++FR28ZZZ1100862013111800895153CDIF REF/BP008372063         051119738808 LIB/BP008372063         051119"/>
    <x v="5"/>
    <x v="13"/>
    <x v="69"/>
  </r>
  <r>
    <n v="1465"/>
    <s v="BNPPARIBAS"/>
    <m/>
    <x v="3"/>
    <x v="16"/>
    <d v="2019-11-05T00:00:00"/>
    <d v="2019-11-05T00:00:00"/>
    <n v="-8.7799999999999994"/>
    <n v="8.7799999999999994"/>
    <m/>
    <s v="COMMISSIONS COTISATION A UNE OFFRE GROUPEE DE SERVICES ESPRIT LIBRE"/>
    <x v="5"/>
    <x v="13"/>
    <x v="74"/>
  </r>
  <r>
    <n v="1467"/>
    <s v="BNPPARIBAS"/>
    <m/>
    <x v="3"/>
    <x v="16"/>
    <d v="2019-11-06T00:00:00"/>
    <d v="2019-11-06T00:00:00"/>
    <n v="-4.99"/>
    <n v="4.99"/>
    <m/>
    <s v="PRELEVEMENT PAYPAL EUROPE S.A.R.L. ET CIE S.C.A ECH/061119 ID EMETTEUR/LU96ZZZ0000000000000000058 MDT/5HBJ224MREGGA REF/1007052956210 PAYPAL VIREMENT LIB/1007052956210 PAYPAL"/>
    <x v="5"/>
    <x v="13"/>
    <x v="84"/>
  </r>
  <r>
    <n v="1468"/>
    <s v="BNPPARIBAS"/>
    <m/>
    <x v="3"/>
    <x v="16"/>
    <d v="2019-11-21T00:00:00"/>
    <d v="2019-11-21T00:00:00"/>
    <n v="-1.99"/>
    <n v="1.99"/>
    <m/>
    <s v="PRELEVEMENT PAYPAL EUROPE S.A.R.L. ET CIE S.C.A ECH/211119 ID EMETTEUR/LU96ZZZ0000000000000000058 MDT/5HBJ224MREGGA REF/1007191865470 PAYPAL VIREMENT LIB/1007191865470 PAYPAL"/>
    <x v="5"/>
    <x v="13"/>
    <x v="83"/>
  </r>
  <r>
    <n v="1469"/>
    <s v="BNPPARIBAS"/>
    <m/>
    <x v="3"/>
    <x v="16"/>
    <d v="2019-11-26T00:00:00"/>
    <d v="2019-11-26T00:00:00"/>
    <n v="-7"/>
    <n v="7"/>
    <m/>
    <s v="PRELEVEMENT PAYPAL EUROPE S.A.R.L. ET CIE S.C.A ECH/261119 ID EMETTEUR/LU96ZZZ0000000000000000058 MDT/5HBJ224MREGGA REF/1007226128891 PAYPAL VIREMENT LIB/1007226128891 PAYPAL"/>
    <x v="5"/>
    <x v="13"/>
    <x v="73"/>
  </r>
  <r>
    <n v="1470"/>
    <s v="BNPPARIBAS"/>
    <m/>
    <x v="3"/>
    <x v="17"/>
    <d v="2019-12-03T00:00:00"/>
    <d v="2019-12-03T00:00:00"/>
    <n v="-8.7799999999999994"/>
    <n v="8.7799999999999994"/>
    <m/>
    <s v="COMMISSIONS COTISATION A UNE OFFRE GROUPEE DE SERVICES ESPRIT LIBRE"/>
    <x v="5"/>
    <x v="13"/>
    <x v="74"/>
  </r>
  <r>
    <n v="1471"/>
    <s v="BNPPARIBAS"/>
    <m/>
    <x v="3"/>
    <x v="17"/>
    <d v="2019-12-03T00:00:00"/>
    <d v="2019-12-03T00:00:00"/>
    <n v="-0.99"/>
    <n v="0.99"/>
    <m/>
    <s v="PAIEMENT CARTE DU 021219 APPLE.COM/BILL  CARTE   4974XXXXXXXX8716                IRL     0,99EUR"/>
    <x v="5"/>
    <x v="13"/>
    <x v="18"/>
  </r>
  <r>
    <n v="1472"/>
    <s v="BNPPARIBAS"/>
    <m/>
    <x v="3"/>
    <x v="17"/>
    <d v="2019-12-05T00:00:00"/>
    <d v="2019-12-05T00:00:00"/>
    <n v="-17.989999999999998"/>
    <n v="17.989999999999998"/>
    <m/>
    <s v="PRELEVEMENT PAYPAL EUROPE S.A.R.L. ET CIE S.C.A ECH/051219 ID EMETTEUR/LU96ZZZ0000000000000000058 MDT/5HBJ224MREGGA REF/1007339925239 PAYPAL VIREMENT LIB/1007339925239 PAYPAL"/>
    <x v="5"/>
    <x v="13"/>
    <x v="85"/>
  </r>
  <r>
    <n v="1473"/>
    <s v="BNPPARIBAS"/>
    <m/>
    <x v="3"/>
    <x v="17"/>
    <d v="2019-12-05T00:00:00"/>
    <d v="2019-12-05T00:00:00"/>
    <n v="-12.32"/>
    <n v="12.32"/>
    <m/>
    <s v="PRELEVEMENT CARDIF ASSURANCE VIE ECH/051219 ID EMETTEUR/FR28ZZZ110086 MDT/++FR28ZZZ1100862013111800895153CDIF REF/BP008372063         051219073543 LIB/BP008372063         051219"/>
    <x v="5"/>
    <x v="13"/>
    <x v="69"/>
  </r>
  <r>
    <n v="1474"/>
    <s v="BNPPARIBAS"/>
    <m/>
    <x v="3"/>
    <x v="17"/>
    <d v="2019-12-06T00:00:00"/>
    <d v="2019-12-06T00:00:00"/>
    <n v="-4.99"/>
    <n v="4.99"/>
    <m/>
    <s v="PRELEVEMENT PAYPAL EUROPE S.A.R.L. ET CIE S.C.A ECH/061219 ID EMETTEUR/LU96ZZZ0000000000000000058 MDT/5HBJ224MREGGA REF/1007348935750 PAYPAL VIREMENT LIB/1007348935750 PAYPAL"/>
    <x v="5"/>
    <x v="13"/>
    <x v="84"/>
  </r>
  <r>
    <n v="1475"/>
    <s v="BNPPARIBAS"/>
    <m/>
    <x v="3"/>
    <x v="17"/>
    <d v="2019-12-23T00:00:00"/>
    <d v="2019-12-23T00:00:00"/>
    <n v="-1.99"/>
    <n v="1.99"/>
    <m/>
    <s v="PRELEVEMENT PAYPAL EUROPE S.A.R.L. ET CIE S.C.A ECH/231219 ID EMETTEUR/LU96ZZZ0000000000000000058 MDT/5HBJ224MREGGA REF/1007506501635 PAYPAL VIREMENT LIB/1007506501635 PAYPAL"/>
    <x v="5"/>
    <x v="13"/>
    <x v="73"/>
  </r>
  <r>
    <n v="1476"/>
    <s v="BNPPARIBAS"/>
    <m/>
    <x v="3"/>
    <x v="41"/>
    <d v="2020-08-07T00:00:00"/>
    <d v="2020-08-07T00:00:00"/>
    <n v="-4.99"/>
    <n v="4.99"/>
    <m/>
    <s v="PRELEVEMENT PAYPAL EUROPE S.A.R.L. ET CIE S.C.A ECH/070819 ID EMETTEUR/LU96ZZZ0000000000000000058 MDT/5HBJ224MREGGA REF/1006280436099 PAYPAL VIREMENT LIB/1006280436099 PAYPAL"/>
    <x v="5"/>
    <x v="13"/>
    <x v="84"/>
  </r>
  <r>
    <n v="1477"/>
    <s v="IT47Z3608105138243365043377"/>
    <m/>
    <x v="3"/>
    <x v="13"/>
    <d v="2019-01-28T00:00:00"/>
    <d v="2019-01-28T00:00:00"/>
    <n v="-64.44"/>
    <n v="64.44"/>
    <m/>
    <s v="ADDEBITO DIRETTO PREAUTORIZZATO VODAFONE ITAL CID.IT200010000093026890017 280119 MAN.SMTRCN77M23Z217Q"/>
    <x v="5"/>
    <x v="13"/>
    <x v="76"/>
  </r>
  <r>
    <n v="1478"/>
    <s v="IT47Z3608105138243365043377"/>
    <m/>
    <x v="3"/>
    <x v="53"/>
    <d v="2019-04-01T00:00:00"/>
    <d v="2019-04-01T00:00:00"/>
    <n v="-10"/>
    <n v="10"/>
    <m/>
    <s v="CANONE ANNUO ANTICIPATO POSTEPAY CANONE ANNUO ANTICIPATO POSTEPAY"/>
    <x v="5"/>
    <x v="13"/>
    <x v="74"/>
  </r>
  <r>
    <n v="1479"/>
    <s v="IT47Z3608105138243365043377"/>
    <m/>
    <x v="3"/>
    <x v="38"/>
    <d v="2019-07-01T00:00:00"/>
    <d v="2019-07-01T00:00:00"/>
    <n v="-49.97"/>
    <n v="49.97"/>
    <m/>
    <s v="ADDEBITO DIRETTO PREAUTORIZZATO WIND TRE S P CID.IT960020000013378520152 010719 MAN.O66791P1098863841"/>
    <x v="5"/>
    <x v="13"/>
    <x v="76"/>
  </r>
  <r>
    <n v="1480"/>
    <s v="IT47Z3608105138243365043377"/>
    <m/>
    <x v="3"/>
    <x v="38"/>
    <d v="2019-07-31T00:00:00"/>
    <d v="2019-07-31T00:00:00"/>
    <n v="-26.98"/>
    <n v="26.98"/>
    <m/>
    <s v="ADDEBITO DIRETTO PREAUTORIZZATO WIND TRE S P CID.IT960020000013378520152 310719 MAN.O66791P1098863841"/>
    <x v="5"/>
    <x v="13"/>
    <x v="76"/>
  </r>
  <r>
    <n v="1481"/>
    <s v="IT47Z3608105138243365043377"/>
    <m/>
    <x v="3"/>
    <x v="41"/>
    <d v="2019-07-31T00:00:00"/>
    <d v="2019-07-31T00:00:00"/>
    <n v="-26.98"/>
    <n v="26.98"/>
    <m/>
    <s v="ADDEBITO DIRETTO PREAUTORIZZATO WIND TRE S P CID.IT960020000013378520152 310719 MAN.O66791P1098863841"/>
    <x v="5"/>
    <x v="13"/>
    <x v="76"/>
  </r>
  <r>
    <n v="1482"/>
    <s v="IT47Z3608105138243365043377"/>
    <m/>
    <x v="3"/>
    <x v="18"/>
    <d v="2019-07-31T00:00:00"/>
    <d v="2019-07-31T00:00:00"/>
    <n v="-26.98"/>
    <n v="26.98"/>
    <m/>
    <s v="ADDEBITO DIRETTO PREAUTORIZZATO WIND TRE S P CID.IT960020000013378520152 310719 MAN.O66791P1098863841"/>
    <x v="5"/>
    <x v="13"/>
    <x v="76"/>
  </r>
  <r>
    <n v="1483"/>
    <s v="IT47Z3608105138243365043377"/>
    <m/>
    <x v="3"/>
    <x v="39"/>
    <d v="2019-10-31T00:00:00"/>
    <d v="2019-10-31T00:00:00"/>
    <n v="-26.98"/>
    <n v="26.98"/>
    <m/>
    <s v="ADDEBITO DIRETTO PREAUTORIZZATO WIND TRE S P CID.IT960020000013378520152 311019 MAN.O66791P1098863841"/>
    <x v="5"/>
    <x v="13"/>
    <x v="76"/>
  </r>
  <r>
    <n v="1674"/>
    <s v="NL22RABO0381604934"/>
    <m/>
    <x v="3"/>
    <x v="13"/>
    <d v="2019-01-03T00:00:00"/>
    <d v="2019-01-03T00:00:00"/>
    <n v="0.6"/>
    <n v="0.6"/>
    <m/>
    <s v="Kosten"/>
    <x v="5"/>
    <x v="13"/>
    <x v="74"/>
  </r>
  <r>
    <n v="1675"/>
    <s v="NL22RABO0381604934"/>
    <m/>
    <x v="3"/>
    <x v="13"/>
    <d v="2019-01-03T00:00:00"/>
    <d v="2019-01-03T00:00:00"/>
    <n v="-4.7"/>
    <n v="4.7"/>
    <m/>
    <s v="Kosten"/>
    <x v="5"/>
    <x v="13"/>
    <x v="74"/>
  </r>
  <r>
    <n v="1677"/>
    <s v="NL22RABO0381604934"/>
    <m/>
    <x v="3"/>
    <x v="13"/>
    <d v="2019-01-21T00:00:00"/>
    <d v="2019-01-21T00:00:00"/>
    <n v="99"/>
    <n v="99"/>
    <m/>
    <s v="BELASTINGDIENST"/>
    <x v="5"/>
    <x v="13"/>
    <x v="82"/>
  </r>
  <r>
    <n v="1678"/>
    <s v="NL22RABO0381604934"/>
    <m/>
    <x v="3"/>
    <x v="13"/>
    <d v="2019-01-23T00:00:00"/>
    <d v="2019-01-23T00:00:00"/>
    <n v="-67"/>
    <n v="67"/>
    <m/>
    <s v="NS GROEP IZ NS REIZIGERS"/>
    <x v="5"/>
    <x v="13"/>
    <x v="77"/>
  </r>
  <r>
    <n v="1679"/>
    <s v="NL22RABO0381604934"/>
    <m/>
    <x v="3"/>
    <x v="13"/>
    <d v="2019-01-28T00:00:00"/>
    <d v="2019-01-28T00:00:00"/>
    <n v="-108.35"/>
    <n v="108.35"/>
    <m/>
    <s v="NV UNIVE ZORG"/>
    <x v="5"/>
    <x v="13"/>
    <x v="81"/>
  </r>
  <r>
    <n v="1681"/>
    <s v="NL22RABO0381604934"/>
    <m/>
    <x v="3"/>
    <x v="15"/>
    <d v="2019-02-02T00:00:00"/>
    <d v="2019-02-02T00:00:00"/>
    <n v="0.6"/>
    <n v="0.6"/>
    <m/>
    <s v="Kosten"/>
    <x v="5"/>
    <x v="13"/>
    <x v="74"/>
  </r>
  <r>
    <n v="1682"/>
    <s v="NL22RABO0381604934"/>
    <m/>
    <x v="3"/>
    <x v="15"/>
    <d v="2019-02-02T00:00:00"/>
    <d v="2019-02-02T00:00:00"/>
    <n v="-4.7"/>
    <n v="4.7"/>
    <m/>
    <s v="Kosten"/>
    <x v="5"/>
    <x v="13"/>
    <x v="74"/>
  </r>
  <r>
    <n v="1683"/>
    <s v="NL22RABO0381604934"/>
    <m/>
    <x v="3"/>
    <x v="15"/>
    <d v="2019-02-08T00:00:00"/>
    <d v="2019-02-08T00:00:00"/>
    <n v="-41.26"/>
    <n v="41.26"/>
    <m/>
    <s v="Your Hosting B.V."/>
    <x v="5"/>
    <x v="13"/>
    <x v="79"/>
  </r>
  <r>
    <n v="1684"/>
    <s v="NL22RABO0381604934"/>
    <m/>
    <x v="3"/>
    <x v="15"/>
    <d v="2019-02-16T00:00:00"/>
    <d v="2019-02-16T00:00:00"/>
    <n v="-5"/>
    <n v="5"/>
    <m/>
    <s v="Buckaroo"/>
    <x v="5"/>
    <x v="13"/>
    <x v="87"/>
  </r>
  <r>
    <n v="1685"/>
    <s v="NL22RABO0381604934"/>
    <m/>
    <x v="3"/>
    <x v="15"/>
    <d v="2019-02-20T00:00:00"/>
    <d v="2019-02-20T00:00:00"/>
    <n v="99"/>
    <n v="99"/>
    <m/>
    <s v="BELASTINGDIENST"/>
    <x v="5"/>
    <x v="13"/>
    <x v="82"/>
  </r>
  <r>
    <n v="1687"/>
    <s v="NL22RABO0381604934"/>
    <m/>
    <x v="3"/>
    <x v="15"/>
    <d v="2019-02-27T00:00:00"/>
    <d v="2019-02-27T00:00:00"/>
    <n v="-108.35"/>
    <n v="108.35"/>
    <m/>
    <s v="NV UNIVE ZORG"/>
    <x v="5"/>
    <x v="13"/>
    <x v="81"/>
  </r>
  <r>
    <n v="1693"/>
    <s v="NL22RABO0381604934"/>
    <m/>
    <x v="3"/>
    <x v="14"/>
    <d v="2019-03-02T00:00:00"/>
    <d v="2019-03-02T00:00:00"/>
    <n v="0.6"/>
    <n v="0.6"/>
    <m/>
    <s v="Kosten"/>
    <x v="5"/>
    <x v="13"/>
    <x v="74"/>
  </r>
  <r>
    <n v="1694"/>
    <s v="NL22RABO0381604934"/>
    <m/>
    <x v="3"/>
    <x v="14"/>
    <d v="2019-03-02T00:00:00"/>
    <d v="2019-03-02T00:00:00"/>
    <n v="-4.7"/>
    <n v="4.7"/>
    <m/>
    <s v="Kosten"/>
    <x v="5"/>
    <x v="13"/>
    <x v="74"/>
  </r>
  <r>
    <n v="1696"/>
    <s v="NL22RABO0381604934"/>
    <m/>
    <x v="3"/>
    <x v="14"/>
    <d v="2019-03-05T00:00:00"/>
    <d v="2019-03-05T00:00:00"/>
    <n v="-10"/>
    <n v="10"/>
    <m/>
    <s v="Shop 7309/ Plaza Schiphol Airp"/>
    <x v="5"/>
    <x v="13"/>
    <x v="70"/>
  </r>
  <r>
    <n v="1698"/>
    <s v="NL22RABO0381604934"/>
    <m/>
    <x v="3"/>
    <x v="14"/>
    <d v="2019-03-05T00:00:00"/>
    <d v="2019-03-05T00:00:00"/>
    <n v="-9.99"/>
    <n v="9.99"/>
    <m/>
    <s v="ADYEN NV"/>
    <x v="5"/>
    <x v="13"/>
    <x v="88"/>
  </r>
  <r>
    <n v="1732"/>
    <s v="NL22RABO0381604934"/>
    <m/>
    <x v="3"/>
    <x v="14"/>
    <d v="2019-03-20T00:00:00"/>
    <d v="2019-03-20T00:00:00"/>
    <n v="99"/>
    <n v="99"/>
    <m/>
    <s v="BELASTINGDIENST"/>
    <x v="5"/>
    <x v="13"/>
    <x v="82"/>
  </r>
  <r>
    <n v="1736"/>
    <s v="NL22RABO0381604934"/>
    <m/>
    <x v="3"/>
    <x v="14"/>
    <d v="2019-03-21T00:00:00"/>
    <d v="2019-03-21T00:00:00"/>
    <n v="-5"/>
    <n v="5"/>
    <m/>
    <s v="STICHTING DERDENGELDEN BUCKAROO"/>
    <x v="5"/>
    <x v="13"/>
    <x v="87"/>
  </r>
  <r>
    <n v="1752"/>
    <s v="NL22RABO0381604934"/>
    <m/>
    <x v="3"/>
    <x v="14"/>
    <d v="2019-03-26T00:00:00"/>
    <d v="2019-03-26T00:00:00"/>
    <n v="-19.989999999999998"/>
    <n v="19.989999999999998"/>
    <m/>
    <s v="ACP*VFW 548 ARNHEM"/>
    <x v="5"/>
    <x v="13"/>
    <x v="70"/>
  </r>
  <r>
    <n v="1763"/>
    <s v="NL22RABO0381604934"/>
    <m/>
    <x v="3"/>
    <x v="14"/>
    <d v="2019-03-27T00:00:00"/>
    <d v="2019-03-27T00:00:00"/>
    <n v="-108.35"/>
    <n v="108.35"/>
    <m/>
    <s v="NV UNIVE ZORG"/>
    <x v="5"/>
    <x v="13"/>
    <x v="81"/>
  </r>
  <r>
    <n v="1777"/>
    <s v="NL22RABO0381604934"/>
    <m/>
    <x v="3"/>
    <x v="53"/>
    <d v="2019-04-02T00:00:00"/>
    <d v="2019-04-02T00:00:00"/>
    <n v="-9.99"/>
    <n v="9.99"/>
    <m/>
    <s v="ADYEN NV"/>
    <x v="5"/>
    <x v="13"/>
    <x v="88"/>
  </r>
  <r>
    <n v="1778"/>
    <s v="NL22RABO0381604934"/>
    <m/>
    <x v="3"/>
    <x v="53"/>
    <d v="2019-04-02T00:00:00"/>
    <d v="2019-04-02T00:00:00"/>
    <n v="0.6"/>
    <n v="0.6"/>
    <m/>
    <s v="Kosten"/>
    <x v="5"/>
    <x v="13"/>
    <x v="74"/>
  </r>
  <r>
    <n v="1779"/>
    <s v="NL22RABO0381604934"/>
    <m/>
    <x v="3"/>
    <x v="53"/>
    <d v="2019-04-02T00:00:00"/>
    <d v="2019-04-02T00:00:00"/>
    <n v="-4.8"/>
    <n v="4.8"/>
    <m/>
    <s v="Kosten"/>
    <x v="5"/>
    <x v="13"/>
    <x v="74"/>
  </r>
  <r>
    <n v="1780"/>
    <s v="NL22RABO0381604934"/>
    <m/>
    <x v="3"/>
    <x v="53"/>
    <d v="2019-04-02T00:00:00"/>
    <d v="2019-04-02T00:00:00"/>
    <n v="-10"/>
    <n v="10"/>
    <m/>
    <s v="ACP*VFW 699 STADSKANAAL"/>
    <x v="5"/>
    <x v="13"/>
    <x v="70"/>
  </r>
  <r>
    <n v="1783"/>
    <s v="NL22RABO0381604934"/>
    <m/>
    <x v="3"/>
    <x v="53"/>
    <d v="2019-04-04T00:00:00"/>
    <d v="2019-04-04T00:00:00"/>
    <n v="-5.5"/>
    <n v="5.5"/>
    <m/>
    <s v="OOM HOLDING NV"/>
    <x v="5"/>
    <x v="13"/>
    <x v="80"/>
  </r>
  <r>
    <n v="1799"/>
    <s v="NL22RABO0381604934"/>
    <m/>
    <x v="3"/>
    <x v="53"/>
    <d v="2019-04-23T00:00:00"/>
    <d v="2019-04-23T00:00:00"/>
    <n v="68.62"/>
    <n v="68.62"/>
    <m/>
    <s v="NV UNIVE ZORG"/>
    <x v="5"/>
    <x v="13"/>
    <x v="81"/>
  </r>
  <r>
    <n v="1803"/>
    <s v="NL22RABO0381604934"/>
    <m/>
    <x v="3"/>
    <x v="53"/>
    <d v="2019-04-25T00:00:00"/>
    <d v="2019-04-25T00:00:00"/>
    <n v="-5"/>
    <n v="5"/>
    <m/>
    <s v="STICHTING DERDENGELDEN BUCKAROO"/>
    <x v="5"/>
    <x v="13"/>
    <x v="87"/>
  </r>
  <r>
    <n v="1810"/>
    <s v="NL22RABO0381604934"/>
    <m/>
    <x v="3"/>
    <x v="54"/>
    <d v="2019-05-02T00:00:00"/>
    <d v="2019-05-02T00:00:00"/>
    <n v="-5.5"/>
    <n v="5.5"/>
    <m/>
    <s v="OOM HOLDING NV"/>
    <x v="5"/>
    <x v="13"/>
    <x v="80"/>
  </r>
  <r>
    <n v="1811"/>
    <s v="NL22RABO0381604934"/>
    <m/>
    <x v="3"/>
    <x v="54"/>
    <d v="2019-05-03T00:00:00"/>
    <d v="2019-05-03T00:00:00"/>
    <n v="-9.99"/>
    <n v="9.99"/>
    <m/>
    <s v="ADYEN NV"/>
    <x v="5"/>
    <x v="13"/>
    <x v="88"/>
  </r>
  <r>
    <n v="1812"/>
    <s v="NL22RABO0381604934"/>
    <m/>
    <x v="3"/>
    <x v="54"/>
    <d v="2019-05-03T00:00:00"/>
    <d v="2019-05-03T00:00:00"/>
    <n v="0.7"/>
    <n v="0.7"/>
    <m/>
    <s v="Kosten"/>
    <x v="5"/>
    <x v="13"/>
    <x v="74"/>
  </r>
  <r>
    <n v="1813"/>
    <s v="NL22RABO0381604934"/>
    <m/>
    <x v="3"/>
    <x v="54"/>
    <d v="2019-05-03T00:00:00"/>
    <d v="2019-05-03T00:00:00"/>
    <n v="-4.8"/>
    <n v="4.8"/>
    <m/>
    <s v="Kosten"/>
    <x v="5"/>
    <x v="13"/>
    <x v="74"/>
  </r>
  <r>
    <n v="1814"/>
    <s v="NL22RABO0381604934"/>
    <m/>
    <x v="3"/>
    <x v="54"/>
    <d v="2019-05-07T00:00:00"/>
    <d v="2019-05-07T00:00:00"/>
    <n v="-50.6"/>
    <n v="50.6"/>
    <m/>
    <s v="Your Hosting B.V."/>
    <x v="5"/>
    <x v="13"/>
    <x v="79"/>
  </r>
  <r>
    <n v="1819"/>
    <s v="NL22RABO0381604934"/>
    <m/>
    <x v="3"/>
    <x v="54"/>
    <d v="2019-05-15T00:00:00"/>
    <d v="2019-05-15T00:00:00"/>
    <n v="10"/>
    <n v="10"/>
    <m/>
    <s v="RETOUR INTERNET RICARDO"/>
    <x v="5"/>
    <x v="13"/>
    <x v="76"/>
  </r>
  <r>
    <n v="1820"/>
    <s v="NL22RABO0381604934"/>
    <m/>
    <x v="3"/>
    <x v="54"/>
    <d v="2019-05-17T00:00:00"/>
    <d v="2019-05-17T00:00:00"/>
    <n v="-20"/>
    <n v="20"/>
    <m/>
    <s v="Partij voor de Dieren"/>
    <x v="5"/>
    <x v="13"/>
    <x v="15"/>
  </r>
  <r>
    <n v="1822"/>
    <s v="NL22RABO0381604934"/>
    <m/>
    <x v="3"/>
    <x v="54"/>
    <d v="2019-05-22T00:00:00"/>
    <d v="2019-05-22T00:00:00"/>
    <n v="-5"/>
    <n v="5"/>
    <m/>
    <s v="STICHTING DERDENGELDEN BUCKAROO"/>
    <x v="5"/>
    <x v="13"/>
    <x v="87"/>
  </r>
  <r>
    <n v="1832"/>
    <s v="NL22RABO0381604934"/>
    <m/>
    <x v="3"/>
    <x v="55"/>
    <d v="2019-06-04T00:00:00"/>
    <d v="2019-06-04T00:00:00"/>
    <n v="0.7"/>
    <n v="0.7"/>
    <m/>
    <s v="Kosten"/>
    <x v="5"/>
    <x v="13"/>
    <x v="74"/>
  </r>
  <r>
    <n v="1833"/>
    <s v="NL22RABO0381604934"/>
    <m/>
    <x v="3"/>
    <x v="55"/>
    <d v="2019-06-04T00:00:00"/>
    <d v="2019-06-04T00:00:00"/>
    <n v="-4.8"/>
    <n v="4.8"/>
    <m/>
    <s v="Kosten"/>
    <x v="5"/>
    <x v="13"/>
    <x v="74"/>
  </r>
  <r>
    <n v="1834"/>
    <s v="NL22RABO0381604934"/>
    <m/>
    <x v="3"/>
    <x v="55"/>
    <d v="2019-06-04T00:00:00"/>
    <d v="2019-06-04T00:00:00"/>
    <n v="-9.99"/>
    <n v="9.99"/>
    <m/>
    <s v="ADYEN NV"/>
    <x v="5"/>
    <x v="13"/>
    <x v="88"/>
  </r>
  <r>
    <n v="1835"/>
    <s v="NL22RABO0381604934"/>
    <m/>
    <x v="3"/>
    <x v="55"/>
    <d v="2019-06-05T00:00:00"/>
    <d v="2019-06-05T00:00:00"/>
    <n v="-5.5"/>
    <n v="5.5"/>
    <m/>
    <s v="OOM HOLDING NV"/>
    <x v="5"/>
    <x v="13"/>
    <x v="80"/>
  </r>
  <r>
    <n v="1837"/>
    <s v="NL22RABO0381604934"/>
    <m/>
    <x v="3"/>
    <x v="55"/>
    <d v="2019-06-06T00:00:00"/>
    <d v="2019-06-06T00:00:00"/>
    <n v="9.99"/>
    <n v="9.99"/>
    <m/>
    <s v="RETOUR INTERNET RICARDO"/>
    <x v="5"/>
    <x v="13"/>
    <x v="76"/>
  </r>
  <r>
    <n v="1844"/>
    <s v="NL22RABO0381604934"/>
    <m/>
    <x v="3"/>
    <x v="55"/>
    <d v="2019-06-21T00:00:00"/>
    <d v="2019-06-21T00:00:00"/>
    <n v="-5"/>
    <n v="5"/>
    <m/>
    <s v="STICHTING DERDENGELDEN BUCKAROO"/>
    <x v="5"/>
    <x v="13"/>
    <x v="87"/>
  </r>
  <r>
    <n v="1849"/>
    <s v="NL22RABO0381604934"/>
    <m/>
    <x v="3"/>
    <x v="38"/>
    <d v="2019-07-02T00:00:00"/>
    <d v="2019-07-02T00:00:00"/>
    <n v="0.7"/>
    <n v="0.7"/>
    <m/>
    <s v="Kosten"/>
    <x v="5"/>
    <x v="13"/>
    <x v="74"/>
  </r>
  <r>
    <n v="1850"/>
    <s v="NL22RABO0381604934"/>
    <m/>
    <x v="3"/>
    <x v="38"/>
    <d v="2019-07-02T00:00:00"/>
    <d v="2019-07-02T00:00:00"/>
    <n v="-4.8"/>
    <n v="4.8"/>
    <m/>
    <s v="Kosten"/>
    <x v="5"/>
    <x v="13"/>
    <x v="74"/>
  </r>
  <r>
    <n v="1852"/>
    <s v="NL22RABO0381604934"/>
    <m/>
    <x v="3"/>
    <x v="38"/>
    <d v="2019-07-03T00:00:00"/>
    <d v="2019-07-03T00:00:00"/>
    <n v="-26.67"/>
    <n v="26.67"/>
    <m/>
    <s v="Your Hosting B.V."/>
    <x v="5"/>
    <x v="13"/>
    <x v="79"/>
  </r>
  <r>
    <n v="1853"/>
    <s v="NL22RABO0381604934"/>
    <m/>
    <x v="3"/>
    <x v="38"/>
    <d v="2019-07-03T00:00:00"/>
    <d v="2019-07-03T00:00:00"/>
    <n v="-5.5"/>
    <n v="5.5"/>
    <m/>
    <s v="OOM HOLDING NV"/>
    <x v="5"/>
    <x v="13"/>
    <x v="80"/>
  </r>
  <r>
    <n v="1862"/>
    <s v="NL22RABO0381604934"/>
    <m/>
    <x v="3"/>
    <x v="38"/>
    <d v="2019-07-23T00:00:00"/>
    <d v="2019-07-23T00:00:00"/>
    <n v="-5"/>
    <n v="5"/>
    <m/>
    <s v="STICHTING DERDENGELDEN BUCKAROO"/>
    <x v="5"/>
    <x v="13"/>
    <x v="87"/>
  </r>
  <r>
    <n v="1865"/>
    <s v="NL22RABO0381604934"/>
    <m/>
    <x v="3"/>
    <x v="38"/>
    <d v="2019-07-25T00:00:00"/>
    <d v="2019-07-25T00:00:00"/>
    <n v="15"/>
    <n v="15"/>
    <m/>
    <s v="RETOUR INTERNET RICARDO"/>
    <x v="5"/>
    <x v="13"/>
    <x v="76"/>
  </r>
  <r>
    <n v="1869"/>
    <s v="NL22RABO0381604934"/>
    <m/>
    <x v="3"/>
    <x v="41"/>
    <d v="2019-08-01T00:00:00"/>
    <d v="2019-08-01T00:00:00"/>
    <n v="-0.7"/>
    <n v="0.7"/>
    <m/>
    <s v="Kosten"/>
    <x v="5"/>
    <x v="13"/>
    <x v="74"/>
  </r>
  <r>
    <n v="1870"/>
    <s v="NL22RABO0381604934"/>
    <m/>
    <x v="3"/>
    <x v="41"/>
    <d v="2019-08-01T00:00:00"/>
    <d v="2019-08-01T00:00:00"/>
    <n v="-4.8"/>
    <n v="4.8"/>
    <m/>
    <s v="Kosten"/>
    <x v="5"/>
    <x v="13"/>
    <x v="74"/>
  </r>
  <r>
    <n v="1872"/>
    <s v="NL22RABO0381604934"/>
    <m/>
    <x v="3"/>
    <x v="41"/>
    <d v="2019-08-05T00:00:00"/>
    <d v="2019-08-05T00:00:00"/>
    <n v="-5.05"/>
    <n v="5.05"/>
    <m/>
    <s v="OOM HOLDING NV"/>
    <x v="5"/>
    <x v="13"/>
    <x v="80"/>
  </r>
  <r>
    <n v="1881"/>
    <s v="NL22RABO0381604934"/>
    <m/>
    <x v="3"/>
    <x v="41"/>
    <d v="2019-08-19T00:00:00"/>
    <d v="2019-08-19T00:00:00"/>
    <n v="-0.01"/>
    <n v="0.01"/>
    <m/>
    <s v="Blendle B.V."/>
    <x v="5"/>
    <x v="13"/>
    <x v="72"/>
  </r>
  <r>
    <n v="1882"/>
    <s v="NL22RABO0381604934"/>
    <m/>
    <x v="3"/>
    <x v="41"/>
    <d v="2019-08-21T00:00:00"/>
    <d v="2019-08-21T00:00:00"/>
    <n v="-5"/>
    <n v="5"/>
    <m/>
    <s v="STICHTING DERDENGELDEN BUCKAROO"/>
    <x v="5"/>
    <x v="13"/>
    <x v="87"/>
  </r>
  <r>
    <n v="1887"/>
    <s v="NL22RABO0381604934"/>
    <m/>
    <x v="3"/>
    <x v="18"/>
    <d v="2019-09-01T00:00:00"/>
    <d v="2019-09-01T00:00:00"/>
    <n v="-0.7"/>
    <n v="0.7"/>
    <m/>
    <s v="Kosten"/>
    <x v="5"/>
    <x v="13"/>
    <x v="74"/>
  </r>
  <r>
    <n v="1888"/>
    <s v="NL22RABO0381604934"/>
    <m/>
    <x v="3"/>
    <x v="18"/>
    <d v="2019-09-01T00:00:00"/>
    <d v="2019-09-01T00:00:00"/>
    <n v="-4.8"/>
    <n v="4.8"/>
    <m/>
    <s v="Kosten"/>
    <x v="5"/>
    <x v="13"/>
    <x v="74"/>
  </r>
  <r>
    <n v="1889"/>
    <s v="NL22RABO0381604934"/>
    <m/>
    <x v="3"/>
    <x v="18"/>
    <d v="2019-09-04T00:00:00"/>
    <d v="2019-09-04T00:00:00"/>
    <n v="-5.05"/>
    <n v="5.05"/>
    <m/>
    <s v="OOM HOLDING NV"/>
    <x v="5"/>
    <x v="13"/>
    <x v="80"/>
  </r>
  <r>
    <n v="1897"/>
    <s v="NL22RABO0381604934"/>
    <m/>
    <x v="3"/>
    <x v="18"/>
    <d v="2019-09-20T00:00:00"/>
    <d v="2019-09-20T00:00:00"/>
    <n v="-5"/>
    <n v="5"/>
    <m/>
    <s v="STICHTING DERDENGELDEN BUCKAROO"/>
    <x v="5"/>
    <x v="13"/>
    <x v="87"/>
  </r>
  <r>
    <n v="1908"/>
    <s v="NL22RABO0381604934"/>
    <m/>
    <x v="3"/>
    <x v="39"/>
    <d v="2019-10-03T00:00:00"/>
    <d v="2019-10-03T00:00:00"/>
    <n v="-5.05"/>
    <n v="5.05"/>
    <m/>
    <s v="OOM HOLDING NV"/>
    <x v="5"/>
    <x v="13"/>
    <x v="80"/>
  </r>
  <r>
    <n v="1909"/>
    <s v="NL22RABO0381604934"/>
    <m/>
    <x v="3"/>
    <x v="39"/>
    <d v="2019-10-03T00:00:00"/>
    <d v="2019-10-03T00:00:00"/>
    <n v="-0.7"/>
    <n v="0.7"/>
    <m/>
    <s v="Kosten"/>
    <x v="5"/>
    <x v="13"/>
    <x v="74"/>
  </r>
  <r>
    <n v="1910"/>
    <s v="NL22RABO0381604934"/>
    <m/>
    <x v="3"/>
    <x v="39"/>
    <d v="2019-10-03T00:00:00"/>
    <d v="2019-10-03T00:00:00"/>
    <n v="-4.8"/>
    <n v="4.8"/>
    <m/>
    <s v="Kosten"/>
    <x v="5"/>
    <x v="13"/>
    <x v="74"/>
  </r>
  <r>
    <n v="1912"/>
    <s v="NL22RABO0381604934"/>
    <m/>
    <x v="3"/>
    <x v="39"/>
    <d v="2019-10-08T00:00:00"/>
    <d v="2019-10-08T00:00:00"/>
    <n v="-87.12"/>
    <n v="87.12"/>
    <m/>
    <s v="VEVIDA BV"/>
    <x v="5"/>
    <x v="13"/>
    <x v="79"/>
  </r>
  <r>
    <n v="1948"/>
    <s v="NL22RABO0381604934"/>
    <m/>
    <x v="3"/>
    <x v="39"/>
    <d v="2019-10-22T00:00:00"/>
    <d v="2019-10-22T00:00:00"/>
    <n v="-5"/>
    <n v="5"/>
    <m/>
    <s v="STICHTING DERDENGELDEN BUCKAROO"/>
    <x v="5"/>
    <x v="13"/>
    <x v="87"/>
  </r>
  <r>
    <n v="1969"/>
    <s v="NL22RABO0381604934"/>
    <m/>
    <x v="3"/>
    <x v="39"/>
    <d v="2019-10-27T00:00:00"/>
    <d v="2019-10-27T00:00:00"/>
    <n v="-5"/>
    <n v="5"/>
    <m/>
    <s v="ACP*VFW 548 ARNHEM"/>
    <x v="5"/>
    <x v="13"/>
    <x v="70"/>
  </r>
  <r>
    <n v="1991"/>
    <s v="NL22RABO0381604934"/>
    <m/>
    <x v="3"/>
    <x v="16"/>
    <d v="2019-11-02T00:00:00"/>
    <d v="2019-11-02T00:00:00"/>
    <n v="-0.7"/>
    <n v="0.7"/>
    <m/>
    <s v="Kosten"/>
    <x v="5"/>
    <x v="13"/>
    <x v="74"/>
  </r>
  <r>
    <n v="1992"/>
    <s v="NL22RABO0381604934"/>
    <m/>
    <x v="3"/>
    <x v="16"/>
    <d v="2019-11-02T00:00:00"/>
    <d v="2019-11-02T00:00:00"/>
    <n v="-4.8"/>
    <n v="4.8"/>
    <m/>
    <s v="Kosten"/>
    <x v="5"/>
    <x v="13"/>
    <x v="74"/>
  </r>
  <r>
    <n v="1994"/>
    <s v="NL22RABO0381604934"/>
    <m/>
    <x v="3"/>
    <x v="16"/>
    <d v="2019-11-04T00:00:00"/>
    <d v="2019-11-04T00:00:00"/>
    <n v="-5.05"/>
    <n v="5.05"/>
    <m/>
    <s v="OOM HOLDING NV"/>
    <x v="5"/>
    <x v="13"/>
    <x v="80"/>
  </r>
  <r>
    <n v="1998"/>
    <s v="NL22RABO0381604934"/>
    <m/>
    <x v="3"/>
    <x v="16"/>
    <d v="2019-11-06T00:00:00"/>
    <d v="2019-11-06T00:00:00"/>
    <n v="-51.15"/>
    <n v="51.15"/>
    <m/>
    <s v="Your Hosting B.V."/>
    <x v="5"/>
    <x v="13"/>
    <x v="79"/>
  </r>
  <r>
    <n v="2001"/>
    <s v="NL22RABO0381604934"/>
    <m/>
    <x v="3"/>
    <x v="16"/>
    <d v="2019-11-08T00:00:00"/>
    <d v="2019-11-08T00:00:00"/>
    <n v="3.36"/>
    <n v="3.36"/>
    <m/>
    <s v="OOM HOLDING NV"/>
    <x v="5"/>
    <x v="13"/>
    <x v="80"/>
  </r>
  <r>
    <n v="2013"/>
    <s v="NL22RABO0381604934"/>
    <m/>
    <x v="3"/>
    <x v="16"/>
    <d v="2019-11-20T00:00:00"/>
    <d v="2019-11-20T00:00:00"/>
    <n v="-9.99"/>
    <n v="9.99"/>
    <m/>
    <s v="Blendle B.V."/>
    <x v="5"/>
    <x v="13"/>
    <x v="72"/>
  </r>
  <r>
    <n v="2014"/>
    <s v="NL22RABO0381604934"/>
    <m/>
    <x v="3"/>
    <x v="16"/>
    <d v="2019-11-20T00:00:00"/>
    <d v="2019-11-20T00:00:00"/>
    <n v="-5"/>
    <n v="5"/>
    <m/>
    <s v="STICHTING DERDENGELDEN BUCKAROO"/>
    <x v="5"/>
    <x v="13"/>
    <x v="87"/>
  </r>
  <r>
    <n v="2022"/>
    <s v="NL22RABO0381604934"/>
    <m/>
    <x v="3"/>
    <x v="17"/>
    <d v="2019-12-03T00:00:00"/>
    <d v="2019-12-03T00:00:00"/>
    <n v="-0.7"/>
    <n v="0.7"/>
    <m/>
    <s v="Kosten"/>
    <x v="5"/>
    <x v="13"/>
    <x v="74"/>
  </r>
  <r>
    <n v="2023"/>
    <s v="NL22RABO0381604934"/>
    <m/>
    <x v="3"/>
    <x v="17"/>
    <d v="2019-12-03T00:00:00"/>
    <d v="2019-12-03T00:00:00"/>
    <n v="-4.8"/>
    <n v="4.8"/>
    <m/>
    <s v="Kosten"/>
    <x v="5"/>
    <x v="13"/>
    <x v="74"/>
  </r>
  <r>
    <n v="2026"/>
    <s v="NL22RABO0381604934"/>
    <m/>
    <x v="3"/>
    <x v="17"/>
    <d v="2019-12-20T00:00:00"/>
    <d v="2019-12-20T00:00:00"/>
    <n v="-9.99"/>
    <n v="9.99"/>
    <m/>
    <s v="Blendle B.V."/>
    <x v="5"/>
    <x v="13"/>
    <x v="72"/>
  </r>
  <r>
    <n v="2027"/>
    <s v="NL22RABO0381604934"/>
    <m/>
    <x v="3"/>
    <x v="17"/>
    <d v="2019-12-20T00:00:00"/>
    <d v="2019-12-20T00:00:00"/>
    <n v="-5"/>
    <n v="5"/>
    <m/>
    <s v="STICHTING DERDENGELDEN BUCKAROO"/>
    <x v="5"/>
    <x v="13"/>
    <x v="87"/>
  </r>
  <r>
    <n v="2034"/>
    <s v="POSTEPAY"/>
    <m/>
    <x v="3"/>
    <x v="18"/>
    <d v="2019-09-27T00:00:00"/>
    <d v="2019-09-27T00:00:00"/>
    <n v="-5"/>
    <n v="5"/>
    <m/>
    <s v="PAGAMENTO ON LINE 27/09/2019 13.48 WIND RICARICA ONLINE ROMA ITA N. 679433"/>
    <x v="5"/>
    <x v="13"/>
    <x v="76"/>
  </r>
  <r>
    <n v="2035"/>
    <s v="POSTEPAY"/>
    <m/>
    <x v="3"/>
    <x v="18"/>
    <d v="2019-09-28T00:00:00"/>
    <d v="2019-09-28T00:00:00"/>
    <n v="-20"/>
    <n v="20"/>
    <m/>
    <s v="PAGAMENTO ON LINE 28/09/2019 07.48 VESTA *VODAFONE VODAFONE.NL IRL N. 676124"/>
    <x v="5"/>
    <x v="13"/>
    <x v="70"/>
  </r>
  <r>
    <n v="2039"/>
    <s v="RABO GOLD CARD"/>
    <m/>
    <x v="3"/>
    <x v="14"/>
    <d v="2019-03-06T00:00:00"/>
    <d v="2019-03-06T00:00:00"/>
    <n v="-72.44"/>
    <n v="72.44"/>
    <m/>
    <s v="1171820 VODAFONE MILANO ITA"/>
    <x v="5"/>
    <x v="13"/>
    <x v="76"/>
  </r>
  <r>
    <n v="2043"/>
    <s v="RABO GOLD CARD"/>
    <m/>
    <x v="3"/>
    <x v="38"/>
    <d v="2019-07-26T00:00:00"/>
    <d v="2019-07-26T00:00:00"/>
    <n v="-67.2"/>
    <n v="67.2"/>
    <m/>
    <s v="OOM Verzekeringen RIJSWIJK NLD"/>
    <x v="5"/>
    <x v="13"/>
    <x v="81"/>
  </r>
  <r>
    <n v="2050"/>
    <s v="RABO GOLD CARD"/>
    <m/>
    <x v="3"/>
    <x v="17"/>
    <d v="2019-12-01T00:00:00"/>
    <d v="2019-12-01T00:00:00"/>
    <n v="-4.5"/>
    <n v="4.5"/>
    <m/>
    <s v="KOSTEN GELDAUTOMAAT"/>
    <x v="5"/>
    <x v="13"/>
    <x v="74"/>
  </r>
  <r>
    <n v="2054"/>
    <s v="BNPPARIBAS"/>
    <m/>
    <x v="4"/>
    <x v="20"/>
    <d v="2020-01-03T00:00:00"/>
    <d v="2020-01-03T00:00:00"/>
    <n v="-8.7799999999999994"/>
    <n v="8.7799999999999994"/>
    <m/>
    <s v="COMMISSIONS COTISATION A UNE OFFRE GROUPEE DE SERVICES ESPRIT LIBRE"/>
    <x v="5"/>
    <x v="13"/>
    <x v="74"/>
  </r>
  <r>
    <n v="2055"/>
    <s v="BNPPARIBAS"/>
    <m/>
    <x v="4"/>
    <x v="20"/>
    <d v="2020-01-03T00:00:00"/>
    <d v="2020-01-03T00:00:00"/>
    <n v="-0.99"/>
    <n v="0.99"/>
    <m/>
    <s v="PAIEMENT CARTE DU 020120 APPLE.COM/BILL  CARTE   4974XXXXXXXX8716                IRL     0,99EUR"/>
    <x v="5"/>
    <x v="13"/>
    <x v="18"/>
  </r>
  <r>
    <n v="2056"/>
    <s v="BNPPARIBAS"/>
    <m/>
    <x v="4"/>
    <x v="20"/>
    <d v="2020-01-06T00:00:00"/>
    <d v="2020-01-06T00:00:00"/>
    <n v="-12.32"/>
    <n v="12.32"/>
    <m/>
    <s v="PRELEVEMENT CARDIF ASSURANCE VIE ECH/060120 ID EMETTEUR/FR28ZZZ110086 MDT/++FR28ZZZ1100862013111800895153CDIF REF/BP008372063         050120086780 LIB/BP008372063         050120"/>
    <x v="5"/>
    <x v="13"/>
    <x v="69"/>
  </r>
  <r>
    <n v="2057"/>
    <s v="BNPPARIBAS"/>
    <m/>
    <x v="4"/>
    <x v="19"/>
    <d v="2020-02-03T00:00:00"/>
    <d v="2020-02-03T00:00:00"/>
    <n v="-0.99"/>
    <n v="0.99"/>
    <m/>
    <s v="PAIEMENT CARTE DU 020220 APPLE.COM/BILL  CARTE   4974XXXXXXXX8716                IRL     0,99EUR"/>
    <x v="5"/>
    <x v="13"/>
    <x v="18"/>
  </r>
  <r>
    <n v="2058"/>
    <s v="BNPPARIBAS"/>
    <m/>
    <x v="4"/>
    <x v="19"/>
    <d v="2020-02-04T00:00:00"/>
    <d v="2020-02-04T00:00:00"/>
    <n v="-8.7799999999999994"/>
    <n v="8.7799999999999994"/>
    <m/>
    <s v="COMMISSIONS COTISATION A UNE OFFRE GROUPEE DE SERVICES ESPRIT LIBRE"/>
    <x v="5"/>
    <x v="13"/>
    <x v="74"/>
  </r>
  <r>
    <n v="2059"/>
    <s v="BNPPARIBAS"/>
    <m/>
    <x v="4"/>
    <x v="19"/>
    <d v="2020-02-05T00:00:00"/>
    <d v="2020-02-05T00:00:00"/>
    <n v="-12.32"/>
    <n v="12.32"/>
    <m/>
    <s v="PRELEVEMENT CARDIF ASSURANCE VIE ECH/050220 ID EMETTEUR/FR28ZZZ110086 MDT/++FR28ZZZ1100862013111800895153CDIF REF/BP008372063         050220066479 LIB/BP008372063         050220"/>
    <x v="5"/>
    <x v="13"/>
    <x v="69"/>
  </r>
  <r>
    <n v="2061"/>
    <s v="BNPPARIBAS"/>
    <m/>
    <x v="4"/>
    <x v="21"/>
    <d v="2020-03-03T00:00:00"/>
    <d v="2020-03-03T00:00:00"/>
    <n v="-8.7799999999999994"/>
    <n v="8.7799999999999994"/>
    <m/>
    <s v="COMMISSIONS COTISATION A UNE OFFRE GROUPEE DE SERVICES ESPRIT LIBRE"/>
    <x v="5"/>
    <x v="13"/>
    <x v="74"/>
  </r>
  <r>
    <n v="2062"/>
    <s v="BNPPARIBAS"/>
    <m/>
    <x v="4"/>
    <x v="21"/>
    <d v="2020-03-03T00:00:00"/>
    <d v="2020-03-03T00:00:00"/>
    <n v="-0.99"/>
    <n v="0.99"/>
    <m/>
    <s v="PAIEMENT CARTE DU 020320 APPLE.COM/BILL  CARTE   4974XXXXXXXX8716                IRL     0,99EUR"/>
    <x v="5"/>
    <x v="13"/>
    <x v="18"/>
  </r>
  <r>
    <n v="2063"/>
    <s v="BNPPARIBAS"/>
    <m/>
    <x v="4"/>
    <x v="21"/>
    <d v="2020-03-05T00:00:00"/>
    <d v="2020-03-05T00:00:00"/>
    <n v="-12.99"/>
    <n v="12.99"/>
    <m/>
    <s v="PRELEVEMENT CARDIF ASSURANCE VIE ECH/050320 ID EMETTEUR/FR28ZZZ110086 MDT/++FR28ZZZ1100862013111800895153CDIF REF/BP008372063         050320080566 LIB/BP008372063         050320"/>
    <x v="5"/>
    <x v="13"/>
    <x v="69"/>
  </r>
  <r>
    <n v="2068"/>
    <s v="BNPPARIBAS"/>
    <m/>
    <x v="4"/>
    <x v="22"/>
    <d v="2020-04-01T00:00:00"/>
    <d v="2020-04-01T00:00:00"/>
    <n v="-12.99"/>
    <n v="12.99"/>
    <m/>
    <s v="PRELEVEMENT CARDIF ASSURANCE VIE ECH/060420 ID EMETTEUR/FR28ZZZ110086 MDT/++FR28ZZZ1100862013111800895153CDIF REF/BP008372063         050420083142 LIB/BP008372063         050420"/>
    <x v="5"/>
    <x v="13"/>
    <x v="69"/>
  </r>
  <r>
    <n v="2069"/>
    <s v="BNPPARIBAS"/>
    <m/>
    <x v="4"/>
    <x v="22"/>
    <d v="2020-04-02T00:00:00"/>
    <d v="2020-04-02T00:00:00"/>
    <n v="-8.91"/>
    <n v="8.91"/>
    <m/>
    <s v="COMMISSIONS COTISATION A UNE OFFRE GROUPEE DE SERVICES ESPRIT LIBRE"/>
    <x v="5"/>
    <x v="13"/>
    <x v="74"/>
  </r>
  <r>
    <n v="2070"/>
    <s v="BNPPARIBAS"/>
    <m/>
    <x v="4"/>
    <x v="22"/>
    <d v="2020-04-03T00:00:00"/>
    <d v="2020-04-03T00:00:00"/>
    <n v="-0.99"/>
    <n v="0.99"/>
    <m/>
    <s v="PAIEMENT CARTE DU 020420 APPLE.COM/BILL  CARTE   4974XXXXXXXX8716                IRL     0,99EUR"/>
    <x v="5"/>
    <x v="13"/>
    <x v="18"/>
  </r>
  <r>
    <n v="2071"/>
    <s v="BNPPARIBAS"/>
    <m/>
    <x v="4"/>
    <x v="22"/>
    <d v="2020-04-07T00:00:00"/>
    <d v="2020-04-07T00:00:00"/>
    <n v="-4.99"/>
    <n v="4.99"/>
    <m/>
    <s v="PRELEVEMENT PAYPAL EUROPE S.A.R.L. ET CIE S.C.A ECH/070420 ID EMETTEUR/LU96ZZZ0000000000000000058 MDT/5HBJ224MREGGA REF/1008495408718 PAYPAL VIREMENT LIB/1008495408718 PAYPAL"/>
    <x v="5"/>
    <x v="13"/>
    <x v="84"/>
  </r>
  <r>
    <n v="2072"/>
    <s v="BNPPARIBAS"/>
    <m/>
    <x v="4"/>
    <x v="22"/>
    <d v="2020-04-27T00:00:00"/>
    <d v="2020-04-27T00:00:00"/>
    <n v="-7"/>
    <n v="7"/>
    <m/>
    <s v="PRELEVEMENT PAYPAL EUROPE S.A.R.L. ET CIE S.C.A ECH/270420 ID EMETTEUR/LU96ZZZ0000000000000000058 MDT/5HBJ224MREGGA REF/1008706976573 PAYPAL VIREMENT LIB/1008706976573 PAYPAL"/>
    <x v="5"/>
    <x v="13"/>
    <x v="73"/>
  </r>
  <r>
    <n v="2073"/>
    <s v="BNPPARIBAS"/>
    <m/>
    <x v="4"/>
    <x v="23"/>
    <d v="2020-05-04T00:00:00"/>
    <d v="2020-05-04T00:00:00"/>
    <n v="-0.99"/>
    <n v="0.99"/>
    <m/>
    <s v="PAIEMENT CARTE DU 020520 APPLE.COM/BILL  CARTE   4974XXXXXXXX8716                IRL     0,99EUR"/>
    <x v="5"/>
    <x v="13"/>
    <x v="18"/>
  </r>
  <r>
    <n v="2074"/>
    <s v="BNPPARIBAS"/>
    <m/>
    <x v="4"/>
    <x v="23"/>
    <d v="2020-05-05T00:00:00"/>
    <d v="2020-05-05T00:00:00"/>
    <n v="-8.91"/>
    <n v="8.91"/>
    <m/>
    <s v="COMMISSIONS COTISATION A UNE OFFRE GROUPEE DE SERVICES ESPRIT LIBRE"/>
    <x v="5"/>
    <x v="13"/>
    <x v="74"/>
  </r>
  <r>
    <n v="2075"/>
    <s v="BNPPARIBAS"/>
    <m/>
    <x v="4"/>
    <x v="23"/>
    <d v="2020-05-05T00:00:00"/>
    <d v="2020-05-05T00:00:00"/>
    <n v="-12.99"/>
    <n v="12.99"/>
    <m/>
    <s v="PRELEVEMENT CARDIF ASSURANCE VIE ECH/050520 ID EMETTEUR/FR28ZZZ110086 MDT/++FR28ZZZ1100862013111800895153CDIF REF/BP008372063         050520708432 LIB/BP008372063         050520"/>
    <x v="5"/>
    <x v="13"/>
    <x v="69"/>
  </r>
  <r>
    <n v="2077"/>
    <s v="BNPPARIBAS"/>
    <m/>
    <x v="4"/>
    <x v="23"/>
    <d v="2020-05-06T00:00:00"/>
    <d v="2020-05-06T00:00:00"/>
    <n v="-4.99"/>
    <n v="4.99"/>
    <m/>
    <s v="PRELEVEMENT PAYPAL EUROPE S.A.R.L. ET CIE S.C.A ECH/060520 ID EMETTEUR/LU96ZZZ0000000000000000058 MDT/5HBJ224MREGGA REF/1008842538384 PAYPAL VIREMENT LIB/1008842538384 PAYPAL"/>
    <x v="5"/>
    <x v="13"/>
    <x v="84"/>
  </r>
  <r>
    <n v="2079"/>
    <s v="BNPPARIBAS"/>
    <m/>
    <x v="4"/>
    <x v="23"/>
    <d v="2020-05-26T00:00:00"/>
    <d v="2020-05-26T00:00:00"/>
    <n v="-7"/>
    <n v="7"/>
    <m/>
    <s v="PRELEVEMENT PAYPAL EUROPE S.A.R.L. ET CIE S.C.A ECH/260520 ID EMETTEUR/LU96ZZZ0000000000000000058 MDT/5HBJ224MREGGA REF/1009063338409 PAYPAL VIREMENT LIB/1009063338409 PAYPAL"/>
    <x v="5"/>
    <x v="13"/>
    <x v="73"/>
  </r>
  <r>
    <n v="2081"/>
    <s v="BNPPARIBAS"/>
    <m/>
    <x v="4"/>
    <x v="24"/>
    <d v="2020-06-03T00:00:00"/>
    <d v="2020-06-03T00:00:00"/>
    <n v="-8.91"/>
    <n v="8.91"/>
    <m/>
    <s v="COMMISSIONS COTISATION A UNE OFFRE GROUPEE DE SERVICES ESPRIT LIBRE"/>
    <x v="5"/>
    <x v="13"/>
    <x v="74"/>
  </r>
  <r>
    <n v="2082"/>
    <s v="BNPPARIBAS"/>
    <m/>
    <x v="4"/>
    <x v="24"/>
    <d v="2020-06-03T00:00:00"/>
    <d v="2020-06-03T00:00:00"/>
    <n v="-26"/>
    <n v="26"/>
    <m/>
    <s v="COMMISSIONS FORMULE BNP NET. CARTE N  : 0004974014048498716"/>
    <x v="5"/>
    <x v="13"/>
    <x v="74"/>
  </r>
  <r>
    <n v="2083"/>
    <s v="BNPPARIBAS"/>
    <m/>
    <x v="4"/>
    <x v="24"/>
    <d v="2020-06-03T00:00:00"/>
    <d v="2020-06-03T00:00:00"/>
    <n v="-0.99"/>
    <n v="0.99"/>
    <m/>
    <s v="PAIEMENT CARTE DU 020620 APPLE.COM/BILL  CARTE   4974XXXXXXXX8716                IRL     0,99EUR"/>
    <x v="5"/>
    <x v="13"/>
    <x v="18"/>
  </r>
  <r>
    <n v="2084"/>
    <s v="BNPPARIBAS"/>
    <m/>
    <x v="4"/>
    <x v="56"/>
    <d v="2020-06-03T00:00:00"/>
    <d v="2020-06-03T00:00:00"/>
    <n v="-0.99"/>
    <n v="0.99"/>
    <m/>
    <s v="PAIEMENT CARTE DU 020720 APPLE.COM/BILL  CARTE   4974XXXXXXXX8716                IRL     0,99EUR"/>
    <x v="5"/>
    <x v="13"/>
    <x v="18"/>
  </r>
  <r>
    <n v="2086"/>
    <s v="BNPPARIBAS"/>
    <m/>
    <x v="4"/>
    <x v="24"/>
    <d v="2020-06-05T00:00:00"/>
    <d v="2020-06-05T00:00:00"/>
    <n v="-12.99"/>
    <n v="12.99"/>
    <m/>
    <s v="PRELEVEMENT CARDIF ASSURANCE VIE ECH/050620 ID EMETTEUR/FR28ZZZ110086 MDT/++FR28ZZZ1100862013111800895153CDIF REF/BP008372063         050620041914 LIB/BP008372063         050620"/>
    <x v="5"/>
    <x v="13"/>
    <x v="69"/>
  </r>
  <r>
    <n v="2087"/>
    <s v="BNPPARIBAS"/>
    <m/>
    <x v="4"/>
    <x v="24"/>
    <d v="2020-06-08T00:00:00"/>
    <d v="2020-06-08T00:00:00"/>
    <n v="-4.99"/>
    <n v="4.99"/>
    <m/>
    <s v="PRELEVEMENT PAYPAL EUROPE S.A.R.L. ET CIE S.C.A ECH/080620 ID EMETTEUR/LU96ZZZ0000000000000000058 MDT/5HBJ224MREGGA REF/1009200423345 PAYPAL VIREMENT LIB/1009200423345 PAYPAL"/>
    <x v="5"/>
    <x v="13"/>
    <x v="84"/>
  </r>
  <r>
    <n v="2088"/>
    <s v="BNPPARIBAS"/>
    <m/>
    <x v="4"/>
    <x v="24"/>
    <d v="2020-06-22T00:00:00"/>
    <d v="2020-06-22T00:00:00"/>
    <n v="-2.99"/>
    <n v="2.99"/>
    <m/>
    <s v="PRELEVEMENT PAYPAL EUROPE S.A.R.L. ET CIE S.C.A ECH/220620 ID EMETTEUR/LU96ZZZ0000000000000000058 MDT/5HBJ224MREGGA REF/1009367219006 PAYPAL VIREMENT LIB/1009367219006 PAYPAL"/>
    <x v="5"/>
    <x v="13"/>
    <x v="83"/>
  </r>
  <r>
    <n v="2089"/>
    <s v="BNPPARIBAS"/>
    <m/>
    <x v="4"/>
    <x v="24"/>
    <d v="2020-06-25T00:00:00"/>
    <d v="2020-06-25T00:00:00"/>
    <n v="-7"/>
    <n v="7"/>
    <m/>
    <s v="PRELEVEMENT PAYPAL EUROPE S.A.R.L. ET CIE S.C.A ECH/250620 ID EMETTEUR/LU96ZZZ0000000000000000058 MDT/5HBJ224MREGGA REF/1009412359783 PAYPAL VIREMENT LIB/1009412359783 PAYPAL"/>
    <x v="5"/>
    <x v="13"/>
    <x v="73"/>
  </r>
  <r>
    <n v="2090"/>
    <s v="BNPPARIBAS"/>
    <m/>
    <x v="4"/>
    <x v="56"/>
    <d v="2020-07-02T00:00:00"/>
    <d v="2020-07-02T00:00:00"/>
    <n v="-8.91"/>
    <n v="8.91"/>
    <m/>
    <s v="COMMISSIONS COTISATION A UNE OFFRE GROUPEE DE SERVICES ESPRIT LIBRE"/>
    <x v="5"/>
    <x v="13"/>
    <x v="74"/>
  </r>
  <r>
    <n v="2092"/>
    <s v="BNPPARIBAS"/>
    <m/>
    <x v="4"/>
    <x v="56"/>
    <d v="2020-07-06T00:00:00"/>
    <d v="2020-07-06T00:00:00"/>
    <n v="-12.99"/>
    <n v="12.99"/>
    <m/>
    <s v="PRELEVEMENT CARDIF ASSURANCE VIE ECH/060720 ID EMETTEUR/FR28ZZZ110086 MDT/++FR28ZZZ1100862013111800895153CDIF REF/BP008372063         050720080595 LIB/BP008372063         050720"/>
    <x v="5"/>
    <x v="13"/>
    <x v="69"/>
  </r>
  <r>
    <n v="2093"/>
    <s v="BNPPARIBAS"/>
    <m/>
    <x v="4"/>
    <x v="56"/>
    <d v="2020-07-07T00:00:00"/>
    <d v="2020-07-07T00:00:00"/>
    <n v="-4.99"/>
    <n v="4.99"/>
    <m/>
    <s v="PRELEVEMENT PAYPAL EUROPE S.A.R.L. ET CIE S.C.A ECH/070720 ID EMETTEUR/LU96ZZZ0000000000000000058 MDT/5HBJ224MREGGA REF/1009541279634 PAYPAL VIREMENT LIB/1009541279634 PAYPAL"/>
    <x v="5"/>
    <x v="13"/>
    <x v="84"/>
  </r>
  <r>
    <n v="2095"/>
    <s v="BNPPARIBAS"/>
    <m/>
    <x v="4"/>
    <x v="56"/>
    <d v="2020-07-21T00:00:00"/>
    <d v="2020-07-21T00:00:00"/>
    <n v="-2.99"/>
    <n v="2.99"/>
    <m/>
    <s v="PRELEVEMENT PAYPAL EUROPE S.A.R.L. ET CIE S.C.A ECH/210720 ID EMETTEUR/LU96ZZZ0000000000000000058 MDT/5HBJ224MREGGA REF/1009705167809 PAYPAL VIREMENT LIB/1009705167809 PAYPAL"/>
    <x v="5"/>
    <x v="13"/>
    <x v="83"/>
  </r>
  <r>
    <n v="2096"/>
    <s v="BNPPARIBAS"/>
    <m/>
    <x v="4"/>
    <x v="56"/>
    <d v="2020-07-24T00:00:00"/>
    <d v="2020-07-24T00:00:00"/>
    <n v="-7"/>
    <n v="7"/>
    <m/>
    <s v="PRELEVEMENT PAYPAL EUROPE S.A.R.L. ET CIE S.C.A ECH/240720 ID EMETTEUR/LU96ZZZ0000000000000000058 MDT/5HBJ224MREGGA REF/1009749991936 PAYPAL VIREMENT LIB/1009749991936 PAYPAL"/>
    <x v="5"/>
    <x v="13"/>
    <x v="73"/>
  </r>
  <r>
    <n v="2097"/>
    <s v="BNPPARIBAS"/>
    <m/>
    <x v="4"/>
    <x v="60"/>
    <d v="2020-08-03T00:00:00"/>
    <d v="2020-08-03T00:00:00"/>
    <n v="-0.99"/>
    <n v="0.99"/>
    <m/>
    <s v="PAIEMENT CARTE DU 020820 APPLE.COM/BILL  CARTE   4974XXXXXXXX8716                IRL     0,99EUR"/>
    <x v="5"/>
    <x v="13"/>
    <x v="18"/>
  </r>
  <r>
    <n v="2098"/>
    <s v="BNPPARIBAS"/>
    <m/>
    <x v="4"/>
    <x v="60"/>
    <d v="2020-08-04T00:00:00"/>
    <d v="2020-08-04T00:00:00"/>
    <n v="-8.91"/>
    <n v="8.91"/>
    <m/>
    <s v="COMMISSIONS COTISATION A UNE OFFRE GROUPEE DE SERVICES ESPRIT LIBRE"/>
    <x v="5"/>
    <x v="13"/>
    <x v="74"/>
  </r>
  <r>
    <n v="2099"/>
    <s v="BNPPARIBAS"/>
    <m/>
    <x v="4"/>
    <x v="60"/>
    <d v="2020-08-05T00:00:00"/>
    <d v="2020-08-05T00:00:00"/>
    <n v="-12.99"/>
    <n v="12.99"/>
    <m/>
    <s v="PRELEVEMENT CARDIF ASSURANCE VIE ECH/050820 ID EMETTEUR/FR28ZZZ110086 MDT/++FR28ZZZ1100862013111800895153CDIF REF/BP008372063         050820055841 LIB/BP008372063         050820"/>
    <x v="5"/>
    <x v="13"/>
    <x v="69"/>
  </r>
  <r>
    <n v="2101"/>
    <s v="IT47Z3608105138243365043377"/>
    <m/>
    <x v="4"/>
    <x v="20"/>
    <d v="2020-01-31T00:00:00"/>
    <d v="2020-01-31T00:00:00"/>
    <n v="-27"/>
    <n v="27"/>
    <m/>
    <s v="WIND TRE"/>
    <x v="5"/>
    <x v="13"/>
    <x v="76"/>
  </r>
  <r>
    <n v="2144"/>
    <s v="NL22RABO0381604934"/>
    <m/>
    <x v="4"/>
    <x v="20"/>
    <d v="2020-01-03T00:00:00"/>
    <d v="2020-01-03T00:00:00"/>
    <n v="-0.7"/>
    <n v="0.7"/>
    <m/>
    <s v="Kosten"/>
    <x v="5"/>
    <x v="13"/>
    <x v="74"/>
  </r>
  <r>
    <n v="2145"/>
    <s v="NL22RABO0381604934"/>
    <m/>
    <x v="4"/>
    <x v="20"/>
    <d v="2020-01-03T00:00:00"/>
    <d v="2020-01-03T00:00:00"/>
    <n v="-4.8"/>
    <n v="4.8"/>
    <m/>
    <s v="Kosten"/>
    <x v="5"/>
    <x v="13"/>
    <x v="74"/>
  </r>
  <r>
    <n v="2148"/>
    <s v="NL22RABO0381604934"/>
    <m/>
    <x v="4"/>
    <x v="20"/>
    <d v="2020-01-22T00:00:00"/>
    <d v="2020-01-22T00:00:00"/>
    <n v="-9.99"/>
    <n v="9.99"/>
    <m/>
    <s v="Blendle B.V."/>
    <x v="5"/>
    <x v="13"/>
    <x v="72"/>
  </r>
  <r>
    <n v="2149"/>
    <s v="NL22RABO0381604934"/>
    <m/>
    <x v="4"/>
    <x v="20"/>
    <d v="2020-01-22T00:00:00"/>
    <d v="2020-01-22T00:00:00"/>
    <n v="-6"/>
    <n v="6"/>
    <m/>
    <s v="STICHTING DERDENGELDEN BUCKAROO"/>
    <x v="5"/>
    <x v="13"/>
    <x v="87"/>
  </r>
  <r>
    <n v="2150"/>
    <s v="NL22RABO0381604934"/>
    <m/>
    <x v="4"/>
    <x v="20"/>
    <d v="2020-01-22T00:00:00"/>
    <d v="2020-01-22T00:00:00"/>
    <n v="-67"/>
    <n v="67"/>
    <m/>
    <s v="NS GROEP IZ NS REIZIGERS"/>
    <x v="5"/>
    <x v="13"/>
    <x v="77"/>
  </r>
  <r>
    <n v="2152"/>
    <s v="NL22RABO0381604934"/>
    <m/>
    <x v="4"/>
    <x v="19"/>
    <d v="2020-02-04T00:00:00"/>
    <d v="2020-02-04T00:00:00"/>
    <n v="-0.03"/>
    <n v="0.03"/>
    <m/>
    <s v="Debetrente"/>
    <x v="5"/>
    <x v="13"/>
    <x v="74"/>
  </r>
  <r>
    <n v="2153"/>
    <s v="NL22RABO0381604934"/>
    <m/>
    <x v="4"/>
    <x v="19"/>
    <d v="2020-02-04T00:00:00"/>
    <d v="2020-02-04T00:00:00"/>
    <n v="-0.7"/>
    <n v="0.7"/>
    <m/>
    <s v="Kosten"/>
    <x v="5"/>
    <x v="13"/>
    <x v="74"/>
  </r>
  <r>
    <n v="2154"/>
    <s v="NL22RABO0381604934"/>
    <m/>
    <x v="4"/>
    <x v="19"/>
    <d v="2020-02-04T00:00:00"/>
    <d v="2020-02-04T00:00:00"/>
    <n v="-4.8"/>
    <n v="4.8"/>
    <m/>
    <s v="Kosten"/>
    <x v="5"/>
    <x v="13"/>
    <x v="74"/>
  </r>
  <r>
    <n v="2155"/>
    <s v="NL22RABO0381604934"/>
    <m/>
    <x v="4"/>
    <x v="19"/>
    <d v="2020-02-07T00:00:00"/>
    <d v="2020-02-07T00:00:00"/>
    <n v="-24.2"/>
    <n v="24.2"/>
    <m/>
    <s v="Your Hosting B.V."/>
    <x v="5"/>
    <x v="13"/>
    <x v="79"/>
  </r>
  <r>
    <n v="2160"/>
    <s v="NL22RABO0381604934"/>
    <m/>
    <x v="4"/>
    <x v="19"/>
    <d v="2020-02-19T00:00:00"/>
    <d v="2020-02-19T00:00:00"/>
    <n v="-6"/>
    <n v="6"/>
    <m/>
    <s v="STICHTING DERDENGELDEN BUCKAROO"/>
    <x v="5"/>
    <x v="13"/>
    <x v="87"/>
  </r>
  <r>
    <n v="2161"/>
    <s v="NL22RABO0381604934"/>
    <m/>
    <x v="4"/>
    <x v="19"/>
    <d v="2020-02-20T00:00:00"/>
    <d v="2020-02-20T00:00:00"/>
    <n v="-9.99"/>
    <n v="9.99"/>
    <m/>
    <s v="Blendle B.V."/>
    <x v="5"/>
    <x v="13"/>
    <x v="72"/>
  </r>
  <r>
    <n v="2165"/>
    <s v="NL22RABO0381604934"/>
    <m/>
    <x v="4"/>
    <x v="21"/>
    <d v="2020-03-03T00:00:00"/>
    <d v="2020-03-03T00:00:00"/>
    <n v="-7.0000000000000007E-2"/>
    <n v="7.0000000000000007E-2"/>
    <m/>
    <s v="Debetrente"/>
    <x v="5"/>
    <x v="13"/>
    <x v="74"/>
  </r>
  <r>
    <n v="2166"/>
    <s v="NL22RABO0381604934"/>
    <m/>
    <x v="4"/>
    <x v="21"/>
    <d v="2020-03-03T00:00:00"/>
    <d v="2020-03-03T00:00:00"/>
    <n v="-0.7"/>
    <n v="0.7"/>
    <m/>
    <s v="Kosten"/>
    <x v="5"/>
    <x v="13"/>
    <x v="74"/>
  </r>
  <r>
    <n v="2167"/>
    <s v="NL22RABO0381604934"/>
    <m/>
    <x v="4"/>
    <x v="21"/>
    <d v="2020-03-03T00:00:00"/>
    <d v="2020-03-03T00:00:00"/>
    <n v="-4.8"/>
    <n v="4.8"/>
    <m/>
    <s v="Kosten"/>
    <x v="5"/>
    <x v="13"/>
    <x v="74"/>
  </r>
  <r>
    <n v="2170"/>
    <s v="NL22RABO0381604934"/>
    <m/>
    <x v="4"/>
    <x v="21"/>
    <d v="2020-03-20T00:00:00"/>
    <d v="2020-03-20T00:00:00"/>
    <n v="-9.99"/>
    <n v="9.99"/>
    <m/>
    <s v="Blendle B.V."/>
    <x v="5"/>
    <x v="13"/>
    <x v="72"/>
  </r>
  <r>
    <n v="2171"/>
    <s v="NL22RABO0381604934"/>
    <m/>
    <x v="4"/>
    <x v="21"/>
    <d v="2020-03-20T00:00:00"/>
    <d v="2020-03-20T00:00:00"/>
    <n v="-6"/>
    <n v="6"/>
    <m/>
    <s v="STICHTING DERDENGELDEN BUCKAROO"/>
    <x v="5"/>
    <x v="13"/>
    <x v="87"/>
  </r>
  <r>
    <n v="2175"/>
    <s v="NL22RABO0381604934"/>
    <m/>
    <x v="4"/>
    <x v="22"/>
    <d v="2020-04-02T00:00:00"/>
    <d v="2020-04-02T00:00:00"/>
    <n v="-0.03"/>
    <n v="0.03"/>
    <m/>
    <s v="Debetrente"/>
    <x v="5"/>
    <x v="13"/>
    <x v="74"/>
  </r>
  <r>
    <n v="2176"/>
    <s v="NL22RABO0381604934"/>
    <m/>
    <x v="4"/>
    <x v="22"/>
    <d v="2020-04-02T00:00:00"/>
    <d v="2020-04-02T00:00:00"/>
    <n v="-0.7"/>
    <n v="0.7"/>
    <m/>
    <s v="Kosten"/>
    <x v="5"/>
    <x v="13"/>
    <x v="74"/>
  </r>
  <r>
    <n v="2177"/>
    <s v="NL22RABO0381604934"/>
    <m/>
    <x v="4"/>
    <x v="22"/>
    <d v="2020-04-02T00:00:00"/>
    <d v="2020-04-02T00:00:00"/>
    <n v="-5"/>
    <n v="5"/>
    <m/>
    <s v="Kosten"/>
    <x v="5"/>
    <x v="13"/>
    <x v="74"/>
  </r>
  <r>
    <n v="2180"/>
    <s v="NL22RABO0381604934"/>
    <m/>
    <x v="4"/>
    <x v="22"/>
    <d v="2020-04-22T00:00:00"/>
    <d v="2020-04-22T00:00:00"/>
    <n v="-9.99"/>
    <n v="9.99"/>
    <m/>
    <s v="Blendle B.V."/>
    <x v="5"/>
    <x v="13"/>
    <x v="72"/>
  </r>
  <r>
    <n v="2183"/>
    <s v="NL22RABO0381604934"/>
    <m/>
    <x v="4"/>
    <x v="23"/>
    <d v="2020-05-01T00:00:00"/>
    <d v="2020-05-01T00:00:00"/>
    <n v="-0.7"/>
    <n v="0.7"/>
    <m/>
    <s v="Kosten"/>
    <x v="5"/>
    <x v="13"/>
    <x v="74"/>
  </r>
  <r>
    <n v="2184"/>
    <s v="NL22RABO0381604934"/>
    <m/>
    <x v="4"/>
    <x v="23"/>
    <d v="2020-05-01T00:00:00"/>
    <d v="2020-05-01T00:00:00"/>
    <n v="-5"/>
    <n v="5"/>
    <m/>
    <s v="Kosten"/>
    <x v="5"/>
    <x v="13"/>
    <x v="74"/>
  </r>
  <r>
    <n v="2185"/>
    <s v="NL22RABO0381604934"/>
    <m/>
    <x v="4"/>
    <x v="23"/>
    <d v="2020-05-01T00:00:00"/>
    <d v="2020-05-01T00:00:00"/>
    <n v="-7"/>
    <n v="7"/>
    <m/>
    <s v="Kosten"/>
    <x v="5"/>
    <x v="13"/>
    <x v="74"/>
  </r>
  <r>
    <n v="2186"/>
    <s v="NL22RABO0381604934"/>
    <m/>
    <x v="4"/>
    <x v="23"/>
    <d v="2020-05-06T00:00:00"/>
    <d v="2020-05-06T00:00:00"/>
    <n v="-51.15"/>
    <n v="51.15"/>
    <m/>
    <s v="Your Hosting B.V."/>
    <x v="5"/>
    <x v="13"/>
    <x v="79"/>
  </r>
  <r>
    <n v="2189"/>
    <s v="NL22RABO0381604934"/>
    <m/>
    <x v="4"/>
    <x v="23"/>
    <d v="2020-05-20T00:00:00"/>
    <d v="2020-05-20T00:00:00"/>
    <n v="-9.99"/>
    <n v="9.99"/>
    <m/>
    <s v="Blendle B.V."/>
    <x v="5"/>
    <x v="13"/>
    <x v="72"/>
  </r>
  <r>
    <n v="2191"/>
    <s v="NL22RABO0381604934"/>
    <m/>
    <x v="4"/>
    <x v="24"/>
    <d v="2020-06-01T00:00:00"/>
    <d v="2020-06-01T00:00:00"/>
    <n v="-0.7"/>
    <n v="0.7"/>
    <m/>
    <s v="Kosten"/>
    <x v="5"/>
    <x v="13"/>
    <x v="74"/>
  </r>
  <r>
    <n v="2192"/>
    <s v="NL22RABO0381604934"/>
    <m/>
    <x v="4"/>
    <x v="24"/>
    <d v="2020-06-01T00:00:00"/>
    <d v="2020-06-01T00:00:00"/>
    <n v="-5"/>
    <n v="5"/>
    <m/>
    <s v="Kosten"/>
    <x v="5"/>
    <x v="13"/>
    <x v="74"/>
  </r>
  <r>
    <n v="2193"/>
    <s v="NL22RABO0381604934"/>
    <m/>
    <x v="4"/>
    <x v="24"/>
    <d v="2020-06-01T00:00:00"/>
    <d v="2020-06-01T00:00:00"/>
    <n v="-7"/>
    <n v="7"/>
    <m/>
    <s v="Kosten"/>
    <x v="5"/>
    <x v="13"/>
    <x v="74"/>
  </r>
  <r>
    <n v="2197"/>
    <s v="NL22RABO0381604934"/>
    <m/>
    <x v="4"/>
    <x v="24"/>
    <d v="2020-06-18T00:00:00"/>
    <d v="2020-06-18T00:00:00"/>
    <n v="-6"/>
    <n v="6"/>
    <m/>
    <s v="STICHTING DERDENGELDEN BUCKAROO"/>
    <x v="5"/>
    <x v="13"/>
    <x v="87"/>
  </r>
  <r>
    <n v="2198"/>
    <s v="NL22RABO0381604934"/>
    <m/>
    <x v="4"/>
    <x v="24"/>
    <d v="2020-06-22T00:00:00"/>
    <d v="2020-06-22T00:00:00"/>
    <n v="-9.99"/>
    <n v="9.99"/>
    <m/>
    <s v="Blendle B.V."/>
    <x v="5"/>
    <x v="13"/>
    <x v="72"/>
  </r>
  <r>
    <n v="2200"/>
    <s v="NL22RABO0381604934"/>
    <m/>
    <x v="4"/>
    <x v="24"/>
    <d v="2020-06-30T00:00:00"/>
    <d v="2020-06-30T00:00:00"/>
    <n v="-20"/>
    <n v="20"/>
    <m/>
    <s v="Shop 7309/ Plaza Schiphol Airp"/>
    <x v="5"/>
    <x v="13"/>
    <x v="70"/>
  </r>
  <r>
    <n v="2203"/>
    <s v="NL22RABO0381604934"/>
    <m/>
    <x v="4"/>
    <x v="56"/>
    <d v="2020-07-01T00:00:00"/>
    <d v="2020-07-01T00:00:00"/>
    <n v="-0.03"/>
    <n v="0.03"/>
    <m/>
    <s v="Debetrente"/>
    <x v="5"/>
    <x v="13"/>
    <x v="74"/>
  </r>
  <r>
    <n v="2204"/>
    <s v="NL22RABO0381604934"/>
    <m/>
    <x v="4"/>
    <x v="56"/>
    <d v="2020-07-01T00:00:00"/>
    <d v="2020-07-01T00:00:00"/>
    <n v="-0.7"/>
    <n v="0.7"/>
    <m/>
    <s v="Kosten"/>
    <x v="5"/>
    <x v="13"/>
    <x v="74"/>
  </r>
  <r>
    <n v="2205"/>
    <s v="NL22RABO0381604934"/>
    <m/>
    <x v="4"/>
    <x v="56"/>
    <d v="2020-07-01T00:00:00"/>
    <d v="2020-07-01T00:00:00"/>
    <n v="-5"/>
    <n v="5"/>
    <m/>
    <s v="Kosten"/>
    <x v="5"/>
    <x v="13"/>
    <x v="74"/>
  </r>
  <r>
    <n v="2211"/>
    <s v="NL22RABO0381604934"/>
    <m/>
    <x v="4"/>
    <x v="56"/>
    <d v="2020-07-06T00:00:00"/>
    <d v="2020-07-06T00:00:00"/>
    <n v="-27.49"/>
    <n v="27.49"/>
    <m/>
    <s v="Your Hosting B.V."/>
    <x v="5"/>
    <x v="13"/>
    <x v="79"/>
  </r>
  <r>
    <n v="2212"/>
    <s v="NL22RABO0381604934"/>
    <m/>
    <x v="4"/>
    <x v="56"/>
    <d v="2020-07-06T00:00:00"/>
    <d v="2020-07-06T00:00:00"/>
    <n v="-3.42"/>
    <n v="3.42"/>
    <m/>
    <s v="OHRA Schadeverzekeringen"/>
    <x v="5"/>
    <x v="13"/>
    <x v="80"/>
  </r>
  <r>
    <n v="2247"/>
    <s v="NL22RABO0381604934"/>
    <m/>
    <x v="4"/>
    <x v="56"/>
    <d v="2020-07-20T00:00:00"/>
    <d v="2020-07-20T00:00:00"/>
    <n v="-6"/>
    <n v="6"/>
    <m/>
    <s v="STICHTING DERDENGELDEN BUCKAROO"/>
    <x v="5"/>
    <x v="13"/>
    <x v="87"/>
  </r>
  <r>
    <n v="2256"/>
    <s v="NL22RABO0381604934"/>
    <m/>
    <x v="4"/>
    <x v="56"/>
    <d v="2020-07-22T00:00:00"/>
    <d v="2020-07-22T00:00:00"/>
    <n v="-9.99"/>
    <n v="9.99"/>
    <m/>
    <s v="Blendle B.V."/>
    <x v="5"/>
    <x v="13"/>
    <x v="72"/>
  </r>
  <r>
    <n v="2278"/>
    <s v="NL22RABO0381604934"/>
    <m/>
    <x v="4"/>
    <x v="60"/>
    <d v="2020-08-01T00:00:00"/>
    <d v="2020-08-01T00:00:00"/>
    <n v="-0.1"/>
    <n v="0.1"/>
    <m/>
    <s v="Debetrente"/>
    <x v="5"/>
    <x v="13"/>
    <x v="74"/>
  </r>
  <r>
    <n v="2279"/>
    <s v="NL22RABO0381604934"/>
    <m/>
    <x v="4"/>
    <x v="60"/>
    <d v="2020-08-01T00:00:00"/>
    <d v="2020-08-01T00:00:00"/>
    <n v="-0.7"/>
    <n v="0.7"/>
    <m/>
    <s v="Kosten"/>
    <x v="5"/>
    <x v="13"/>
    <x v="74"/>
  </r>
  <r>
    <n v="2280"/>
    <s v="NL22RABO0381604934"/>
    <m/>
    <x v="4"/>
    <x v="60"/>
    <d v="2020-08-01T00:00:00"/>
    <d v="2020-08-01T00:00:00"/>
    <n v="-2"/>
    <n v="2"/>
    <m/>
    <s v="Kosten"/>
    <x v="5"/>
    <x v="13"/>
    <x v="74"/>
  </r>
  <r>
    <n v="2281"/>
    <s v="NL22RABO0381604934"/>
    <m/>
    <x v="4"/>
    <x v="60"/>
    <d v="2020-08-01T00:00:00"/>
    <d v="2020-08-01T00:00:00"/>
    <n v="-5"/>
    <n v="5"/>
    <m/>
    <s v="Kosten"/>
    <x v="5"/>
    <x v="13"/>
    <x v="74"/>
  </r>
  <r>
    <n v="2284"/>
    <s v="NL22RABO0381604934"/>
    <m/>
    <x v="4"/>
    <x v="60"/>
    <d v="2020-08-03T00:00:00"/>
    <d v="2020-08-03T00:00:00"/>
    <n v="-236"/>
    <n v="236"/>
    <m/>
    <s v="D.S.W. Zorgverzekeraar"/>
    <x v="5"/>
    <x v="13"/>
    <x v="81"/>
  </r>
  <r>
    <n v="2285"/>
    <s v="NL22RABO0381604934"/>
    <m/>
    <x v="4"/>
    <x v="60"/>
    <d v="2020-08-03T00:00:00"/>
    <d v="2020-08-03T00:00:00"/>
    <n v="-3.42"/>
    <n v="3.42"/>
    <m/>
    <s v="OHRA Schadeverzekeringen"/>
    <x v="5"/>
    <x v="13"/>
    <x v="80"/>
  </r>
  <r>
    <n v="2329"/>
    <s v="NL22RABO0381604934"/>
    <m/>
    <x v="4"/>
    <x v="60"/>
    <d v="2020-08-19T00:00:00"/>
    <d v="2020-08-19T00:00:00"/>
    <n v="-6"/>
    <n v="6"/>
    <s v="NL28DEUT0265186439"/>
    <s v="STICHTING DERDENGELDEN BUCKAROO"/>
    <x v="5"/>
    <x v="13"/>
    <x v="87"/>
  </r>
  <r>
    <n v="2334"/>
    <s v="NL22RABO0381604934"/>
    <m/>
    <x v="4"/>
    <x v="60"/>
    <d v="2020-08-20T00:00:00"/>
    <d v="2020-08-20T00:00:00"/>
    <n v="-9.99"/>
    <n v="9.99"/>
    <s v="DE89700111104107387027"/>
    <s v="Blendle B.V."/>
    <x v="5"/>
    <x v="13"/>
    <x v="72"/>
  </r>
  <r>
    <n v="2347"/>
    <s v="NL22RABO0381604934"/>
    <m/>
    <x v="4"/>
    <x v="60"/>
    <d v="2020-08-23T00:00:00"/>
    <d v="2020-08-23T00:00:00"/>
    <n v="-20"/>
    <n v="20"/>
    <s v="NL46RABO0306722054"/>
    <s v="Vesta Payment Solutions"/>
    <x v="5"/>
    <x v="13"/>
    <x v="70"/>
  </r>
  <r>
    <n v="2369"/>
    <s v="NL22RABO0381604934"/>
    <m/>
    <x v="4"/>
    <x v="61"/>
    <d v="2020-09-01T00:00:00"/>
    <d v="2020-09-01T00:00:00"/>
    <n v="-3.42"/>
    <n v="3.42"/>
    <s v="NL98INGB0002712510"/>
    <s v="OHRA Schadeverzekeringen"/>
    <x v="5"/>
    <x v="13"/>
    <x v="80"/>
  </r>
  <r>
    <n v="2374"/>
    <s v="NL22RABO0381604934"/>
    <m/>
    <x v="4"/>
    <x v="61"/>
    <d v="2020-09-02T00:00:00"/>
    <d v="2020-09-02T00:00:00"/>
    <n v="-118"/>
    <n v="118"/>
    <s v="NL11RABO0343685310"/>
    <s v="D.S.W. Zorgverzekeraar"/>
    <x v="5"/>
    <x v="13"/>
    <x v="81"/>
  </r>
  <r>
    <n v="2375"/>
    <s v="NL22RABO0381604934"/>
    <m/>
    <x v="4"/>
    <x v="61"/>
    <d v="2020-09-02T00:00:00"/>
    <d v="2020-09-02T00:00:00"/>
    <n v="-0.7"/>
    <n v="0.7"/>
    <m/>
    <s v="Kosten"/>
    <x v="5"/>
    <x v="13"/>
    <x v="74"/>
  </r>
  <r>
    <n v="2376"/>
    <s v="NL22RABO0381604934"/>
    <m/>
    <x v="4"/>
    <x v="61"/>
    <d v="2020-09-02T00:00:00"/>
    <d v="2020-09-02T00:00:00"/>
    <n v="-5"/>
    <n v="5"/>
    <m/>
    <s v="Kosten"/>
    <x v="5"/>
    <x v="13"/>
    <x v="74"/>
  </r>
  <r>
    <n v="2394"/>
    <s v="NL22RABO0381604934"/>
    <m/>
    <x v="4"/>
    <x v="61"/>
    <d v="2020-09-13T00:00:00"/>
    <d v="2020-09-13T00:00:00"/>
    <n v="-12"/>
    <n v="12"/>
    <s v="NL51DEUT0265262461"/>
    <s v="petje.af/kukuru via Mollie"/>
    <x v="5"/>
    <x v="13"/>
    <x v="15"/>
  </r>
  <r>
    <n v="2403"/>
    <s v="NL22RABO0381604934"/>
    <m/>
    <x v="4"/>
    <x v="61"/>
    <d v="2020-09-17T00:00:00"/>
    <d v="2020-09-17T00:00:00"/>
    <n v="-6"/>
    <n v="6"/>
    <s v="NL28DEUT0265186439"/>
    <s v="STICHTING DERDENGELDEN BUCKAROO"/>
    <x v="5"/>
    <x v="13"/>
    <x v="87"/>
  </r>
  <r>
    <n v="2408"/>
    <s v="NL22RABO0381604934"/>
    <m/>
    <x v="4"/>
    <x v="61"/>
    <d v="2020-09-22T00:00:00"/>
    <d v="2020-09-22T00:00:00"/>
    <n v="-9.99"/>
    <n v="9.99"/>
    <s v="DE89700111104107387027"/>
    <s v="Blendle B.V."/>
    <x v="5"/>
    <x v="13"/>
    <x v="72"/>
  </r>
  <r>
    <n v="2409"/>
    <s v="NL22RABO0381604934"/>
    <m/>
    <x v="4"/>
    <x v="61"/>
    <d v="2020-09-22T00:00:00"/>
    <d v="2020-09-22T00:00:00"/>
    <n v="-10"/>
    <n v="10"/>
    <s v="NL46RABO0306722054"/>
    <s v="Vesta Payment Solutions"/>
    <x v="5"/>
    <x v="13"/>
    <x v="70"/>
  </r>
  <r>
    <n v="2416"/>
    <s v="NL22RABO0381604934"/>
    <m/>
    <x v="4"/>
    <x v="61"/>
    <d v="2020-09-25T00:00:00"/>
    <d v="2020-09-25T00:00:00"/>
    <n v="-20"/>
    <n v="20"/>
    <s v="NL40TRIO0198396716"/>
    <s v="N.V.V."/>
    <x v="5"/>
    <x v="13"/>
    <x v="89"/>
  </r>
  <r>
    <n v="2424"/>
    <s v="NL22RABO0381604934"/>
    <m/>
    <x v="4"/>
    <x v="57"/>
    <d v="2020-10-01T00:00:00"/>
    <d v="2020-10-01T00:00:00"/>
    <n v="-118"/>
    <n v="118"/>
    <s v="NL11RABO0343685310"/>
    <s v="D.S.W. Zorgverzekeraar"/>
    <x v="5"/>
    <x v="13"/>
    <x v="81"/>
  </r>
  <r>
    <n v="2426"/>
    <s v="NL22RABO0381604934"/>
    <m/>
    <x v="4"/>
    <x v="57"/>
    <d v="2020-10-01T00:00:00"/>
    <d v="2020-10-01T00:00:00"/>
    <n v="-3.42"/>
    <n v="3.42"/>
    <s v="NL98INGB0002712510"/>
    <s v="OHRA Schadeverzekeringen"/>
    <x v="5"/>
    <x v="13"/>
    <x v="80"/>
  </r>
  <r>
    <n v="2430"/>
    <s v="NL22RABO0381604934"/>
    <m/>
    <x v="4"/>
    <x v="57"/>
    <d v="2020-10-02T00:00:00"/>
    <d v="2020-10-02T00:00:00"/>
    <n v="-0.7"/>
    <n v="0.7"/>
    <m/>
    <s v="Kosten"/>
    <x v="5"/>
    <x v="13"/>
    <x v="74"/>
  </r>
  <r>
    <n v="2431"/>
    <s v="NL22RABO0381604934"/>
    <m/>
    <x v="4"/>
    <x v="57"/>
    <d v="2020-10-02T00:00:00"/>
    <d v="2020-10-02T00:00:00"/>
    <n v="-5"/>
    <n v="5"/>
    <m/>
    <s v="Kosten"/>
    <x v="5"/>
    <x v="13"/>
    <x v="74"/>
  </r>
  <r>
    <n v="2433"/>
    <s v="NL22RABO0381604934"/>
    <m/>
    <x v="4"/>
    <x v="57"/>
    <d v="2020-10-07T00:00:00"/>
    <d v="2020-10-07T00:00:00"/>
    <n v="-101.64"/>
    <n v="101.64"/>
    <s v="NL05ABNA0408361255"/>
    <s v="VEVIDA BV"/>
    <x v="5"/>
    <x v="13"/>
    <x v="79"/>
  </r>
  <r>
    <n v="2464"/>
    <s v="NL22RABO0381604934"/>
    <m/>
    <x v="4"/>
    <x v="57"/>
    <d v="2020-10-20T00:00:00"/>
    <d v="2020-10-20T00:00:00"/>
    <n v="521"/>
    <n v="521"/>
    <s v="NL86INGB0002445588"/>
    <s v="BELASTINGDIENST"/>
    <x v="5"/>
    <x v="13"/>
    <x v="82"/>
  </r>
  <r>
    <n v="2465"/>
    <s v="NL22RABO0381604934"/>
    <m/>
    <x v="4"/>
    <x v="57"/>
    <d v="2020-10-20T00:00:00"/>
    <d v="2020-10-20T00:00:00"/>
    <n v="-6"/>
    <n v="6"/>
    <s v="NL28DEUT0265186439"/>
    <s v="STICHTING DERDENGELDEN BUCKAROO"/>
    <x v="5"/>
    <x v="13"/>
    <x v="87"/>
  </r>
  <r>
    <n v="2469"/>
    <s v="NL22RABO0381604934"/>
    <m/>
    <x v="4"/>
    <x v="57"/>
    <d v="2020-10-21T00:00:00"/>
    <d v="2020-10-21T00:00:00"/>
    <n v="-9.99"/>
    <n v="9.99"/>
    <s v="DE89700111104107387027"/>
    <s v="Blendle B.V."/>
    <x v="5"/>
    <x v="13"/>
    <x v="72"/>
  </r>
  <r>
    <n v="2472"/>
    <s v="NL22RABO0381604934"/>
    <m/>
    <x v="4"/>
    <x v="57"/>
    <d v="2020-10-22T00:00:00"/>
    <d v="2020-10-22T00:00:00"/>
    <n v="-10"/>
    <n v="10"/>
    <m/>
    <s v="PYV*Vodafone Winkel548 ARNHEM"/>
    <x v="5"/>
    <x v="13"/>
    <x v="70"/>
  </r>
  <r>
    <n v="2486"/>
    <s v="NL22RABO0381604934"/>
    <m/>
    <x v="4"/>
    <x v="59"/>
    <d v="2020-11-02T00:00:00"/>
    <d v="2020-11-02T00:00:00"/>
    <n v="-118"/>
    <n v="118"/>
    <s v="NL11RABO0343685310"/>
    <s v="D.S.W. Zorgverzekeraar"/>
    <x v="5"/>
    <x v="13"/>
    <x v="81"/>
  </r>
  <r>
    <n v="2487"/>
    <s v="NL22RABO0381604934"/>
    <m/>
    <x v="4"/>
    <x v="59"/>
    <d v="2020-11-02T00:00:00"/>
    <d v="2020-11-02T00:00:00"/>
    <n v="-3.42"/>
    <n v="3.42"/>
    <s v="NL98INGB0002712510"/>
    <s v="OHRA Schadeverzekeringen"/>
    <x v="5"/>
    <x v="13"/>
    <x v="80"/>
  </r>
  <r>
    <n v="2488"/>
    <s v="NL22RABO0381604934"/>
    <m/>
    <x v="4"/>
    <x v="59"/>
    <d v="2020-11-03T00:00:00"/>
    <d v="2020-11-03T00:00:00"/>
    <n v="-0.7"/>
    <n v="0.7"/>
    <m/>
    <s v="Kosten"/>
    <x v="5"/>
    <x v="13"/>
    <x v="74"/>
  </r>
  <r>
    <n v="2489"/>
    <s v="NL22RABO0381604934"/>
    <m/>
    <x v="4"/>
    <x v="59"/>
    <d v="2020-11-03T00:00:00"/>
    <d v="2020-11-03T00:00:00"/>
    <n v="-5"/>
    <n v="5"/>
    <m/>
    <s v="Kosten"/>
    <x v="5"/>
    <x v="13"/>
    <x v="74"/>
  </r>
  <r>
    <n v="2494"/>
    <s v="NL22RABO0381604934"/>
    <m/>
    <x v="4"/>
    <x v="59"/>
    <d v="2020-11-05T00:00:00"/>
    <d v="2020-11-05T00:00:00"/>
    <n v="-104.3"/>
    <n v="104.3"/>
    <s v="NL02RABO0129284432"/>
    <s v="Your Hosting B.V."/>
    <x v="5"/>
    <x v="13"/>
    <x v="79"/>
  </r>
  <r>
    <n v="2517"/>
    <s v="NL22RABO0381604934"/>
    <m/>
    <x v="4"/>
    <x v="59"/>
    <d v="2020-11-18T00:00:00"/>
    <d v="2020-11-18T00:00:00"/>
    <n v="-6"/>
    <n v="6"/>
    <s v="NL28DEUT0265186439"/>
    <s v="STICHTING DERDENGELDEN BUCKAROO"/>
    <x v="5"/>
    <x v="13"/>
    <x v="87"/>
  </r>
  <r>
    <n v="2521"/>
    <s v="NL22RABO0381604934"/>
    <m/>
    <x v="4"/>
    <x v="59"/>
    <d v="2020-11-19T00:00:00"/>
    <d v="2020-11-19T00:00:00"/>
    <n v="-10"/>
    <n v="10"/>
    <s v="NL46RABO0306722054"/>
    <s v="Vesta Payment Solutions"/>
    <x v="5"/>
    <x v="13"/>
    <x v="70"/>
  </r>
  <r>
    <n v="2522"/>
    <s v="NL22RABO0381604934"/>
    <m/>
    <x v="4"/>
    <x v="59"/>
    <d v="2020-11-20T00:00:00"/>
    <d v="2020-11-20T00:00:00"/>
    <n v="-9.99"/>
    <n v="9.99"/>
    <s v="DE89700111104107387027"/>
    <s v="Blendle B.V."/>
    <x v="5"/>
    <x v="13"/>
    <x v="72"/>
  </r>
  <r>
    <n v="2523"/>
    <s v="NL22RABO0381604934"/>
    <m/>
    <x v="4"/>
    <x v="59"/>
    <d v="2020-11-20T00:00:00"/>
    <d v="2020-11-20T00:00:00"/>
    <n v="104"/>
    <n v="104"/>
    <s v="NL86INGB0002445588"/>
    <s v="BELASTINGDIENST"/>
    <x v="5"/>
    <x v="13"/>
    <x v="82"/>
  </r>
  <r>
    <n v="2528"/>
    <s v="NL22RABO0381604934"/>
    <m/>
    <x v="4"/>
    <x v="59"/>
    <d v="2020-11-23T00:00:00"/>
    <d v="2020-11-23T00:00:00"/>
    <n v="-20"/>
    <n v="20"/>
    <s v="NL94TRIO0212486934"/>
    <s v="Partij voor de Dieren"/>
    <x v="5"/>
    <x v="13"/>
    <x v="90"/>
  </r>
  <r>
    <n v="2536"/>
    <s v="NL22RABO0381604934"/>
    <m/>
    <x v="4"/>
    <x v="58"/>
    <d v="2020-12-02T00:00:00"/>
    <d v="2020-12-02T00:00:00"/>
    <n v="-118"/>
    <n v="118"/>
    <s v="NL11RABO0343685310"/>
    <s v="D.S.W. Zorgverzekeraar"/>
    <x v="5"/>
    <x v="13"/>
    <x v="81"/>
  </r>
  <r>
    <n v="2536"/>
    <s v="NL22RABO0381604934"/>
    <m/>
    <x v="4"/>
    <x v="58"/>
    <d v="2020-12-31T00:00:00"/>
    <m/>
    <n v="-24"/>
    <n v="24"/>
    <m/>
    <s v="correctie zorgverzekering"/>
    <x v="5"/>
    <x v="13"/>
    <x v="81"/>
  </r>
  <r>
    <n v="2537"/>
    <s v="NL22RABO0381604934"/>
    <m/>
    <x v="4"/>
    <x v="58"/>
    <d v="2020-12-02T00:00:00"/>
    <d v="2020-12-02T00:00:00"/>
    <n v="-0.7"/>
    <n v="0.7"/>
    <m/>
    <s v="Kosten"/>
    <x v="5"/>
    <x v="13"/>
    <x v="74"/>
  </r>
  <r>
    <n v="2538"/>
    <s v="NL22RABO0381604934"/>
    <m/>
    <x v="4"/>
    <x v="58"/>
    <d v="2020-12-02T00:00:00"/>
    <d v="2020-12-02T00:00:00"/>
    <n v="-5"/>
    <n v="5"/>
    <m/>
    <s v="Kosten"/>
    <x v="5"/>
    <x v="13"/>
    <x v="74"/>
  </r>
  <r>
    <n v="2539"/>
    <s v="NL22RABO0381604934"/>
    <m/>
    <x v="4"/>
    <x v="58"/>
    <d v="2020-12-02T00:00:00"/>
    <d v="2020-12-02T00:00:00"/>
    <n v="-3.42"/>
    <n v="3.42"/>
    <s v="NL98INGB0002712510"/>
    <s v="OHRA Schadeverzekeringen"/>
    <x v="5"/>
    <x v="13"/>
    <x v="80"/>
  </r>
  <r>
    <n v="2564"/>
    <s v="NL22RABO0381604934"/>
    <m/>
    <x v="4"/>
    <x v="58"/>
    <d v="2020-12-17T00:00:00"/>
    <d v="2020-12-17T00:00:00"/>
    <n v="-6"/>
    <n v="6"/>
    <s v="NL28DEUT0265186439"/>
    <s v="STICHTING DERDENGELDEN BUCKAROO"/>
    <x v="5"/>
    <x v="13"/>
    <x v="87"/>
  </r>
  <r>
    <n v="2569"/>
    <s v="NL22RABO0381604934"/>
    <m/>
    <x v="4"/>
    <x v="58"/>
    <d v="2020-12-21T00:00:00"/>
    <d v="2020-12-21T00:00:00"/>
    <n v="107"/>
    <n v="107"/>
    <s v="NL86INGB0002445588"/>
    <s v="BELASTINGDIENST"/>
    <x v="5"/>
    <x v="13"/>
    <x v="82"/>
  </r>
  <r>
    <n v="2570"/>
    <s v="NL22RABO0381604934"/>
    <m/>
    <x v="4"/>
    <x v="58"/>
    <d v="2020-12-22T00:00:00"/>
    <d v="2020-12-22T00:00:00"/>
    <n v="-7"/>
    <n v="7"/>
    <s v="DE89700111104107387027"/>
    <s v="Blendle B.V."/>
    <x v="5"/>
    <x v="13"/>
    <x v="72"/>
  </r>
  <r>
    <n v="2574"/>
    <s v="NL22RABO0381604934"/>
    <m/>
    <x v="4"/>
    <x v="58"/>
    <d v="2020-12-24T00:00:00"/>
    <d v="2020-12-24T00:00:00"/>
    <n v="-5"/>
    <n v="5"/>
    <s v="NL74INGB0004527327"/>
    <s v="STICHTING J O H O"/>
    <x v="5"/>
    <x v="13"/>
    <x v="15"/>
  </r>
  <r>
    <n v="2582"/>
    <s v="POSTEPAY"/>
    <m/>
    <x v="4"/>
    <x v="20"/>
    <d v="2020-01-02T00:00:00"/>
    <d v="2020-01-02T00:00:00"/>
    <n v="-2"/>
    <n v="2"/>
    <m/>
    <s v="LAPOSTE BOLLO"/>
    <x v="5"/>
    <x v="13"/>
    <x v="74"/>
  </r>
  <r>
    <n v="2583"/>
    <s v="POSTEPAY"/>
    <m/>
    <x v="4"/>
    <x v="22"/>
    <d v="2020-04-01T00:00:00"/>
    <d v="2020-04-01T00:00:00"/>
    <n v="-10"/>
    <n v="10"/>
    <m/>
    <s v="LAPOSTE"/>
    <x v="5"/>
    <x v="13"/>
    <x v="74"/>
  </r>
  <r>
    <n v="2610"/>
    <s v="RABO GOLD CARD"/>
    <m/>
    <x v="4"/>
    <x v="60"/>
    <d v="2020-08-04T00:00:00"/>
    <d v="2020-08-04T00:00:00"/>
    <n v="-4.99"/>
    <n v="4.99"/>
    <m/>
    <s v="Googe play"/>
    <x v="5"/>
    <x v="13"/>
    <x v="84"/>
  </r>
  <r>
    <n v="2611"/>
    <s v="RABO GOLD CARD"/>
    <m/>
    <x v="4"/>
    <x v="60"/>
    <d v="2020-08-04T00:00:00"/>
    <d v="2020-08-04T00:00:00"/>
    <n v="-4.99"/>
    <n v="4.99"/>
    <m/>
    <s v="GOOGLE *Google Play Ap g.co/helppay#GBR"/>
    <x v="5"/>
    <x v="13"/>
    <x v="84"/>
  </r>
  <r>
    <n v="2612"/>
    <s v="RABO GOLD CARD"/>
    <m/>
    <x v="4"/>
    <x v="60"/>
    <d v="2020-08-19T00:00:00"/>
    <d v="2020-08-19T00:00:00"/>
    <n v="-2.99"/>
    <n v="2.99"/>
    <m/>
    <s v="GOOGLE *Google Storage g.co/helppay#GBR"/>
    <x v="5"/>
    <x v="13"/>
    <x v="83"/>
  </r>
  <r>
    <n v="2613"/>
    <s v="RABO GOLD CARD"/>
    <m/>
    <x v="4"/>
    <x v="60"/>
    <d v="2020-08-23T00:00:00"/>
    <d v="2020-08-23T00:00:00"/>
    <n v="-7"/>
    <n v="7"/>
    <m/>
    <s v="PAYPAL *MICROSOFT MICR 35314369001 GBR"/>
    <x v="5"/>
    <x v="13"/>
    <x v="73"/>
  </r>
  <r>
    <n v="2614"/>
    <s v="RABO GOLD CARD"/>
    <m/>
    <x v="4"/>
    <x v="61"/>
    <d v="2020-09-03T00:00:00"/>
    <d v="2020-09-03T00:00:00"/>
    <n v="-4.99"/>
    <n v="4.99"/>
    <m/>
    <s v="GOOGLE*GOOGLE PLAY APP INTERNET GBR"/>
    <x v="5"/>
    <x v="13"/>
    <x v="84"/>
  </r>
  <r>
    <n v="2616"/>
    <s v="RABO GOLD CARD"/>
    <m/>
    <x v="4"/>
    <x v="61"/>
    <d v="2020-09-19T00:00:00"/>
    <d v="2020-09-19T00:00:00"/>
    <n v="-2.99"/>
    <n v="2.99"/>
    <m/>
    <s v="GOOGLE Google Storage London GBR"/>
    <x v="5"/>
    <x v="13"/>
    <x v="83"/>
  </r>
  <r>
    <n v="2617"/>
    <s v="RABO GOLD CARD"/>
    <m/>
    <x v="4"/>
    <x v="61"/>
    <d v="2020-09-23T00:00:00"/>
    <d v="2020-09-23T00:00:00"/>
    <n v="-7"/>
    <n v="7"/>
    <m/>
    <s v="PAYPAL *MICROSOFT MICR 35314369001 GBR"/>
    <x v="5"/>
    <x v="13"/>
    <x v="73"/>
  </r>
  <r>
    <n v="2618"/>
    <s v="RABO GOLD CARD"/>
    <m/>
    <x v="4"/>
    <x v="57"/>
    <d v="2020-10-04T00:00:00"/>
    <d v="2020-10-04T00:00:00"/>
    <n v="-4.99"/>
    <n v="4.99"/>
    <m/>
    <s v="GOOGLE Google Play Apps London GBR"/>
    <x v="5"/>
    <x v="13"/>
    <x v="84"/>
  </r>
  <r>
    <n v="2622"/>
    <s v="RABO GOLD CARD"/>
    <m/>
    <x v="4"/>
    <x v="57"/>
    <d v="2020-10-19T00:00:00"/>
    <d v="2020-10-19T00:00:00"/>
    <n v="-2.99"/>
    <n v="2.99"/>
    <m/>
    <s v="GOOGLE *Google Storage   g.co/helppay#GBR"/>
    <x v="5"/>
    <x v="13"/>
    <x v="83"/>
  </r>
  <r>
    <n v="2623"/>
    <s v="RABO GOLD CARD"/>
    <m/>
    <x v="4"/>
    <x v="57"/>
    <d v="2020-10-23T00:00:00"/>
    <d v="2020-10-23T00:00:00"/>
    <n v="-7"/>
    <n v="7"/>
    <m/>
    <s v="PAYPAL *MICROSOFT MICR   35314369001  GBR"/>
    <x v="5"/>
    <x v="13"/>
    <x v="73"/>
  </r>
  <r>
    <n v="2625"/>
    <s v="RABO GOLD CARD"/>
    <m/>
    <x v="4"/>
    <x v="59"/>
    <d v="2020-11-04T00:00:00"/>
    <d v="2020-11-04T00:00:00"/>
    <n v="-4.99"/>
    <n v="4.99"/>
    <m/>
    <s v="GOOGLE *Google Play Ap   g.co/helppay#GBR"/>
    <x v="5"/>
    <x v="13"/>
    <x v="84"/>
  </r>
  <r>
    <n v="2627"/>
    <s v="RABO GOLD CARD"/>
    <m/>
    <x v="4"/>
    <x v="59"/>
    <d v="2020-11-19T00:00:00"/>
    <d v="2020-11-19T00:00:00"/>
    <n v="-2.99"/>
    <n v="2.99"/>
    <m/>
    <s v="GOOGLE *Google Storage   g.co/helppay#GBR"/>
    <x v="5"/>
    <x v="13"/>
    <x v="83"/>
  </r>
  <r>
    <n v="2628"/>
    <s v="RABO GOLD CARD"/>
    <m/>
    <x v="4"/>
    <x v="59"/>
    <d v="2020-11-23T00:00:00"/>
    <d v="2020-11-23T00:00:00"/>
    <n v="-7"/>
    <n v="7"/>
    <m/>
    <s v="PAYPAL *MICROSOFT MICR   35314369001  GBR"/>
    <x v="5"/>
    <x v="13"/>
    <x v="73"/>
  </r>
  <r>
    <n v="2630"/>
    <s v="RABO GOLD CARD"/>
    <m/>
    <x v="4"/>
    <x v="58"/>
    <d v="2020-12-04T00:00:00"/>
    <d v="2020-12-04T00:00:00"/>
    <n v="-4.99"/>
    <n v="4.99"/>
    <m/>
    <s v="GOOGLE  Google Play Apps London       GBR"/>
    <x v="5"/>
    <x v="13"/>
    <x v="84"/>
  </r>
  <r>
    <n v="2631"/>
    <s v="RABO GOLD CARD"/>
    <m/>
    <x v="4"/>
    <x v="58"/>
    <d v="2020-12-07T00:00:00"/>
    <d v="2020-12-07T00:00:00"/>
    <n v="-14.05"/>
    <n v="14.05"/>
    <m/>
    <s v="PAYPAL *RCX.SMIT         35314369001  NLD"/>
    <x v="5"/>
    <x v="13"/>
    <x v="85"/>
  </r>
  <r>
    <n v="2632"/>
    <s v="RABO GOLD CARD"/>
    <m/>
    <x v="4"/>
    <x v="58"/>
    <d v="2020-12-13T00:00:00"/>
    <d v="2020-12-13T00:00:00"/>
    <n v="-6.04"/>
    <n v="6.04"/>
    <m/>
    <s v="PAYPAL *GOOGLE CHESS C   35314369001  GBR"/>
    <x v="5"/>
    <x v="13"/>
    <x v="86"/>
  </r>
  <r>
    <n v="2633"/>
    <s v="RABO GOLD CARD"/>
    <m/>
    <x v="4"/>
    <x v="58"/>
    <d v="2020-12-19T00:00:00"/>
    <d v="2020-12-19T00:00:00"/>
    <n v="-2.99"/>
    <n v="2.99"/>
    <m/>
    <s v="GOOGLE  Google Storage   London       GBR"/>
    <x v="5"/>
    <x v="13"/>
    <x v="83"/>
  </r>
  <r>
    <n v="2635"/>
    <s v="RABO GOLD CARD"/>
    <m/>
    <x v="4"/>
    <x v="58"/>
    <d v="2020-12-23T00:00:00"/>
    <d v="2020-12-23T00:00:00"/>
    <n v="-7"/>
    <n v="7"/>
    <m/>
    <s v="PAYPAL *MICROSOFT MICR   35314369001  GBR"/>
    <x v="5"/>
    <x v="13"/>
    <x v="73"/>
  </r>
  <r>
    <n v="2636"/>
    <s v="RABO GOLD CARD"/>
    <m/>
    <x v="4"/>
    <x v="58"/>
    <d v="2020-12-23T00:00:00"/>
    <d v="2020-12-23T00:00:00"/>
    <n v="-3.59"/>
    <n v="3.59"/>
    <m/>
    <s v="PAYPAL *CHESS COM        402-935-7733 USACA"/>
    <x v="5"/>
    <x v="13"/>
    <x v="86"/>
  </r>
  <r>
    <n v="2667"/>
    <s v="NL22RABO0381604934"/>
    <m/>
    <x v="5"/>
    <x v="65"/>
    <d v="2021-01-04T00:00:00"/>
    <d v="2021-01-04T00:00:00"/>
    <n v="-3.42"/>
    <n v="3.42"/>
    <s v="NL98INGB0002712510"/>
    <s v="OHRA Schadeverzekeringen"/>
    <x v="5"/>
    <x v="13"/>
    <x v="80"/>
  </r>
  <r>
    <n v="2668"/>
    <s v="NL22RABO0381604934"/>
    <m/>
    <x v="5"/>
    <x v="65"/>
    <d v="2021-01-05T00:00:00"/>
    <d v="2021-01-05T00:00:00"/>
    <n v="-0.7"/>
    <n v="0.7"/>
    <m/>
    <s v="Kosten"/>
    <x v="5"/>
    <x v="13"/>
    <x v="74"/>
  </r>
  <r>
    <n v="2669"/>
    <s v="NL22RABO0381604934"/>
    <m/>
    <x v="5"/>
    <x v="65"/>
    <d v="2021-01-05T00:00:00"/>
    <d v="2021-01-05T00:00:00"/>
    <n v="-5"/>
    <n v="5"/>
    <m/>
    <s v="Kosten"/>
    <x v="5"/>
    <x v="13"/>
    <x v="74"/>
  </r>
  <r>
    <n v="2670"/>
    <s v="NL22RABO0381604934"/>
    <m/>
    <x v="5"/>
    <x v="65"/>
    <d v="2021-01-08T00:00:00"/>
    <d v="2021-01-08T00:00:00"/>
    <n v="-124.5"/>
    <n v="124.5"/>
    <s v="NL11RABO0343685310"/>
    <s v="D.S.W. Zorgverzekeraar"/>
    <x v="5"/>
    <x v="13"/>
    <x v="81"/>
  </r>
  <r>
    <n v="2676"/>
    <s v="NL22RABO0381604934"/>
    <m/>
    <x v="5"/>
    <x v="65"/>
    <d v="2021-01-19T00:00:00"/>
    <d v="2021-01-19T00:00:00"/>
    <n v="-6"/>
    <n v="6"/>
    <s v="NL28DEUT0265186439"/>
    <s v="STICHTING DERDENGELDEN BUCKAROO"/>
    <x v="5"/>
    <x v="13"/>
    <x v="87"/>
  </r>
  <r>
    <n v="2678"/>
    <s v="NL22RABO0381604934"/>
    <m/>
    <x v="5"/>
    <x v="65"/>
    <d v="2021-01-20T00:00:00"/>
    <d v="2021-01-20T00:00:00"/>
    <n v="-7"/>
    <n v="7"/>
    <s v="DE66700111104101891130"/>
    <s v="Blendle B.V."/>
    <x v="5"/>
    <x v="13"/>
    <x v="72"/>
  </r>
  <r>
    <n v="2679"/>
    <s v="NL22RABO0381604934"/>
    <m/>
    <x v="5"/>
    <x v="65"/>
    <d v="2021-01-20T00:00:00"/>
    <d v="2021-01-20T00:00:00"/>
    <n v="107"/>
    <n v="107"/>
    <s v="NL86INGB0002445588"/>
    <s v="BELASTINGDIENST"/>
    <x v="5"/>
    <x v="13"/>
    <x v="82"/>
  </r>
  <r>
    <n v="2681"/>
    <s v="NL22RABO0381604934"/>
    <m/>
    <x v="5"/>
    <x v="65"/>
    <d v="2021-01-24T00:00:00"/>
    <d v="2021-01-24T00:00:00"/>
    <n v="-5"/>
    <n v="5"/>
    <s v="NL46RABO0306722054"/>
    <s v="Vesta Payment Solutions"/>
    <x v="5"/>
    <x v="13"/>
    <x v="70"/>
  </r>
  <r>
    <n v="2682"/>
    <s v="NL22RABO0381604934"/>
    <m/>
    <x v="5"/>
    <x v="65"/>
    <d v="2021-01-25T00:00:00"/>
    <d v="2021-01-25T00:00:00"/>
    <n v="-14.91"/>
    <n v="14.91"/>
    <s v="NL02RABO0129284432"/>
    <s v="Your Hosting B.V."/>
    <x v="5"/>
    <x v="13"/>
    <x v="79"/>
  </r>
  <r>
    <n v="2683"/>
    <s v="NL22RABO0381604934"/>
    <m/>
    <x v="5"/>
    <x v="65"/>
    <d v="2021-01-25T00:00:00"/>
    <d v="2021-01-25T00:00:00"/>
    <n v="-59.73"/>
    <n v="59.73"/>
    <s v="NL40ABNA0537879099"/>
    <s v="NS GROEP IZ NS REIZIGERS"/>
    <x v="5"/>
    <x v="13"/>
    <x v="77"/>
  </r>
  <r>
    <n v="2685"/>
    <s v="NL22RABO0381604934"/>
    <m/>
    <x v="5"/>
    <x v="62"/>
    <d v="2021-02-01T00:00:00"/>
    <d v="2021-02-01T00:00:00"/>
    <n v="-124.5"/>
    <n v="124.5"/>
    <s v="NL11RABO0343685310"/>
    <s v="D.S.W. Zorgverzekeraar"/>
    <x v="5"/>
    <x v="13"/>
    <x v="81"/>
  </r>
  <r>
    <n v="2686"/>
    <s v="NL22RABO0381604934"/>
    <m/>
    <x v="5"/>
    <x v="62"/>
    <d v="2021-02-01T00:00:00"/>
    <d v="2021-02-01T00:00:00"/>
    <n v="-3.42"/>
    <n v="3.42"/>
    <s v="NL98INGB0002712510"/>
    <s v="OHRA Schadeverzekeringen"/>
    <x v="5"/>
    <x v="13"/>
    <x v="80"/>
  </r>
  <r>
    <n v="2687"/>
    <s v="NL22RABO0381604934"/>
    <m/>
    <x v="5"/>
    <x v="62"/>
    <d v="2021-02-03T00:00:00"/>
    <d v="2021-02-03T00:00:00"/>
    <n v="-0.05"/>
    <n v="0.05"/>
    <m/>
    <s v="Debetrente"/>
    <x v="5"/>
    <x v="13"/>
    <x v="74"/>
  </r>
  <r>
    <n v="2688"/>
    <s v="NL22RABO0381604934"/>
    <m/>
    <x v="5"/>
    <x v="62"/>
    <d v="2021-02-03T00:00:00"/>
    <d v="2021-02-03T00:00:00"/>
    <n v="-0.7"/>
    <n v="0.7"/>
    <m/>
    <s v="Kosten"/>
    <x v="5"/>
    <x v="13"/>
    <x v="74"/>
  </r>
  <r>
    <n v="2689"/>
    <s v="NL22RABO0381604934"/>
    <m/>
    <x v="5"/>
    <x v="62"/>
    <d v="2021-02-03T00:00:00"/>
    <d v="2021-02-03T00:00:00"/>
    <n v="-5"/>
    <n v="5"/>
    <m/>
    <s v="Kosten"/>
    <x v="5"/>
    <x v="13"/>
    <x v="74"/>
  </r>
  <r>
    <n v="2695"/>
    <s v="NL22RABO0381604934"/>
    <m/>
    <x v="5"/>
    <x v="62"/>
    <d v="2021-02-17T00:00:00"/>
    <d v="2021-02-17T00:00:00"/>
    <n v="-6"/>
    <n v="6"/>
    <s v="NL28DEUT0265186439"/>
    <s v="STICHTING DERDENGELDEN BUCKAROO"/>
    <x v="5"/>
    <x v="13"/>
    <x v="87"/>
  </r>
  <r>
    <n v="2700"/>
    <s v="NL22RABO0381604934"/>
    <m/>
    <x v="5"/>
    <x v="62"/>
    <d v="2021-02-22T00:00:00"/>
    <d v="2021-02-22T00:00:00"/>
    <n v="-7"/>
    <n v="7"/>
    <s v="DE66700111104101891130"/>
    <s v="Blendle B.V."/>
    <x v="5"/>
    <x v="13"/>
    <x v="72"/>
  </r>
  <r>
    <n v="2701"/>
    <s v="NL22RABO0381604934"/>
    <m/>
    <x v="5"/>
    <x v="62"/>
    <d v="2021-02-22T00:00:00"/>
    <d v="2021-02-22T00:00:00"/>
    <n v="107"/>
    <n v="107"/>
    <s v="NL86INGB0002445588"/>
    <s v="BELASTINGDIENST"/>
    <x v="5"/>
    <x v="13"/>
    <x v="82"/>
  </r>
  <r>
    <n v="2702"/>
    <s v="NL22RABO0381604934"/>
    <m/>
    <x v="5"/>
    <x v="62"/>
    <d v="2021-02-23T00:00:00"/>
    <d v="2021-02-23T00:00:00"/>
    <n v="-10"/>
    <n v="10"/>
    <m/>
    <s v="113  DIO-Readshop MUSSELKANAAL"/>
    <x v="5"/>
    <x v="13"/>
    <x v="70"/>
  </r>
  <r>
    <n v="2708"/>
    <s v="NL22RABO0381604934"/>
    <m/>
    <x v="5"/>
    <x v="63"/>
    <d v="2021-03-01T00:00:00"/>
    <d v="2021-03-01T00:00:00"/>
    <n v="-124.5"/>
    <n v="124.5"/>
    <s v="NL11RABO0343685310"/>
    <s v="D.S.W. Zorgverzekeraar"/>
    <x v="5"/>
    <x v="13"/>
    <x v="81"/>
  </r>
  <r>
    <n v="2709"/>
    <s v="NL22RABO0381604934"/>
    <m/>
    <x v="5"/>
    <x v="63"/>
    <d v="2021-03-01T00:00:00"/>
    <d v="2021-03-01T00:00:00"/>
    <n v="-3.42"/>
    <n v="3.42"/>
    <s v="NL98INGB0002712510"/>
    <s v="OHRA Schadeverzekeringen"/>
    <x v="5"/>
    <x v="13"/>
    <x v="80"/>
  </r>
  <r>
    <n v="2711"/>
    <s v="NL22RABO0381604934"/>
    <m/>
    <x v="5"/>
    <x v="63"/>
    <d v="2021-03-02T00:00:00"/>
    <d v="2021-03-02T00:00:00"/>
    <n v="-0.7"/>
    <n v="0.7"/>
    <m/>
    <s v="Kosten"/>
    <x v="5"/>
    <x v="13"/>
    <x v="74"/>
  </r>
  <r>
    <n v="2712"/>
    <s v="NL22RABO0381604934"/>
    <m/>
    <x v="5"/>
    <x v="63"/>
    <d v="2021-03-02T00:00:00"/>
    <d v="2021-03-02T00:00:00"/>
    <n v="-5"/>
    <n v="5"/>
    <m/>
    <s v="Kosten"/>
    <x v="5"/>
    <x v="13"/>
    <x v="74"/>
  </r>
  <r>
    <n v="2719"/>
    <s v="NL22RABO0381604934"/>
    <m/>
    <x v="5"/>
    <x v="63"/>
    <d v="2021-03-19T00:00:00"/>
    <d v="2021-03-19T00:00:00"/>
    <n v="-6"/>
    <n v="6"/>
    <s v="NL28DEUT0265186439"/>
    <s v="STICHTING DERDENGELDEN BUCKAROO"/>
    <x v="5"/>
    <x v="13"/>
    <x v="87"/>
  </r>
  <r>
    <n v="2722"/>
    <s v="NL22RABO0381604934"/>
    <m/>
    <x v="5"/>
    <x v="63"/>
    <d v="2021-03-22T00:00:00"/>
    <d v="2021-03-22T00:00:00"/>
    <n v="-7"/>
    <n v="7"/>
    <s v="DE66700111104101891130"/>
    <s v="Blendle B.V."/>
    <x v="5"/>
    <x v="13"/>
    <x v="72"/>
  </r>
  <r>
    <n v="2723"/>
    <s v="NL22RABO0381604934"/>
    <m/>
    <x v="5"/>
    <x v="63"/>
    <d v="2021-03-22T00:00:00"/>
    <d v="2021-03-22T00:00:00"/>
    <n v="107"/>
    <n v="107"/>
    <s v="NL86INGB0002445588"/>
    <s v="BELASTINGDIENST"/>
    <x v="5"/>
    <x v="13"/>
    <x v="82"/>
  </r>
  <r>
    <n v="2728"/>
    <s v="NL22RABO0381604934"/>
    <m/>
    <x v="5"/>
    <x v="66"/>
    <d v="2021-04-01T00:00:00"/>
    <d v="2021-04-01T00:00:00"/>
    <n v="-124.5"/>
    <n v="124.5"/>
    <s v="NL11RABO0343685310"/>
    <s v="D.S.W. Zorgverzekeraar"/>
    <x v="5"/>
    <x v="13"/>
    <x v="81"/>
  </r>
  <r>
    <n v="2729"/>
    <s v="NL22RABO0381604934"/>
    <m/>
    <x v="5"/>
    <x v="66"/>
    <d v="2021-04-01T00:00:00"/>
    <d v="2021-04-01T00:00:00"/>
    <n v="-3.42"/>
    <n v="3.42"/>
    <s v="NL98INGB0002712510"/>
    <s v="OHRA Schadeverzekeringen"/>
    <x v="5"/>
    <x v="13"/>
    <x v="80"/>
  </r>
  <r>
    <n v="2730"/>
    <s v="NL22RABO0381604934"/>
    <m/>
    <x v="5"/>
    <x v="66"/>
    <d v="2021-04-02T00:00:00"/>
    <d v="2021-04-02T00:00:00"/>
    <n v="-0.7"/>
    <n v="0.7"/>
    <m/>
    <s v="Kosten"/>
    <x v="5"/>
    <x v="13"/>
    <x v="74"/>
  </r>
  <r>
    <n v="2731"/>
    <s v="NL22RABO0381604934"/>
    <m/>
    <x v="5"/>
    <x v="66"/>
    <d v="2021-04-02T00:00:00"/>
    <d v="2021-04-02T00:00:00"/>
    <n v="-5.3"/>
    <n v="5.3"/>
    <m/>
    <s v="Kosten"/>
    <x v="5"/>
    <x v="13"/>
    <x v="74"/>
  </r>
  <r>
    <n v="2744"/>
    <s v="NL22RABO0381604934"/>
    <m/>
    <x v="5"/>
    <x v="66"/>
    <d v="2021-04-20T00:00:00"/>
    <d v="2021-04-20T00:00:00"/>
    <n v="-6"/>
    <n v="6"/>
    <s v="NL28DEUT0265186439"/>
    <s v="STICHTING DERDENGELDEN BUCKAROO"/>
    <x v="5"/>
    <x v="13"/>
    <x v="87"/>
  </r>
  <r>
    <n v="2745"/>
    <s v="NL22RABO0381604934"/>
    <m/>
    <x v="5"/>
    <x v="66"/>
    <d v="2021-04-20T00:00:00"/>
    <d v="2021-04-20T00:00:00"/>
    <n v="107"/>
    <n v="107"/>
    <s v="NL86INGB0002445588"/>
    <s v="BELASTINGDIENST"/>
    <x v="5"/>
    <x v="13"/>
    <x v="82"/>
  </r>
  <r>
    <n v="2747"/>
    <s v="NL22RABO0381604934"/>
    <m/>
    <x v="5"/>
    <x v="66"/>
    <d v="2021-04-21T00:00:00"/>
    <d v="2021-04-21T00:00:00"/>
    <n v="-7"/>
    <n v="7"/>
    <s v="DE66700111104101891130"/>
    <s v="Blendle B.V."/>
    <x v="5"/>
    <x v="13"/>
    <x v="72"/>
  </r>
  <r>
    <n v="2757"/>
    <s v="NL22RABO0381604934"/>
    <m/>
    <x v="5"/>
    <x v="66"/>
    <d v="2021-04-25T00:00:00"/>
    <d v="2021-04-25T00:00:00"/>
    <n v="-35"/>
    <n v="35"/>
    <s v="NL24ABNA0462594874"/>
    <s v="Budget Mobiel"/>
    <x v="5"/>
    <x v="13"/>
    <x v="70"/>
  </r>
  <r>
    <n v="2768"/>
    <s v="NL22RABO0381604934"/>
    <m/>
    <x v="5"/>
    <x v="67"/>
    <d v="2021-05-03T00:00:00"/>
    <d v="2021-05-03T00:00:00"/>
    <n v="-3.42"/>
    <n v="3.42"/>
    <s v="NL98INGB0002712510"/>
    <s v="OHRA Schadeverzekeringen"/>
    <x v="5"/>
    <x v="13"/>
    <x v="80"/>
  </r>
  <r>
    <n v="2770"/>
    <s v="NL22RABO0381604934"/>
    <m/>
    <x v="5"/>
    <x v="67"/>
    <d v="2021-05-04T00:00:00"/>
    <d v="2021-05-04T00:00:00"/>
    <n v="-124.5"/>
    <n v="124.5"/>
    <s v="NL11RABO0343685310"/>
    <s v="D.S.W. Zorgverzekeraar"/>
    <x v="5"/>
    <x v="13"/>
    <x v="81"/>
  </r>
  <r>
    <n v="2771"/>
    <s v="NL22RABO0381604934"/>
    <m/>
    <x v="5"/>
    <x v="67"/>
    <d v="2021-05-04T00:00:00"/>
    <d v="2021-05-04T00:00:00"/>
    <n v="-0.08"/>
    <n v="0.08"/>
    <m/>
    <s v="Debetrente"/>
    <x v="5"/>
    <x v="13"/>
    <x v="74"/>
  </r>
  <r>
    <n v="2772"/>
    <s v="NL22RABO0381604934"/>
    <m/>
    <x v="5"/>
    <x v="67"/>
    <d v="2021-05-04T00:00:00"/>
    <d v="2021-05-04T00:00:00"/>
    <n v="-0.7"/>
    <n v="0.7"/>
    <m/>
    <s v="Kosten"/>
    <x v="5"/>
    <x v="13"/>
    <x v="74"/>
  </r>
  <r>
    <n v="2773"/>
    <s v="NL22RABO0381604934"/>
    <m/>
    <x v="5"/>
    <x v="67"/>
    <d v="2021-05-04T00:00:00"/>
    <d v="2021-05-04T00:00:00"/>
    <n v="-5.3"/>
    <n v="5.3"/>
    <m/>
    <s v="Kosten"/>
    <x v="5"/>
    <x v="13"/>
    <x v="74"/>
  </r>
  <r>
    <n v="2779"/>
    <s v="NL22RABO0381604934"/>
    <m/>
    <x v="5"/>
    <x v="67"/>
    <d v="2021-05-14T00:00:00"/>
    <d v="2021-05-14T00:00:00"/>
    <n v="-166.82"/>
    <n v="166.82"/>
    <s v="NL02RABO0129284432"/>
    <s v="Your Hosting B.V."/>
    <x v="5"/>
    <x v="13"/>
    <x v="79"/>
  </r>
  <r>
    <n v="2784"/>
    <s v="NL22RABO0381604934"/>
    <m/>
    <x v="5"/>
    <x v="67"/>
    <d v="2021-05-17T00:00:00"/>
    <d v="2021-05-17T00:00:00"/>
    <n v="166.82"/>
    <n v="166.82"/>
    <s v="NL02RABO0129284432"/>
    <s v="Your Hosting B.V."/>
    <x v="5"/>
    <x v="13"/>
    <x v="79"/>
  </r>
  <r>
    <n v="2788"/>
    <s v="NL22RABO0381604934"/>
    <m/>
    <x v="5"/>
    <x v="67"/>
    <d v="2021-05-19T00:00:00"/>
    <d v="2021-05-19T00:00:00"/>
    <n v="-6"/>
    <n v="6"/>
    <s v="NL28DEUT0265186439"/>
    <s v="STICHTING DERDENGELDEN BUCKAROO"/>
    <x v="5"/>
    <x v="13"/>
    <x v="87"/>
  </r>
  <r>
    <n v="2789"/>
    <s v="NL22RABO0381604934"/>
    <m/>
    <x v="5"/>
    <x v="67"/>
    <d v="2021-05-20T00:00:00"/>
    <d v="2021-05-20T00:00:00"/>
    <n v="-20"/>
    <n v="20"/>
    <s v="NL62ABNA0462625036"/>
    <s v="BUDGET MOBIEL"/>
    <x v="5"/>
    <x v="13"/>
    <x v="70"/>
  </r>
  <r>
    <n v="2790"/>
    <s v="NL22RABO0381604934"/>
    <m/>
    <x v="5"/>
    <x v="67"/>
    <d v="2021-05-20T00:00:00"/>
    <d v="2021-05-20T00:00:00"/>
    <n v="-7"/>
    <n v="7"/>
    <s v="DE66700111104101891130"/>
    <s v="Blendle B.V."/>
    <x v="5"/>
    <x v="13"/>
    <x v="72"/>
  </r>
  <r>
    <n v="2791"/>
    <s v="NL22RABO0381604934"/>
    <m/>
    <x v="5"/>
    <x v="67"/>
    <d v="2021-05-20T00:00:00"/>
    <d v="2021-05-20T00:00:00"/>
    <n v="107"/>
    <n v="107"/>
    <s v="NL86INGB0002445588"/>
    <s v="BELASTINGDIENST"/>
    <x v="5"/>
    <x v="13"/>
    <x v="82"/>
  </r>
  <r>
    <n v="2796"/>
    <s v="NL22RABO0381604934"/>
    <m/>
    <x v="5"/>
    <x v="67"/>
    <d v="2021-05-21T00:00:00"/>
    <d v="2021-05-21T00:00:00"/>
    <n v="-18.940000000000001"/>
    <n v="18.940000000000001"/>
    <s v="NL02RABO0129284432"/>
    <s v="Yourhosting"/>
    <x v="5"/>
    <x v="13"/>
    <x v="79"/>
  </r>
  <r>
    <n v="2817"/>
    <s v="NL22RABO0381604934"/>
    <m/>
    <x v="5"/>
    <x v="68"/>
    <d v="2021-06-01T00:00:00"/>
    <d v="2021-06-01T00:00:00"/>
    <n v="-124.5"/>
    <n v="124.5"/>
    <s v="NL11RABO0343685310"/>
    <s v="D.S.W. Zorgverzekeraar"/>
    <x v="5"/>
    <x v="13"/>
    <x v="81"/>
  </r>
  <r>
    <n v="2818"/>
    <s v="NL22RABO0381604934"/>
    <m/>
    <x v="5"/>
    <x v="68"/>
    <d v="2021-06-01T00:00:00"/>
    <d v="2021-06-01T00:00:00"/>
    <n v="-3.4"/>
    <n v="3.4"/>
    <s v="NL98INGB0002712510"/>
    <s v="OHRA Schadeverzekeringen"/>
    <x v="5"/>
    <x v="13"/>
    <x v="80"/>
  </r>
  <r>
    <n v="2819"/>
    <s v="NL22RABO0381604934"/>
    <m/>
    <x v="5"/>
    <x v="68"/>
    <d v="2021-06-02T00:00:00"/>
    <d v="2021-06-02T00:00:00"/>
    <n v="-0.7"/>
    <n v="0.7"/>
    <m/>
    <s v="Kosten"/>
    <x v="5"/>
    <x v="13"/>
    <x v="74"/>
  </r>
  <r>
    <n v="2820"/>
    <s v="NL22RABO0381604934"/>
    <m/>
    <x v="5"/>
    <x v="68"/>
    <d v="2021-06-02T00:00:00"/>
    <d v="2021-06-02T00:00:00"/>
    <n v="-5.3"/>
    <n v="5.3"/>
    <m/>
    <s v="Kosten"/>
    <x v="5"/>
    <x v="13"/>
    <x v="74"/>
  </r>
  <r>
    <n v="2852"/>
    <s v="NL22RABO0381604934"/>
    <m/>
    <x v="5"/>
    <x v="68"/>
    <d v="2021-06-18T00:00:00"/>
    <d v="2021-06-18T00:00:00"/>
    <n v="-6"/>
    <n v="6"/>
    <s v="NL28DEUT0265186439"/>
    <s v="STICHTING DERDENGELDEN BUCKAROO"/>
    <x v="5"/>
    <x v="13"/>
    <x v="87"/>
  </r>
  <r>
    <n v="2856"/>
    <s v="NL22RABO0381604934"/>
    <m/>
    <x v="5"/>
    <x v="68"/>
    <d v="2021-06-21T00:00:00"/>
    <d v="2021-06-21T00:00:00"/>
    <n v="-20"/>
    <n v="20"/>
    <s v="NL62ABNA0462625036"/>
    <s v="BUDGET MOBIEL"/>
    <x v="5"/>
    <x v="13"/>
    <x v="70"/>
  </r>
  <r>
    <n v="2857"/>
    <s v="NL22RABO0381604934"/>
    <m/>
    <x v="5"/>
    <x v="68"/>
    <d v="2021-06-21T00:00:00"/>
    <d v="2021-06-21T00:00:00"/>
    <n v="107"/>
    <n v="107"/>
    <s v="NL86INGB0002445588"/>
    <s v="BELASTINGDIENST"/>
    <x v="5"/>
    <x v="13"/>
    <x v="82"/>
  </r>
  <r>
    <n v="2858"/>
    <s v="NL22RABO0381604934"/>
    <m/>
    <x v="5"/>
    <x v="68"/>
    <d v="2021-06-22T00:00:00"/>
    <d v="2021-06-22T00:00:00"/>
    <n v="-7"/>
    <n v="7"/>
    <s v="DE66700111104101891130"/>
    <s v="Blendle B.V."/>
    <x v="5"/>
    <x v="13"/>
    <x v="72"/>
  </r>
  <r>
    <n v="2872"/>
    <s v="NL22RABO0381604934"/>
    <m/>
    <x v="5"/>
    <x v="69"/>
    <d v="2021-07-01T00:00:00"/>
    <d v="2021-07-01T00:00:00"/>
    <n v="-124.5"/>
    <n v="124.5"/>
    <s v="NL11RABO0343685310"/>
    <s v="D.S.W. Zorgverzekeraar"/>
    <x v="5"/>
    <x v="13"/>
    <x v="81"/>
  </r>
  <r>
    <n v="2874"/>
    <s v="NL22RABO0381604934"/>
    <m/>
    <x v="5"/>
    <x v="69"/>
    <d v="2021-07-01T00:00:00"/>
    <d v="2021-07-01T00:00:00"/>
    <n v="-3.42"/>
    <n v="3.42"/>
    <s v="NL98INGB0002712510"/>
    <s v="OHRA Schadeverzekeringen"/>
    <x v="5"/>
    <x v="13"/>
    <x v="80"/>
  </r>
  <r>
    <n v="2876"/>
    <s v="NL22RABO0381604934"/>
    <m/>
    <x v="5"/>
    <x v="69"/>
    <d v="2021-07-02T00:00:00"/>
    <d v="2021-07-02T00:00:00"/>
    <n v="-0.7"/>
    <n v="0.7"/>
    <m/>
    <s v="Kosten"/>
    <x v="5"/>
    <x v="13"/>
    <x v="74"/>
  </r>
  <r>
    <n v="2877"/>
    <s v="NL22RABO0381604934"/>
    <m/>
    <x v="5"/>
    <x v="69"/>
    <d v="2021-07-02T00:00:00"/>
    <d v="2021-07-02T00:00:00"/>
    <n v="-5.3"/>
    <n v="5.3"/>
    <m/>
    <s v="Kosten"/>
    <x v="5"/>
    <x v="13"/>
    <x v="74"/>
  </r>
  <r>
    <n v="2900"/>
    <s v="NL22RABO0381604934"/>
    <m/>
    <x v="5"/>
    <x v="69"/>
    <d v="2021-07-20T00:00:00"/>
    <d v="2021-07-20T00:00:00"/>
    <n v="-6"/>
    <n v="6"/>
    <s v="NL28DEUT0265186439"/>
    <s v="STICHTING DERDENGELDEN BUCKAROO"/>
    <x v="5"/>
    <x v="13"/>
    <x v="87"/>
  </r>
  <r>
    <n v="2901"/>
    <s v="NL22RABO0381604934"/>
    <m/>
    <x v="5"/>
    <x v="69"/>
    <d v="2021-07-20T00:00:00"/>
    <d v="2021-07-20T00:00:00"/>
    <n v="107"/>
    <n v="107"/>
    <s v="NL86INGB0002445588"/>
    <s v="BELASTINGDIENST"/>
    <x v="5"/>
    <x v="13"/>
    <x v="82"/>
  </r>
  <r>
    <n v="2905"/>
    <s v="NL22RABO0381604934"/>
    <m/>
    <x v="5"/>
    <x v="69"/>
    <d v="2021-07-21T00:00:00"/>
    <d v="2021-07-21T00:00:00"/>
    <n v="-7"/>
    <n v="7"/>
    <s v="DE66700111104101891130"/>
    <s v="Blendle B.V."/>
    <x v="5"/>
    <x v="13"/>
    <x v="72"/>
  </r>
  <r>
    <n v="2906"/>
    <s v="NL22RABO0381604934"/>
    <m/>
    <x v="5"/>
    <x v="69"/>
    <d v="2021-07-21T00:00:00"/>
    <d v="2021-07-21T00:00:00"/>
    <n v="-20"/>
    <n v="20"/>
    <s v="NL62ABNA0462625036"/>
    <s v="BUDGET MOBIEL"/>
    <x v="5"/>
    <x v="13"/>
    <x v="70"/>
  </r>
  <r>
    <n v="2918"/>
    <s v="NL22RABO0381604934"/>
    <m/>
    <x v="5"/>
    <x v="70"/>
    <d v="2021-08-02T00:00:00"/>
    <d v="2021-08-02T00:00:00"/>
    <n v="-3.42"/>
    <n v="3.42"/>
    <s v="NL98INGB0002712510"/>
    <s v="OHRA Schadeverzekeringen"/>
    <x v="5"/>
    <x v="13"/>
    <x v="80"/>
  </r>
  <r>
    <n v="2919"/>
    <s v="NL22RABO0381604934"/>
    <m/>
    <x v="5"/>
    <x v="70"/>
    <d v="2021-08-03T00:00:00"/>
    <d v="2021-08-03T00:00:00"/>
    <n v="-124.5"/>
    <n v="124.5"/>
    <s v="NL11RABO0343685310"/>
    <s v="D.S.W. Zorgverzekeraar"/>
    <x v="5"/>
    <x v="13"/>
    <x v="81"/>
  </r>
  <r>
    <n v="2920"/>
    <s v="NL22RABO0381604934"/>
    <m/>
    <x v="5"/>
    <x v="70"/>
    <d v="2021-08-03T00:00:00"/>
    <d v="2021-08-03T00:00:00"/>
    <n v="-0.7"/>
    <n v="0.7"/>
    <m/>
    <s v="Kosten"/>
    <x v="5"/>
    <x v="13"/>
    <x v="74"/>
  </r>
  <r>
    <n v="2921"/>
    <s v="NL22RABO0381604934"/>
    <m/>
    <x v="5"/>
    <x v="70"/>
    <d v="2021-08-03T00:00:00"/>
    <d v="2021-08-03T00:00:00"/>
    <n v="-5.3"/>
    <n v="5.3"/>
    <m/>
    <s v="Kosten"/>
    <x v="5"/>
    <x v="13"/>
    <x v="74"/>
  </r>
  <r>
    <n v="2936"/>
    <s v="NL22RABO0381604934"/>
    <m/>
    <x v="5"/>
    <x v="70"/>
    <d v="2021-08-18T00:00:00"/>
    <d v="2021-08-18T00:00:00"/>
    <n v="-6"/>
    <n v="6"/>
    <s v="NL28DEUT0265186439"/>
    <s v="STICHTING DERDENGELDEN BUCKAROO"/>
    <x v="5"/>
    <x v="13"/>
    <x v="87"/>
  </r>
  <r>
    <n v="2937"/>
    <s v="NL22RABO0381604934"/>
    <m/>
    <x v="5"/>
    <x v="70"/>
    <d v="2021-08-20T00:00:00"/>
    <d v="2021-08-20T00:00:00"/>
    <n v="-20"/>
    <n v="20"/>
    <s v="NL62ABNA0462625036"/>
    <s v="BUDGET MOBIEL"/>
    <x v="5"/>
    <x v="13"/>
    <x v="70"/>
  </r>
  <r>
    <n v="2938"/>
    <s v="NL22RABO0381604934"/>
    <m/>
    <x v="5"/>
    <x v="70"/>
    <d v="2021-08-20T00:00:00"/>
    <d v="2021-08-20T00:00:00"/>
    <n v="-7"/>
    <n v="7"/>
    <s v="DE66700111104101891130"/>
    <s v="Blendle B.V."/>
    <x v="5"/>
    <x v="13"/>
    <x v="72"/>
  </r>
  <r>
    <n v="2939"/>
    <s v="NL22RABO0381604934"/>
    <m/>
    <x v="5"/>
    <x v="70"/>
    <d v="2021-08-20T00:00:00"/>
    <d v="2021-08-20T00:00:00"/>
    <n v="107"/>
    <n v="107"/>
    <s v="NL86INGB0002445588"/>
    <s v="BELASTINGDIENST"/>
    <x v="5"/>
    <x v="13"/>
    <x v="82"/>
  </r>
  <r>
    <n v="2951"/>
    <s v="NL22RABO0381604934"/>
    <m/>
    <x v="5"/>
    <x v="64"/>
    <d v="2021-09-01T00:00:00"/>
    <d v="2021-09-01T00:00:00"/>
    <n v="-124.5"/>
    <n v="124.5"/>
    <s v="NL11RABO0343685310"/>
    <s v="D.S.W. Zorgverzekeraar"/>
    <x v="5"/>
    <x v="13"/>
    <x v="81"/>
  </r>
  <r>
    <n v="2952"/>
    <s v="NL22RABO0381604934"/>
    <m/>
    <x v="5"/>
    <x v="64"/>
    <d v="2021-09-01T00:00:00"/>
    <d v="2021-09-01T00:00:00"/>
    <n v="-3.42"/>
    <n v="3.42"/>
    <s v="NL98INGB0002712510"/>
    <s v="OHRA Schadeverzekeringen"/>
    <x v="5"/>
    <x v="13"/>
    <x v="80"/>
  </r>
  <r>
    <n v="2953"/>
    <s v="NL22RABO0381604934"/>
    <m/>
    <x v="5"/>
    <x v="64"/>
    <d v="2021-09-02T00:00:00"/>
    <d v="2021-09-02T00:00:00"/>
    <n v="-0.7"/>
    <n v="0.7"/>
    <m/>
    <s v="Kosten"/>
    <x v="5"/>
    <x v="13"/>
    <x v="74"/>
  </r>
  <r>
    <n v="2954"/>
    <s v="NL22RABO0381604934"/>
    <m/>
    <x v="5"/>
    <x v="64"/>
    <d v="2021-09-02T00:00:00"/>
    <d v="2021-09-02T00:00:00"/>
    <n v="-5.3"/>
    <n v="5.3"/>
    <m/>
    <s v="Kosten"/>
    <x v="5"/>
    <x v="13"/>
    <x v="74"/>
  </r>
  <r>
    <n v="2975"/>
    <s v="NL22RABO0381604934"/>
    <m/>
    <x v="5"/>
    <x v="64"/>
    <d v="2021-09-17T00:00:00"/>
    <d v="2021-09-17T00:00:00"/>
    <n v="-6"/>
    <n v="6"/>
    <s v="NL28DEUT0265186439"/>
    <s v="STICHTING DERDENGELDEN BUCKAROO"/>
    <x v="5"/>
    <x v="13"/>
    <x v="87"/>
  </r>
  <r>
    <n v="2980"/>
    <s v="NL22RABO0381604934"/>
    <m/>
    <x v="5"/>
    <x v="64"/>
    <d v="2021-09-20T00:00:00"/>
    <d v="2021-09-20T00:00:00"/>
    <n v="108"/>
    <n v="108"/>
    <s v="NL86INGB0002445588"/>
    <s v="BELASTINGDIENST"/>
    <x v="5"/>
    <x v="13"/>
    <x v="82"/>
  </r>
  <r>
    <n v="2981"/>
    <s v="NL22RABO0381604934"/>
    <m/>
    <x v="5"/>
    <x v="64"/>
    <d v="2021-09-21T00:00:00"/>
    <d v="2021-09-21T00:00:00"/>
    <n v="-20"/>
    <n v="20"/>
    <s v="NL62ABNA0462625036"/>
    <s v="BUDGET MOBIEL"/>
    <x v="5"/>
    <x v="13"/>
    <x v="70"/>
  </r>
  <r>
    <n v="2985"/>
    <s v="NL22RABO0381604934"/>
    <m/>
    <x v="5"/>
    <x v="64"/>
    <d v="2021-09-22T00:00:00"/>
    <d v="2021-09-22T00:00:00"/>
    <n v="-7"/>
    <n v="7"/>
    <s v="DE66700111104101891130"/>
    <s v="Blendle B.V."/>
    <x v="5"/>
    <x v="13"/>
    <x v="72"/>
  </r>
  <r>
    <n v="2990"/>
    <s v="NL22RABO0381604934"/>
    <m/>
    <x v="5"/>
    <x v="64"/>
    <d v="2021-09-28T00:00:00"/>
    <d v="2021-09-28T00:00:00"/>
    <n v="-20"/>
    <n v="20"/>
    <s v="NL40TRIO0198396716"/>
    <s v="N.V.V."/>
    <x v="5"/>
    <x v="13"/>
    <x v="89"/>
  </r>
  <r>
    <n v="2994"/>
    <s v="NL22RABO0381604934"/>
    <m/>
    <x v="5"/>
    <x v="25"/>
    <d v="2021-10-01T00:00:00"/>
    <d v="2021-10-01T00:00:00"/>
    <n v="-124.5"/>
    <n v="124.5"/>
    <s v="NL11RABO0343685310"/>
    <s v="D.S.W. Zorgverzekeraar"/>
    <x v="5"/>
    <x v="13"/>
    <x v="81"/>
  </r>
  <r>
    <n v="2995"/>
    <s v="NL22RABO0381604934"/>
    <m/>
    <x v="5"/>
    <x v="25"/>
    <d v="2021-10-01T00:00:00"/>
    <d v="2021-10-01T00:00:00"/>
    <n v="-3.42"/>
    <n v="3.42"/>
    <s v="NL98INGB0002712510"/>
    <s v="OHRA Schadeverzekeringen"/>
    <x v="5"/>
    <x v="13"/>
    <x v="80"/>
  </r>
  <r>
    <n v="2996"/>
    <s v="NL22RABO0381604934"/>
    <m/>
    <x v="5"/>
    <x v="25"/>
    <d v="2021-10-02T00:00:00"/>
    <d v="2021-10-01T00:00:00"/>
    <n v="-0.7"/>
    <n v="0.7"/>
    <m/>
    <s v="Kosten"/>
    <x v="5"/>
    <x v="13"/>
    <x v="74"/>
  </r>
  <r>
    <n v="2997"/>
    <s v="NL22RABO0381604934"/>
    <m/>
    <x v="5"/>
    <x v="25"/>
    <d v="2021-10-02T00:00:00"/>
    <d v="2021-10-01T00:00:00"/>
    <n v="-5.3"/>
    <n v="5.3"/>
    <m/>
    <s v="Kosten"/>
    <x v="5"/>
    <x v="13"/>
    <x v="74"/>
  </r>
  <r>
    <n v="3046"/>
    <s v="NL22RABO0381604934"/>
    <m/>
    <x v="5"/>
    <x v="25"/>
    <d v="2021-10-20T00:00:00"/>
    <d v="2021-10-20T00:00:00"/>
    <n v="-6"/>
    <n v="6"/>
    <s v="NL28DEUT0265186439"/>
    <s v="STICHTING DERDENGELDEN BUCKAROO"/>
    <x v="5"/>
    <x v="13"/>
    <x v="87"/>
  </r>
  <r>
    <n v="3047"/>
    <s v="NL22RABO0381604934"/>
    <m/>
    <x v="5"/>
    <x v="25"/>
    <d v="2021-10-20T00:00:00"/>
    <d v="2021-10-20T00:00:00"/>
    <n v="-7"/>
    <n v="7"/>
    <s v="DE56100700000634600100"/>
    <s v="PPRO Payment Services S.A."/>
    <x v="5"/>
    <x v="13"/>
    <x v="72"/>
  </r>
  <r>
    <n v="3048"/>
    <s v="NL22RABO0381604934"/>
    <m/>
    <x v="5"/>
    <x v="25"/>
    <d v="2021-10-20T00:00:00"/>
    <d v="2021-10-20T00:00:00"/>
    <n v="108"/>
    <n v="108"/>
    <s v="NL86INGB0002445588"/>
    <s v="BELASTINGDIENST"/>
    <x v="5"/>
    <x v="13"/>
    <x v="82"/>
  </r>
  <r>
    <n v="3054"/>
    <s v="NL22RABO0381604934"/>
    <m/>
    <x v="5"/>
    <x v="25"/>
    <d v="2021-10-21T00:00:00"/>
    <d v="2021-10-21T00:00:00"/>
    <n v="-20"/>
    <n v="20"/>
    <s v="NL62ABNA0462625036"/>
    <s v="BUDGET MOBIEL"/>
    <x v="5"/>
    <x v="13"/>
    <x v="70"/>
  </r>
  <r>
    <n v="3083"/>
    <s v="NL22RABO0381604934"/>
    <m/>
    <x v="5"/>
    <x v="26"/>
    <d v="2021-11-01T00:00:00"/>
    <d v="2021-11-01T00:00:00"/>
    <n v="-124.5"/>
    <n v="124.5"/>
    <s v="NL11RABO0343685310"/>
    <s v="D.S.W. Zorgverzekeraar"/>
    <x v="5"/>
    <x v="13"/>
    <x v="81"/>
  </r>
  <r>
    <n v="3084"/>
    <s v="NL22RABO0381604934"/>
    <m/>
    <x v="5"/>
    <x v="26"/>
    <d v="2021-11-01T00:00:00"/>
    <d v="2021-11-01T00:00:00"/>
    <n v="-3.42"/>
    <n v="3.42"/>
    <s v="NL98INGB0002712510"/>
    <s v="OHRA Schadeverzekeringen"/>
    <x v="5"/>
    <x v="13"/>
    <x v="80"/>
  </r>
  <r>
    <n v="3088"/>
    <s v="NL22RABO0381604934"/>
    <m/>
    <x v="5"/>
    <x v="26"/>
    <d v="2021-11-02T00:00:00"/>
    <d v="2021-11-01T00:00:00"/>
    <n v="-0.7"/>
    <n v="0.7"/>
    <m/>
    <s v="Kosten"/>
    <x v="5"/>
    <x v="13"/>
    <x v="74"/>
  </r>
  <r>
    <n v="3089"/>
    <s v="NL22RABO0381604934"/>
    <m/>
    <x v="5"/>
    <x v="26"/>
    <d v="2021-11-02T00:00:00"/>
    <d v="2021-11-01T00:00:00"/>
    <n v="-5.3"/>
    <n v="5.3"/>
    <m/>
    <s v="Kosten"/>
    <x v="5"/>
    <x v="13"/>
    <x v="74"/>
  </r>
  <r>
    <n v="3130"/>
    <s v="NL22RABO0381604934"/>
    <m/>
    <x v="5"/>
    <x v="26"/>
    <d v="2021-11-17T00:00:00"/>
    <d v="2021-11-17T00:00:00"/>
    <n v="-6"/>
    <n v="6"/>
    <s v="NL28DEUT0265186439"/>
    <s v="STICHTING DERDENGELDEN BUCKAROO"/>
    <x v="5"/>
    <x v="13"/>
    <x v="87"/>
  </r>
  <r>
    <n v="3132"/>
    <s v="NL22RABO0381604934"/>
    <m/>
    <x v="5"/>
    <x v="26"/>
    <d v="2021-11-19T00:00:00"/>
    <d v="2021-11-19T00:00:00"/>
    <n v="-20"/>
    <n v="20"/>
    <s v="NL62ABNA0462625036"/>
    <s v="BUDGET MOBIEL"/>
    <x v="5"/>
    <x v="13"/>
    <x v="70"/>
  </r>
  <r>
    <n v="3133"/>
    <s v="NL22RABO0381604934"/>
    <m/>
    <x v="5"/>
    <x v="26"/>
    <d v="2021-11-21T00:00:00"/>
    <d v="2021-11-19T00:00:00"/>
    <n v="20"/>
    <n v="20"/>
    <s v="NL62ABNA0462625036"/>
    <s v="BUDGET MOBIEL"/>
    <x v="5"/>
    <x v="13"/>
    <x v="70"/>
  </r>
  <r>
    <n v="3134"/>
    <s v="NL22RABO0381604934"/>
    <m/>
    <x v="5"/>
    <x v="26"/>
    <d v="2021-11-22T00:00:00"/>
    <d v="2021-11-22T00:00:00"/>
    <n v="-20"/>
    <n v="20"/>
    <s v="NL94TRIO0212486934"/>
    <s v="Partij voor de Dieren"/>
    <x v="5"/>
    <x v="13"/>
    <x v="90"/>
  </r>
  <r>
    <n v="3135"/>
    <s v="NL22RABO0381604934"/>
    <m/>
    <x v="5"/>
    <x v="26"/>
    <d v="2021-11-22T00:00:00"/>
    <d v="2021-11-22T00:00:00"/>
    <n v="-7"/>
    <n v="7"/>
    <s v="DE14120700700090007583"/>
    <s v="Blendle B.V. by Stripe via PPRO"/>
    <x v="5"/>
    <x v="13"/>
    <x v="72"/>
  </r>
  <r>
    <n v="3136"/>
    <s v="NL22RABO0381604934"/>
    <m/>
    <x v="5"/>
    <x v="26"/>
    <d v="2021-11-22T00:00:00"/>
    <d v="2021-11-22T00:00:00"/>
    <n v="108"/>
    <n v="108"/>
    <s v="NL86INGB0002445588"/>
    <s v="BELASTINGDIENST"/>
    <x v="5"/>
    <x v="13"/>
    <x v="82"/>
  </r>
  <r>
    <n v="3137"/>
    <s v="NL22RABO0381604934"/>
    <m/>
    <x v="5"/>
    <x v="26"/>
    <d v="2021-11-24T00:00:00"/>
    <d v="2021-11-24T00:00:00"/>
    <n v="-20"/>
    <n v="20"/>
    <s v="NL24ABNA0462594874"/>
    <s v="Budget Mobiel"/>
    <x v="5"/>
    <x v="13"/>
    <x v="70"/>
  </r>
  <r>
    <n v="3139"/>
    <s v="NL22RABO0381604934"/>
    <m/>
    <x v="5"/>
    <x v="27"/>
    <d v="2021-12-01T00:00:00"/>
    <d v="2021-12-01T00:00:00"/>
    <n v="-124.5"/>
    <n v="124.5"/>
    <s v="NL11RABO0343685310"/>
    <s v="D.S.W. Zorgverzekeraar"/>
    <x v="5"/>
    <x v="13"/>
    <x v="81"/>
  </r>
  <r>
    <n v="3140"/>
    <s v="NL22RABO0381604934"/>
    <m/>
    <x v="5"/>
    <x v="27"/>
    <d v="2021-12-01T00:00:00"/>
    <d v="2021-12-01T00:00:00"/>
    <n v="-3.42"/>
    <n v="3.42"/>
    <s v="NL98INGB0002712510"/>
    <s v="OHRA Schadeverzekeringen"/>
    <x v="5"/>
    <x v="13"/>
    <x v="80"/>
  </r>
  <r>
    <n v="3142"/>
    <s v="NL22RABO0381604934"/>
    <m/>
    <x v="5"/>
    <x v="27"/>
    <d v="2021-12-02T00:00:00"/>
    <d v="2021-12-01T00:00:00"/>
    <n v="-0.7"/>
    <n v="0.7"/>
    <m/>
    <s v="Kosten"/>
    <x v="5"/>
    <x v="13"/>
    <x v="74"/>
  </r>
  <r>
    <n v="3143"/>
    <s v="NL22RABO0381604934"/>
    <m/>
    <x v="5"/>
    <x v="27"/>
    <d v="2021-12-02T00:00:00"/>
    <d v="2021-12-01T00:00:00"/>
    <n v="-5.3"/>
    <n v="5.3"/>
    <m/>
    <s v="Kosten"/>
    <x v="5"/>
    <x v="13"/>
    <x v="74"/>
  </r>
  <r>
    <n v="3144"/>
    <s v="NL22RABO0381604934"/>
    <m/>
    <x v="5"/>
    <x v="27"/>
    <d v="2021-12-17T00:00:00"/>
    <d v="2021-12-17T00:00:00"/>
    <n v="-6"/>
    <n v="6"/>
    <n v="-6"/>
    <s v="STICHTING DERDENGELDEN BUCKAROO"/>
    <x v="5"/>
    <x v="13"/>
    <x v="87"/>
  </r>
  <r>
    <n v="3145"/>
    <s v="NL22RABO0381604934"/>
    <m/>
    <x v="5"/>
    <x v="27"/>
    <d v="2021-12-20T00:00:00"/>
    <d v="2021-12-20T00:00:00"/>
    <n v="111"/>
    <n v="111"/>
    <s v="NL86INGB0002445588"/>
    <s v="BELASTINGDIENST"/>
    <x v="5"/>
    <x v="13"/>
    <x v="82"/>
  </r>
  <r>
    <n v="3147"/>
    <s v="NL22RABO0381604934"/>
    <m/>
    <x v="5"/>
    <x v="27"/>
    <d v="2021-12-22T00:00:00"/>
    <d v="2021-12-22T00:00:00"/>
    <n v="-9.99"/>
    <n v="9.99"/>
    <s v="DE14120700700090007583"/>
    <s v="Blendle B.V. by Stripe via PPRO"/>
    <x v="5"/>
    <x v="13"/>
    <x v="72"/>
  </r>
  <r>
    <n v="3168"/>
    <s v="RABO GOLD CARD"/>
    <m/>
    <x v="5"/>
    <x v="65"/>
    <d v="2021-01-04T00:00:00"/>
    <d v="2021-01-04T00:00:00"/>
    <n v="-4.99"/>
    <n v="4.99"/>
    <n v="-4.99"/>
    <s v="GOOGLE  Google Play Apps London       GBR"/>
    <x v="5"/>
    <x v="13"/>
    <x v="84"/>
  </r>
  <r>
    <n v="3169"/>
    <s v="RABO GOLD CARD"/>
    <m/>
    <x v="5"/>
    <x v="65"/>
    <d v="2021-01-18T00:00:00"/>
    <d v="2021-01-18T00:00:00"/>
    <n v="-2.99"/>
    <n v="2.99"/>
    <n v="-2.99"/>
    <s v="GOOGLE*GOOGLE STORAGE    INTERNET     GBR"/>
    <x v="5"/>
    <x v="13"/>
    <x v="83"/>
  </r>
  <r>
    <n v="3170"/>
    <s v="RABO GOLD CARD"/>
    <m/>
    <x v="5"/>
    <x v="65"/>
    <d v="2021-01-23T00:00:00"/>
    <d v="2021-01-23T00:00:00"/>
    <n v="-6.99"/>
    <n v="6.99"/>
    <n v="-6.99"/>
    <s v="PAYPAL *CHESS COM        402-935-7733 USACA"/>
    <x v="5"/>
    <x v="13"/>
    <x v="86"/>
  </r>
  <r>
    <n v="3171"/>
    <s v="RABO GOLD CARD"/>
    <m/>
    <x v="5"/>
    <x v="65"/>
    <d v="2021-01-23T00:00:00"/>
    <d v="2021-01-23T00:00:00"/>
    <n v="-7"/>
    <n v="7"/>
    <n v="-7"/>
    <s v="PAYPAL *MICROSOFT MICR   35314369001  GBR"/>
    <x v="5"/>
    <x v="13"/>
    <x v="73"/>
  </r>
  <r>
    <n v="3173"/>
    <s v="RABO GOLD CARD"/>
    <m/>
    <x v="5"/>
    <x v="62"/>
    <d v="2021-02-04T00:00:00"/>
    <d v="2021-02-04T00:00:00"/>
    <n v="-4.99"/>
    <n v="4.99"/>
    <n v="-4.99"/>
    <s v="GOOGLE *Google Play Ap   g.co/helppay#GBR"/>
    <x v="5"/>
    <x v="13"/>
    <x v="84"/>
  </r>
  <r>
    <n v="3174"/>
    <s v="RABO GOLD CARD"/>
    <m/>
    <x v="5"/>
    <x v="62"/>
    <d v="2021-02-06T00:00:00"/>
    <d v="2021-02-06T00:00:00"/>
    <n v="-0.5"/>
    <n v="0.5"/>
    <n v="-0.5"/>
    <s v="PAYPAL *A CHUECA         35314369001  ESP"/>
    <x v="5"/>
    <x v="13"/>
    <x v="86"/>
  </r>
  <r>
    <n v="3175"/>
    <s v="RABO GOLD CARD"/>
    <m/>
    <x v="5"/>
    <x v="62"/>
    <d v="2021-02-18T00:00:00"/>
    <d v="2021-02-18T00:00:00"/>
    <n v="-2.99"/>
    <n v="2.99"/>
    <n v="-2.99"/>
    <s v="GOOGLE*GOOGLE STORAGE    INTERNET     GBR"/>
    <x v="5"/>
    <x v="13"/>
    <x v="83"/>
  </r>
  <r>
    <n v="3176"/>
    <s v="RABO GOLD CARD"/>
    <m/>
    <x v="5"/>
    <x v="62"/>
    <d v="2021-02-23T00:00:00"/>
    <d v="2021-02-23T00:00:00"/>
    <n v="-7"/>
    <n v="7"/>
    <n v="-7"/>
    <s v="PAYPAL *MICROSOFT MICR   35314369001  GBR"/>
    <x v="5"/>
    <x v="13"/>
    <x v="73"/>
  </r>
  <r>
    <n v="3177"/>
    <s v="RABO GOLD CARD"/>
    <m/>
    <x v="5"/>
    <x v="62"/>
    <d v="2021-02-23T00:00:00"/>
    <d v="2021-02-23T00:00:00"/>
    <n v="-6.99"/>
    <n v="6.99"/>
    <n v="-6.99"/>
    <s v="PAYPAL *CHESS COM        402-935-7733 USACA"/>
    <x v="5"/>
    <x v="13"/>
    <x v="86"/>
  </r>
  <r>
    <n v="3179"/>
    <s v="RABO GOLD CARD"/>
    <m/>
    <x v="5"/>
    <x v="63"/>
    <d v="2021-03-04T00:00:00"/>
    <d v="2021-03-04T00:00:00"/>
    <n v="-4.99"/>
    <n v="4.99"/>
    <n v="-4.99"/>
    <s v="GOOGLE  Google Play Apps London       GBR"/>
    <x v="5"/>
    <x v="13"/>
    <x v="84"/>
  </r>
  <r>
    <n v="3180"/>
    <s v="RABO GOLD CARD"/>
    <m/>
    <x v="5"/>
    <x v="63"/>
    <d v="2021-03-19T00:00:00"/>
    <d v="2021-03-19T00:00:00"/>
    <n v="-2.99"/>
    <n v="2.99"/>
    <n v="-2.99"/>
    <s v="GOOGLE *Google Storage   g.co/helppay#GBR"/>
    <x v="5"/>
    <x v="13"/>
    <x v="83"/>
  </r>
  <r>
    <n v="3181"/>
    <s v="RABO GOLD CARD"/>
    <m/>
    <x v="5"/>
    <x v="63"/>
    <d v="2021-03-23T00:00:00"/>
    <d v="2021-03-23T00:00:00"/>
    <n v="-7"/>
    <n v="7"/>
    <n v="-7"/>
    <s v="PAYPAL *MICROSOFT MICR   35314369001  GBR"/>
    <x v="5"/>
    <x v="13"/>
    <x v="73"/>
  </r>
  <r>
    <n v="3182"/>
    <s v="RABO GOLD CARD"/>
    <m/>
    <x v="5"/>
    <x v="63"/>
    <d v="2021-03-23T00:00:00"/>
    <d v="2021-03-23T00:00:00"/>
    <n v="-6.99"/>
    <n v="6.99"/>
    <n v="-6.99"/>
    <s v="PAYPAL *CHESS COM        402-935-7733 USACA"/>
    <x v="5"/>
    <x v="13"/>
    <x v="86"/>
  </r>
  <r>
    <n v="3184"/>
    <s v="RABO GOLD CARD"/>
    <m/>
    <x v="5"/>
    <x v="66"/>
    <d v="2021-04-04T00:00:00"/>
    <d v="2021-04-04T00:00:00"/>
    <n v="-4.99"/>
    <n v="4.99"/>
    <m/>
    <s v="GOOGLE*GOOGLE PLAY APP   INTERNET     GBR"/>
    <x v="5"/>
    <x v="13"/>
    <x v="84"/>
  </r>
  <r>
    <n v="3185"/>
    <s v="RABO GOLD CARD"/>
    <m/>
    <x v="5"/>
    <x v="66"/>
    <d v="2021-04-18T00:00:00"/>
    <d v="2021-04-18T00:00:00"/>
    <n v="-2.99"/>
    <n v="2.99"/>
    <m/>
    <s v="GOOGLE*GOOGLE STORAGE    INTERNET     GBR"/>
    <x v="5"/>
    <x v="13"/>
    <x v="83"/>
  </r>
  <r>
    <n v="3186"/>
    <s v="RABO GOLD CARD"/>
    <m/>
    <x v="5"/>
    <x v="66"/>
    <d v="2021-04-23T00:00:00"/>
    <d v="2021-04-23T00:00:00"/>
    <n v="-7"/>
    <n v="7"/>
    <m/>
    <s v="PAYPAL *MICROSOFT MICR   35314369001  GBR"/>
    <x v="5"/>
    <x v="13"/>
    <x v="73"/>
  </r>
  <r>
    <n v="3187"/>
    <s v="RABO GOLD CARD"/>
    <m/>
    <x v="5"/>
    <x v="66"/>
    <d v="2021-04-23T00:00:00"/>
    <d v="2021-04-23T00:00:00"/>
    <n v="-6.99"/>
    <n v="6.99"/>
    <m/>
    <s v="PAYPAL *CHESS COM        402-935-7733 USACA"/>
    <x v="5"/>
    <x v="13"/>
    <x v="86"/>
  </r>
  <r>
    <n v="3189"/>
    <s v="RABO GOLD CARD"/>
    <m/>
    <x v="5"/>
    <x v="67"/>
    <d v="2021-05-28T00:00:00"/>
    <d v="2021-05-28T00:00:00"/>
    <n v="-4.99"/>
    <n v="4.99"/>
    <n v="-4.99"/>
    <s v="GOOGLE  Google Play Apps London       GBR"/>
    <x v="5"/>
    <x v="13"/>
    <x v="84"/>
  </r>
  <r>
    <n v="3190"/>
    <s v="RABO GOLD CARD"/>
    <m/>
    <x v="5"/>
    <x v="67"/>
    <d v="2021-05-28T00:00:00"/>
    <d v="2021-05-28T00:00:00"/>
    <n v="-2.99"/>
    <n v="2.99"/>
    <n v="-2.99"/>
    <s v="GOOGLE *Google Storage   g.co/helppay#GBR"/>
    <x v="5"/>
    <x v="13"/>
    <x v="83"/>
  </r>
  <r>
    <n v="3191"/>
    <s v="RABO GOLD CARD"/>
    <m/>
    <x v="5"/>
    <x v="67"/>
    <d v="2021-05-28T00:00:00"/>
    <d v="2021-05-28T00:00:00"/>
    <n v="-7"/>
    <n v="7"/>
    <n v="-7"/>
    <s v="PAYPAL *MICROSOFT MICR   35314369001  GBR"/>
    <x v="5"/>
    <x v="13"/>
    <x v="73"/>
  </r>
  <r>
    <n v="3193"/>
    <s v="RABO GOLD CARD"/>
    <m/>
    <x v="5"/>
    <x v="68"/>
    <d v="2021-06-09T00:00:00"/>
    <d v="2021-06-09T00:00:00"/>
    <n v="-4.99"/>
    <n v="4.99"/>
    <n v="-4.99"/>
    <s v="GOOGLE*GOOGLE PLAY APP   INTERNET     GBR"/>
    <x v="5"/>
    <x v="13"/>
    <x v="84"/>
  </r>
  <r>
    <n v="3194"/>
    <s v="RABO GOLD CARD"/>
    <m/>
    <x v="5"/>
    <x v="68"/>
    <d v="2021-06-19T00:00:00"/>
    <d v="2021-06-19T00:00:00"/>
    <n v="-2.99"/>
    <n v="2.99"/>
    <m/>
    <s v="GOOGLE *Google Storage   g.co/helppay#GBR"/>
    <x v="5"/>
    <x v="13"/>
    <x v="83"/>
  </r>
  <r>
    <n v="3195"/>
    <s v="RABO GOLD CARD"/>
    <m/>
    <x v="5"/>
    <x v="68"/>
    <d v="2021-06-23T00:00:00"/>
    <d v="2021-06-23T00:00:00"/>
    <n v="-7"/>
    <n v="7"/>
    <m/>
    <s v="PAYPAL *MICROSOFT MICR   35314369001  GBR"/>
    <x v="5"/>
    <x v="13"/>
    <x v="73"/>
  </r>
  <r>
    <n v="3198"/>
    <s v="RABO GOLD CARD"/>
    <m/>
    <x v="5"/>
    <x v="69"/>
    <d v="2021-07-04T00:00:00"/>
    <d v="2021-07-04T00:00:00"/>
    <n v="-4.99"/>
    <n v="4.99"/>
    <m/>
    <s v="GOOGLE*GOOGLE PLAY APP   INTERNET     GBR"/>
    <x v="5"/>
    <x v="13"/>
    <x v="84"/>
  </r>
  <r>
    <n v="3199"/>
    <s v="RABO GOLD CARD"/>
    <m/>
    <x v="5"/>
    <x v="69"/>
    <d v="2021-07-18T00:00:00"/>
    <d v="2021-07-18T00:00:00"/>
    <n v="-2.99"/>
    <n v="2.99"/>
    <m/>
    <s v="GOOGLE*GOOGLE STORAGE    INTERNET     GBR"/>
    <x v="5"/>
    <x v="13"/>
    <x v="83"/>
  </r>
  <r>
    <n v="3200"/>
    <s v="RABO GOLD CARD"/>
    <m/>
    <x v="5"/>
    <x v="69"/>
    <d v="2021-07-23T00:00:00"/>
    <d v="2021-07-23T00:00:00"/>
    <n v="-7"/>
    <n v="7"/>
    <m/>
    <s v="PAYPAL *MICROSOFT MICR   35314369001  GBR"/>
    <x v="5"/>
    <x v="13"/>
    <x v="73"/>
  </r>
  <r>
    <n v="3202"/>
    <s v="RABO GOLD CARD"/>
    <m/>
    <x v="5"/>
    <x v="70"/>
    <d v="2021-08-04T00:00:00"/>
    <d v="2021-08-04T00:00:00"/>
    <n v="-4.99"/>
    <n v="4.99"/>
    <m/>
    <s v="GOOGLE *Google Play Ap   g.co/HelpPay#IRL"/>
    <x v="5"/>
    <x v="13"/>
    <x v="84"/>
  </r>
  <r>
    <n v="3203"/>
    <s v="RABO GOLD CARD"/>
    <m/>
    <x v="5"/>
    <x v="70"/>
    <d v="2021-08-18T00:00:00"/>
    <d v="2021-08-18T00:00:00"/>
    <n v="-2.99"/>
    <n v="2.99"/>
    <m/>
    <s v="GOOGLE*GOOGLE STORAGE    INTERNET     GBR"/>
    <x v="5"/>
    <x v="13"/>
    <x v="83"/>
  </r>
  <r>
    <n v="3205"/>
    <s v="RABO GOLD CARD"/>
    <m/>
    <x v="5"/>
    <x v="64"/>
    <d v="2021-09-03T00:00:00"/>
    <d v="2021-09-03T00:00:00"/>
    <n v="-4.99"/>
    <n v="4.99"/>
    <m/>
    <s v="GOOGLE*GOOGLE PLAY APP   IRELAND      IRL"/>
    <x v="5"/>
    <x v="13"/>
    <x v="84"/>
  </r>
  <r>
    <n v="3209"/>
    <s v="RABO GOLD CARD"/>
    <m/>
    <x v="5"/>
    <x v="64"/>
    <d v="2021-09-18T00:00:00"/>
    <d v="2021-09-18T00:00:00"/>
    <n v="-2.99"/>
    <n v="2.99"/>
    <m/>
    <s v="GOOGLE*GOOGLE STORAGE    INTERNET     GBR"/>
    <x v="5"/>
    <x v="13"/>
    <x v="83"/>
  </r>
  <r>
    <n v="3211"/>
    <s v="RABO GOLD CARD"/>
    <m/>
    <x v="5"/>
    <x v="25"/>
    <d v="2021-10-04T00:00:00"/>
    <m/>
    <n v="-4.99"/>
    <n v="4.99"/>
    <m/>
    <s v="GOOGLE *Google Play Ap   g.co/HelpPay#IRL"/>
    <x v="5"/>
    <x v="13"/>
    <x v="84"/>
  </r>
  <r>
    <n v="3220"/>
    <s v="RABO GOLD CARD"/>
    <m/>
    <x v="5"/>
    <x v="25"/>
    <d v="2021-10-18T00:00:00"/>
    <m/>
    <n v="-2.99"/>
    <n v="2.99"/>
    <m/>
    <s v="GOOGLE*GOOGLE STORAGE    INTERNET     GBR"/>
    <x v="5"/>
    <x v="13"/>
    <x v="83"/>
  </r>
  <r>
    <n v="3224"/>
    <s v="RABO GOLD CARD"/>
    <m/>
    <x v="5"/>
    <x v="26"/>
    <d v="2021-11-03T00:00:00"/>
    <m/>
    <n v="-4.99"/>
    <n v="4.99"/>
    <m/>
    <s v="GOOGLE*GOOGLE PLAY APP   IRELAND      IRL"/>
    <x v="5"/>
    <x v="13"/>
    <x v="84"/>
  </r>
  <r>
    <n v="3226"/>
    <s v="RABO GOLD CARD"/>
    <m/>
    <x v="5"/>
    <x v="26"/>
    <d v="2021-11-18T00:00:00"/>
    <m/>
    <n v="-2.99"/>
    <n v="2.99"/>
    <m/>
    <s v="GOOGLE*GOOGLE STORAGE    INTERNET     GBR"/>
    <x v="5"/>
    <x v="13"/>
    <x v="83"/>
  </r>
  <r>
    <n v="3233"/>
    <s v="RABO GOLD CARD"/>
    <m/>
    <x v="5"/>
    <x v="27"/>
    <d v="2021-12-03T00:00:00"/>
    <m/>
    <n v="-4.99"/>
    <n v="4.99"/>
    <m/>
    <s v="GOOGLE*GOOGLE PLAY APP   IRELAND      IRL"/>
    <x v="5"/>
    <x v="13"/>
    <x v="84"/>
  </r>
  <r>
    <n v="3234"/>
    <s v="RABO GOLD CARD"/>
    <m/>
    <x v="5"/>
    <x v="27"/>
    <d v="2021-12-19T00:00:00"/>
    <m/>
    <n v="-2.99"/>
    <n v="2.99"/>
    <m/>
    <s v="GOOGLE *Google Storage   g.co/HelpPay#IRL"/>
    <x v="5"/>
    <x v="13"/>
    <x v="83"/>
  </r>
  <r>
    <n v="3264"/>
    <s v="NL22RABO0381604934"/>
    <m/>
    <x v="6"/>
    <x v="28"/>
    <d v="2022-01-03T00:00:00"/>
    <d v="2022-01-03T00:00:00"/>
    <n v="-3.42"/>
    <n v="3.42"/>
    <s v="NL98INGB0002712510"/>
    <s v="OHRA Schadeverzekeringen"/>
    <x v="5"/>
    <x v="13"/>
    <x v="80"/>
  </r>
  <r>
    <n v="3265"/>
    <s v="NL22RABO0381604934"/>
    <m/>
    <x v="6"/>
    <x v="28"/>
    <d v="2022-01-04T00:00:00"/>
    <d v="2022-01-01T00:00:00"/>
    <n v="-5.3"/>
    <n v="5.3"/>
    <m/>
    <s v="Kosten"/>
    <x v="5"/>
    <x v="13"/>
    <x v="74"/>
  </r>
  <r>
    <n v="3266"/>
    <s v="NL22RABO0381604934"/>
    <m/>
    <x v="6"/>
    <x v="28"/>
    <d v="2022-01-04T00:00:00"/>
    <d v="2022-01-01T00:00:00"/>
    <n v="-0.7"/>
    <n v="0.7"/>
    <m/>
    <s v="Kosten"/>
    <x v="5"/>
    <x v="13"/>
    <x v="74"/>
  </r>
  <r>
    <n v="3268"/>
    <s v="NL22RABO0381604934"/>
    <m/>
    <x v="6"/>
    <x v="28"/>
    <d v="2022-01-07T00:00:00"/>
    <d v="2022-01-07T00:00:00"/>
    <n v="-127.75"/>
    <n v="127.75"/>
    <s v="NL11RABO0343685310"/>
    <s v="D.S.W. Zorgverzekeraar"/>
    <x v="5"/>
    <x v="13"/>
    <x v="81"/>
  </r>
  <r>
    <n v="3269"/>
    <s v="NL22RABO0381604934"/>
    <m/>
    <x v="6"/>
    <x v="28"/>
    <d v="2022-01-17T00:00:00"/>
    <d v="2022-01-17T00:00:00"/>
    <n v="-5"/>
    <n v="5"/>
    <s v="NL46RABO0306722054"/>
    <s v="Vesta Payment Solutions"/>
    <x v="5"/>
    <x v="13"/>
    <x v="70"/>
  </r>
  <r>
    <n v="3270"/>
    <s v="NL22RABO0381604934"/>
    <m/>
    <x v="6"/>
    <x v="28"/>
    <d v="2022-01-19T00:00:00"/>
    <d v="2022-01-19T00:00:00"/>
    <n v="-6"/>
    <n v="6"/>
    <s v="NL28DEUT0265186439"/>
    <s v="STICHTING DERDENGELDEN BUCKAROO"/>
    <x v="5"/>
    <x v="13"/>
    <x v="87"/>
  </r>
  <r>
    <n v="3271"/>
    <s v="NL22RABO0381604934"/>
    <m/>
    <x v="6"/>
    <x v="28"/>
    <d v="2022-01-20T00:00:00"/>
    <d v="2022-01-20T00:00:00"/>
    <n v="-9.99"/>
    <n v="9.99"/>
    <s v="DE14120700700090007583"/>
    <s v="Blendle B.V. by Stripe via PPRO"/>
    <x v="5"/>
    <x v="13"/>
    <x v="72"/>
  </r>
  <r>
    <n v="3272"/>
    <s v="NL22RABO0381604934"/>
    <m/>
    <x v="6"/>
    <x v="28"/>
    <d v="2022-01-20T00:00:00"/>
    <d v="2022-01-20T00:00:00"/>
    <n v="111"/>
    <n v="111"/>
    <s v="NL86INGB0002445588"/>
    <s v="BELASTINGDIENST"/>
    <x v="5"/>
    <x v="13"/>
    <x v="82"/>
  </r>
  <r>
    <n v="3275"/>
    <s v="NL22RABO0381604934"/>
    <m/>
    <x v="6"/>
    <x v="28"/>
    <d v="2022-01-21T00:00:00"/>
    <d v="2022-01-21T00:00:00"/>
    <n v="-61.2"/>
    <n v="61.2"/>
    <s v="NL40ABNA0537879099"/>
    <s v="NS GROEP IZ NS REIZIGERS"/>
    <x v="5"/>
    <x v="13"/>
    <x v="77"/>
  </r>
  <r>
    <n v="3276"/>
    <s v="NL22RABO0381604934"/>
    <m/>
    <x v="6"/>
    <x v="28"/>
    <d v="2022-01-21T00:00:00"/>
    <d v="2022-01-21T00:00:00"/>
    <n v="-5"/>
    <n v="5"/>
    <s v="NL74INGB0004527327"/>
    <s v="STICHTING J O H O"/>
    <x v="5"/>
    <x v="13"/>
    <x v="15"/>
  </r>
  <r>
    <n v="3278"/>
    <s v="NL22RABO0381604934"/>
    <m/>
    <x v="6"/>
    <x v="29"/>
    <d v="2022-02-01T00:00:00"/>
    <d v="2022-02-01T00:00:00"/>
    <n v="-127.75"/>
    <n v="127.75"/>
    <s v="NL11RABO0343685310"/>
    <s v="D.S.W. Zorgverzekeraar"/>
    <x v="5"/>
    <x v="13"/>
    <x v="81"/>
  </r>
  <r>
    <n v="3280"/>
    <s v="NL22RABO0381604934"/>
    <m/>
    <x v="6"/>
    <x v="29"/>
    <d v="2022-02-01T00:00:00"/>
    <d v="2022-02-01T00:00:00"/>
    <n v="-3.42"/>
    <n v="3.42"/>
    <s v="NL98INGB0002712510"/>
    <s v="OHRA Schadeverzekeringen"/>
    <x v="5"/>
    <x v="13"/>
    <x v="80"/>
  </r>
  <r>
    <n v="3281"/>
    <s v="NL22RABO0381604934"/>
    <m/>
    <x v="6"/>
    <x v="29"/>
    <d v="2022-02-02T00:00:00"/>
    <d v="2022-02-01T00:00:00"/>
    <n v="-5.3"/>
    <n v="5.3"/>
    <m/>
    <s v="Kosten"/>
    <x v="5"/>
    <x v="13"/>
    <x v="74"/>
  </r>
  <r>
    <n v="3282"/>
    <s v="NL22RABO0381604934"/>
    <m/>
    <x v="6"/>
    <x v="29"/>
    <d v="2022-02-02T00:00:00"/>
    <d v="2022-02-01T00:00:00"/>
    <n v="-0.7"/>
    <n v="0.7"/>
    <m/>
    <s v="Kosten"/>
    <x v="5"/>
    <x v="13"/>
    <x v="74"/>
  </r>
  <r>
    <n v="3283"/>
    <s v="NL22RABO0381604934"/>
    <m/>
    <x v="6"/>
    <x v="29"/>
    <d v="2022-02-16T00:00:00"/>
    <d v="2022-02-16T00:00:00"/>
    <n v="-6"/>
    <n v="6"/>
    <s v="NL28DEUT0265186439"/>
    <s v="STICHTING DERDENGELDEN BUCKAROO"/>
    <x v="5"/>
    <x v="13"/>
    <x v="87"/>
  </r>
  <r>
    <n v="3285"/>
    <s v="NL22RABO0381604934"/>
    <m/>
    <x v="6"/>
    <x v="29"/>
    <d v="2022-02-21T00:00:00"/>
    <d v="2022-02-21T00:00:00"/>
    <n v="111"/>
    <n v="111"/>
    <s v="NL86INGB0002445588"/>
    <s v="BELASTINGDIENST"/>
    <x v="5"/>
    <x v="13"/>
    <x v="82"/>
  </r>
  <r>
    <n v="3286"/>
    <s v="NL22RABO0381604934"/>
    <m/>
    <x v="6"/>
    <x v="29"/>
    <d v="2022-02-22T00:00:00"/>
    <d v="2022-02-22T00:00:00"/>
    <n v="-9.99"/>
    <n v="9.99"/>
    <s v="DE14120700700090007583"/>
    <s v="Blendle B.V. by Stripe via PPRO"/>
    <x v="5"/>
    <x v="13"/>
    <x v="72"/>
  </r>
  <r>
    <n v="3288"/>
    <s v="NL22RABO0381604934"/>
    <m/>
    <x v="6"/>
    <x v="30"/>
    <d v="2022-03-01T00:00:00"/>
    <d v="2022-03-01T00:00:00"/>
    <n v="-127.75"/>
    <n v="127.75"/>
    <s v="NL11RABO0343685310"/>
    <s v="D.S.W. Zorgverzekeraar"/>
    <x v="5"/>
    <x v="13"/>
    <x v="81"/>
  </r>
  <r>
    <n v="3290"/>
    <s v="NL22RABO0381604934"/>
    <m/>
    <x v="6"/>
    <x v="30"/>
    <d v="2022-03-01T00:00:00"/>
    <d v="2022-03-01T00:00:00"/>
    <n v="-3.42"/>
    <n v="3.42"/>
    <s v="NL98INGB0002712510"/>
    <s v="OHRA Schadeverzekeringen"/>
    <x v="5"/>
    <x v="13"/>
    <x v="80"/>
  </r>
  <r>
    <n v="3292"/>
    <s v="NL22RABO0381604934"/>
    <m/>
    <x v="6"/>
    <x v="30"/>
    <d v="2022-03-02T00:00:00"/>
    <d v="2022-03-01T00:00:00"/>
    <n v="-5.3"/>
    <n v="5.3"/>
    <m/>
    <s v="Kosten"/>
    <x v="5"/>
    <x v="13"/>
    <x v="74"/>
  </r>
  <r>
    <n v="3293"/>
    <s v="NL22RABO0381604934"/>
    <m/>
    <x v="6"/>
    <x v="30"/>
    <d v="2022-03-02T00:00:00"/>
    <d v="2022-03-01T00:00:00"/>
    <n v="-0.7"/>
    <n v="0.7"/>
    <m/>
    <s v="Kosten"/>
    <x v="5"/>
    <x v="13"/>
    <x v="74"/>
  </r>
  <r>
    <n v="3294"/>
    <s v="NL22RABO0381604934"/>
    <m/>
    <x v="6"/>
    <x v="30"/>
    <d v="2022-03-21T00:00:00"/>
    <d v="2022-03-21T00:00:00"/>
    <n v="-6"/>
    <n v="6"/>
    <s v="NL28DEUT0265186439"/>
    <s v="STICHTING DERDENGELDEN BUCKAROO"/>
    <x v="5"/>
    <x v="13"/>
    <x v="87"/>
  </r>
  <r>
    <n v="3295"/>
    <s v="NL22RABO0381604934"/>
    <m/>
    <x v="6"/>
    <x v="30"/>
    <d v="2022-03-21T00:00:00"/>
    <d v="2022-03-21T00:00:00"/>
    <n v="111"/>
    <n v="111"/>
    <s v="NL86INGB0002445588"/>
    <s v="BELASTINGDIENST"/>
    <x v="5"/>
    <x v="13"/>
    <x v="82"/>
  </r>
  <r>
    <n v="3296"/>
    <s v="NL22RABO0381604934"/>
    <m/>
    <x v="6"/>
    <x v="30"/>
    <d v="2022-03-22T00:00:00"/>
    <d v="2022-03-22T00:00:00"/>
    <n v="-9.99"/>
    <n v="9.99"/>
    <s v="DE14120700700090007583"/>
    <s v="Blendle B.V. by Stripe via PPRO"/>
    <x v="5"/>
    <x v="13"/>
    <x v="72"/>
  </r>
  <r>
    <n v="3301"/>
    <s v="NL22RABO0381604934"/>
    <m/>
    <x v="6"/>
    <x v="31"/>
    <d v="2022-04-01T00:00:00"/>
    <d v="2022-04-01T00:00:00"/>
    <n v="-127.75"/>
    <n v="127.75"/>
    <s v="NL11RABO0343685310"/>
    <s v="D.S.W. Zorgverzekeraar"/>
    <x v="5"/>
    <x v="13"/>
    <x v="81"/>
  </r>
  <r>
    <n v="3303"/>
    <s v="NL22RABO0381604934"/>
    <m/>
    <x v="6"/>
    <x v="31"/>
    <d v="2022-04-01T00:00:00"/>
    <d v="2022-04-01T00:00:00"/>
    <n v="-3.42"/>
    <n v="3.42"/>
    <s v="NL98INGB0002712510"/>
    <s v="OHRA Schadeverzekeringen"/>
    <x v="5"/>
    <x v="13"/>
    <x v="80"/>
  </r>
  <r>
    <n v="3304"/>
    <s v="NL22RABO0381604934"/>
    <m/>
    <x v="6"/>
    <x v="31"/>
    <d v="2022-04-02T00:00:00"/>
    <d v="2022-04-01T00:00:00"/>
    <n v="-5.65"/>
    <n v="5.65"/>
    <m/>
    <s v="Kosten"/>
    <x v="5"/>
    <x v="13"/>
    <x v="74"/>
  </r>
  <r>
    <n v="3305"/>
    <s v="NL22RABO0381604934"/>
    <m/>
    <x v="6"/>
    <x v="31"/>
    <d v="2022-04-02T00:00:00"/>
    <d v="2022-04-01T00:00:00"/>
    <n v="-0.7"/>
    <n v="0.7"/>
    <m/>
    <s v="Kosten"/>
    <x v="5"/>
    <x v="13"/>
    <x v="74"/>
  </r>
  <r>
    <n v="3308"/>
    <s v="NL22RABO0381604934"/>
    <m/>
    <x v="6"/>
    <x v="31"/>
    <d v="2022-04-20T00:00:00"/>
    <d v="2022-04-20T00:00:00"/>
    <n v="111"/>
    <n v="111"/>
    <s v="NL86INGB0002445588"/>
    <s v="BELASTINGDIENST"/>
    <x v="5"/>
    <x v="13"/>
    <x v="82"/>
  </r>
  <r>
    <n v="3309"/>
    <s v="NL22RABO0381604934"/>
    <m/>
    <x v="6"/>
    <x v="31"/>
    <d v="2022-04-21T00:00:00"/>
    <d v="2022-04-21T00:00:00"/>
    <n v="-9.99"/>
    <n v="9.99"/>
    <s v="DE14120700700090007583"/>
    <s v="Blendle B.V. by Stripe via PPRO"/>
    <x v="5"/>
    <x v="13"/>
    <x v="72"/>
  </r>
  <r>
    <n v="3310"/>
    <s v="NL22RABO0381604934"/>
    <m/>
    <x v="6"/>
    <x v="31"/>
    <d v="2022-04-21T00:00:00"/>
    <d v="2022-04-21T00:00:00"/>
    <n v="-6"/>
    <n v="6"/>
    <s v="NL28DEUT0265186439"/>
    <s v="STICHTING DERDENGELDEN BUCKAROO"/>
    <x v="5"/>
    <x v="13"/>
    <x v="87"/>
  </r>
  <r>
    <n v="3312"/>
    <s v="NL22RABO0381604934"/>
    <m/>
    <x v="6"/>
    <x v="32"/>
    <d v="2022-05-02T00:00:00"/>
    <d v="2022-05-02T00:00:00"/>
    <n v="-127.75"/>
    <n v="127.75"/>
    <s v="NL11RABO0343685310"/>
    <s v="D.S.W. Zorgverzekeraar"/>
    <x v="5"/>
    <x v="13"/>
    <x v="81"/>
  </r>
  <r>
    <n v="3313"/>
    <s v="NL22RABO0381604934"/>
    <m/>
    <x v="6"/>
    <x v="32"/>
    <d v="2022-05-02T00:00:00"/>
    <d v="2022-05-02T00:00:00"/>
    <n v="-3.42"/>
    <n v="3.42"/>
    <s v="NL98INGB0002712510"/>
    <s v="OHRA Schadeverzekeringen"/>
    <x v="5"/>
    <x v="13"/>
    <x v="80"/>
  </r>
  <r>
    <n v="3314"/>
    <s v="NL22RABO0381604934"/>
    <m/>
    <x v="6"/>
    <x v="32"/>
    <d v="2022-05-03T00:00:00"/>
    <d v="2022-05-01T00:00:00"/>
    <n v="-5.65"/>
    <n v="5.65"/>
    <m/>
    <s v="Kosten"/>
    <x v="5"/>
    <x v="13"/>
    <x v="74"/>
  </r>
  <r>
    <n v="3315"/>
    <s v="NL22RABO0381604934"/>
    <m/>
    <x v="6"/>
    <x v="32"/>
    <d v="2022-05-03T00:00:00"/>
    <d v="2022-05-01T00:00:00"/>
    <n v="-0.8"/>
    <n v="0.8"/>
    <m/>
    <s v="Kosten"/>
    <x v="5"/>
    <x v="13"/>
    <x v="74"/>
  </r>
  <r>
    <n v="3316"/>
    <s v="NL22RABO0381604934"/>
    <m/>
    <x v="6"/>
    <x v="32"/>
    <d v="2022-05-09T00:00:00"/>
    <d v="2022-05-09T00:00:00"/>
    <n v="-5"/>
    <n v="5"/>
    <s v="NL46RABO0306722054"/>
    <s v="Vesta Payment Solutions"/>
    <x v="5"/>
    <x v="13"/>
    <x v="70"/>
  </r>
  <r>
    <n v="3318"/>
    <s v="NL22RABO0381604934"/>
    <m/>
    <x v="6"/>
    <x v="32"/>
    <d v="2022-05-19T00:00:00"/>
    <d v="2022-05-19T00:00:00"/>
    <n v="-6"/>
    <n v="6"/>
    <s v="NL28DEUT0265186439"/>
    <s v="STICHTING DERDENGELDEN BUCKAROO"/>
    <x v="5"/>
    <x v="13"/>
    <x v="87"/>
  </r>
  <r>
    <n v="3319"/>
    <s v="NL22RABO0381604934"/>
    <m/>
    <x v="6"/>
    <x v="32"/>
    <d v="2022-05-20T00:00:00"/>
    <d v="2022-05-20T00:00:00"/>
    <n v="-9.99"/>
    <n v="9.99"/>
    <s v="DE14120700700090007583"/>
    <s v="Blendle B.V. by Stripe via PPRO"/>
    <x v="5"/>
    <x v="13"/>
    <x v="72"/>
  </r>
  <r>
    <n v="3320"/>
    <s v="NL22RABO0381604934"/>
    <m/>
    <x v="6"/>
    <x v="32"/>
    <d v="2022-05-20T00:00:00"/>
    <d v="2022-05-20T00:00:00"/>
    <n v="-5"/>
    <n v="5"/>
    <s v="NL46RABO0306722054"/>
    <s v="Vesta Payment Solutions"/>
    <x v="5"/>
    <x v="13"/>
    <x v="70"/>
  </r>
  <r>
    <n v="3321"/>
    <s v="NL22RABO0381604934"/>
    <m/>
    <x v="6"/>
    <x v="32"/>
    <d v="2022-05-20T00:00:00"/>
    <d v="2022-05-20T00:00:00"/>
    <n v="111"/>
    <n v="111"/>
    <s v="NL86INGB0002445588"/>
    <s v="BELASTINGDIENST"/>
    <x v="5"/>
    <x v="13"/>
    <x v="82"/>
  </r>
  <r>
    <n v="3323"/>
    <s v="NL22RABO0381604934"/>
    <m/>
    <x v="6"/>
    <x v="32"/>
    <d v="2022-05-21T00:00:00"/>
    <d v="2022-05-21T00:00:00"/>
    <n v="-0.7"/>
    <n v="0.7"/>
    <m/>
    <s v="Zwolle 4208-25101 Zwolle"/>
    <x v="5"/>
    <x v="13"/>
    <x v="74"/>
  </r>
  <r>
    <n v="3325"/>
    <s v="NL22RABO0381604934"/>
    <m/>
    <x v="6"/>
    <x v="32"/>
    <d v="2022-05-22T00:00:00"/>
    <d v="2022-05-23T00:00:00"/>
    <n v="-0.01"/>
    <n v="0.01"/>
    <s v="NL14BNPA0227680723"/>
    <s v="TELE2"/>
    <x v="5"/>
    <x v="13"/>
    <x v="70"/>
  </r>
  <r>
    <n v="3337"/>
    <s v="RABO GOLD CARD"/>
    <m/>
    <x v="6"/>
    <x v="28"/>
    <d v="2022-01-03T00:00:00"/>
    <m/>
    <n v="-4.99"/>
    <n v="4.99"/>
    <m/>
    <s v="GOOGLE*GOOGLE PLAY APP   IRELAND      IRL"/>
    <x v="5"/>
    <x v="13"/>
    <x v="84"/>
  </r>
  <r>
    <n v="3340"/>
    <s v="RABO GOLD CARD"/>
    <m/>
    <x v="6"/>
    <x v="28"/>
    <d v="2022-01-18T00:00:00"/>
    <m/>
    <n v="-2.99"/>
    <n v="2.99"/>
    <m/>
    <s v="GOOGLE*GOOGLE STORAGE    IRELAND      IRL"/>
    <x v="5"/>
    <x v="13"/>
    <x v="83"/>
  </r>
  <r>
    <n v="3347"/>
    <s v="RABO GOLD CARD"/>
    <m/>
    <x v="6"/>
    <x v="29"/>
    <d v="2022-02-04T00:00:00"/>
    <m/>
    <n v="-4.99"/>
    <n v="4.99"/>
    <m/>
    <s v="GOOGLE *Google Play Ap   g.co/HelpPay#IRL"/>
    <x v="5"/>
    <x v="13"/>
    <x v="84"/>
  </r>
  <r>
    <n v="3350"/>
    <s v="RABO GOLD CARD"/>
    <m/>
    <x v="6"/>
    <x v="29"/>
    <d v="2022-02-19T00:00:00"/>
    <m/>
    <n v="-2.99"/>
    <n v="2.99"/>
    <m/>
    <s v="GOOGLE *Google Storage   g.co/HelpPay#IRL"/>
    <x v="5"/>
    <x v="13"/>
    <x v="83"/>
  </r>
  <r>
    <n v="3351"/>
    <s v="RABO GOLD CARD"/>
    <m/>
    <x v="6"/>
    <x v="29"/>
    <d v="2022-02-23T00:00:00"/>
    <m/>
    <n v="-3.49"/>
    <n v="3.49"/>
    <m/>
    <s v="PAYPAL *MICROSOFT MICR   35314369001  GBR"/>
    <x v="5"/>
    <x v="13"/>
    <x v="73"/>
  </r>
  <r>
    <n v="3355"/>
    <s v="RABO GOLD CARD"/>
    <m/>
    <x v="6"/>
    <x v="30"/>
    <d v="2022-03-03T00:00:00"/>
    <m/>
    <n v="-4.99"/>
    <n v="4.99"/>
    <m/>
    <s v="GOOGLE*GOOGLE PLAY APP   IRELAND      IRL"/>
    <x v="5"/>
    <x v="13"/>
    <x v="84"/>
  </r>
  <r>
    <n v="3369"/>
    <s v="RABO GOLD CARD"/>
    <m/>
    <x v="6"/>
    <x v="30"/>
    <d v="2022-03-18T00:00:00"/>
    <m/>
    <n v="-2.99"/>
    <n v="2.99"/>
    <m/>
    <s v="GOOGLE*GOOGLE STORAGE    IRELAND      IRL"/>
    <x v="5"/>
    <x v="13"/>
    <x v="83"/>
  </r>
  <r>
    <n v="3374"/>
    <s v="RABO GOLD CARD"/>
    <m/>
    <x v="6"/>
    <x v="30"/>
    <d v="2022-03-23T00:00:00"/>
    <m/>
    <n v="-7"/>
    <n v="7"/>
    <m/>
    <s v="PAYPAL *MICROSOFT MICR   35314369001  GBR"/>
    <x v="5"/>
    <x v="13"/>
    <x v="73"/>
  </r>
  <r>
    <n v="3379"/>
    <s v="RABO GOLD CARD"/>
    <m/>
    <x v="6"/>
    <x v="31"/>
    <d v="2022-04-03T00:00:00"/>
    <m/>
    <n v="-4.99"/>
    <n v="4.99"/>
    <m/>
    <s v="GOOGLE*GOOGLE PLAY APP   IRELAND      IRL"/>
    <x v="5"/>
    <x v="13"/>
    <x v="84"/>
  </r>
  <r>
    <n v="3380"/>
    <s v="RABO GOLD CARD"/>
    <m/>
    <x v="6"/>
    <x v="31"/>
    <d v="2022-04-19T00:00:00"/>
    <m/>
    <n v="-2.99"/>
    <n v="2.99"/>
    <m/>
    <s v="GOOGLE *Google Storage   g.co/HelpPay#IRL"/>
    <x v="5"/>
    <x v="13"/>
    <x v="83"/>
  </r>
  <r>
    <n v="3381"/>
    <s v="RABO GOLD CARD"/>
    <m/>
    <x v="6"/>
    <x v="31"/>
    <d v="2022-04-23T00:00:00"/>
    <m/>
    <n v="-7"/>
    <n v="7"/>
    <m/>
    <s v="PAYPAL *MICROSOFT MICR   35314369001  GBR"/>
    <x v="5"/>
    <x v="13"/>
    <x v="73"/>
  </r>
  <r>
    <n v="3383"/>
    <s v="RABO GOLD CARD"/>
    <m/>
    <x v="6"/>
    <x v="32"/>
    <d v="2022-05-03T00:00:00"/>
    <m/>
    <n v="-4.99"/>
    <n v="4.99"/>
    <m/>
    <s v="GOOGLE*GOOGLE PLAY APP   IRELAND      IRL"/>
    <x v="5"/>
    <x v="13"/>
    <x v="84"/>
  </r>
  <r>
    <n v="3386"/>
    <s v="RABO GOLD CARD"/>
    <m/>
    <x v="6"/>
    <x v="32"/>
    <d v="2022-05-19T00:00:00"/>
    <m/>
    <n v="-2.99"/>
    <n v="2.99"/>
    <m/>
    <s v="Google Payment IE LTD GooDublin       IRL"/>
    <x v="5"/>
    <x v="13"/>
    <x v="83"/>
  </r>
  <r>
    <n v="3388"/>
    <s v="RABO GOLD CARD"/>
    <m/>
    <x v="6"/>
    <x v="32"/>
    <d v="2022-05-21T00:00:00"/>
    <m/>
    <n v="-0.78"/>
    <n v="0.78"/>
    <m/>
    <s v="JACKSON TRD CO LLC       DUBAI        ARE"/>
    <x v="5"/>
    <x v="13"/>
    <x v="74"/>
  </r>
  <r>
    <n v="202208008"/>
    <s v="NL22RABO0381604934"/>
    <s v="EUR"/>
    <x v="6"/>
    <x v="71"/>
    <d v="2022-06-01T00:00:00"/>
    <d v="2022-06-01T00:00:00"/>
    <n v="-127.75"/>
    <n v="127.75"/>
    <s v="NL11RABO0343685310"/>
    <s v="D.S.W. Zorgverzekeraar"/>
    <x v="5"/>
    <x v="13"/>
    <x v="81"/>
  </r>
  <r>
    <n v="202208009"/>
    <s v="NL22RABO0381604934"/>
    <s v="EUR"/>
    <x v="6"/>
    <x v="71"/>
    <d v="2022-06-01T00:00:00"/>
    <d v="2022-06-01T00:00:00"/>
    <n v="-3.4"/>
    <n v="3.4"/>
    <s v="NL98INGB0002712510"/>
    <s v="OHRA Schadeverzekeringen"/>
    <x v="5"/>
    <x v="13"/>
    <x v="80"/>
  </r>
  <r>
    <n v="202208010"/>
    <s v="NL22RABO0381604934"/>
    <s v="EUR"/>
    <x v="6"/>
    <x v="71"/>
    <d v="2022-06-01T00:00:00"/>
    <d v="2022-06-02T00:00:00"/>
    <n v="-0.01"/>
    <n v="0.01"/>
    <s v="NL14BNPA0227680723"/>
    <s v="TELE2"/>
    <x v="5"/>
    <x v="13"/>
    <x v="70"/>
  </r>
  <r>
    <n v="202208011"/>
    <s v="NL22RABO0381604934"/>
    <s v="EUR"/>
    <x v="6"/>
    <x v="71"/>
    <d v="2022-06-02T00:00:00"/>
    <d v="2022-06-01T00:00:00"/>
    <n v="-0.8"/>
    <n v="0.8"/>
    <m/>
    <s v="Kosten"/>
    <x v="5"/>
    <x v="13"/>
    <x v="74"/>
  </r>
  <r>
    <n v="202208012"/>
    <s v="NL22RABO0381604934"/>
    <s v="EUR"/>
    <x v="6"/>
    <x v="71"/>
    <d v="2022-06-02T00:00:00"/>
    <d v="2022-06-01T00:00:00"/>
    <n v="-5.65"/>
    <n v="5.65"/>
    <m/>
    <s v="Kosten"/>
    <x v="5"/>
    <x v="13"/>
    <x v="74"/>
  </r>
  <r>
    <n v="202208036"/>
    <s v="NL22RABO0381604934"/>
    <s v="EUR"/>
    <x v="6"/>
    <x v="71"/>
    <d v="2022-06-20T00:00:00"/>
    <d v="2022-06-20T00:00:00"/>
    <n v="-6"/>
    <n v="6"/>
    <s v="NL28DEUT0265186439"/>
    <s v="STICHTING DERDENGELDEN BUCKAROO"/>
    <x v="5"/>
    <x v="13"/>
    <x v="87"/>
  </r>
  <r>
    <n v="202208037"/>
    <s v="NL22RABO0381604934"/>
    <s v="EUR"/>
    <x v="6"/>
    <x v="71"/>
    <d v="2022-06-20T00:00:00"/>
    <d v="2022-06-20T00:00:00"/>
    <n v="111"/>
    <n v="111"/>
    <s v="NL86INGB0002445588"/>
    <s v="BELASTINGDIENST"/>
    <x v="5"/>
    <x v="13"/>
    <x v="82"/>
  </r>
  <r>
    <n v="202208039"/>
    <s v="NL22RABO0381604934"/>
    <s v="EUR"/>
    <x v="6"/>
    <x v="71"/>
    <d v="2022-06-22T00:00:00"/>
    <d v="2022-06-22T00:00:00"/>
    <n v="-9.99"/>
    <n v="9.99"/>
    <s v="DE14120700700090007583"/>
    <s v="Blendle B.V. by Stripe via PPRO"/>
    <x v="5"/>
    <x v="13"/>
    <x v="72"/>
  </r>
  <r>
    <n v="202208052"/>
    <s v="NL22RABO0381604934"/>
    <s v="EUR"/>
    <x v="6"/>
    <x v="72"/>
    <d v="2022-07-01T00:00:00"/>
    <d v="2022-07-01T00:00:00"/>
    <n v="-127.75"/>
    <n v="127.75"/>
    <s v="NL11RABO0343685310"/>
    <s v="D.S.W. Zorgverzekeraar"/>
    <x v="5"/>
    <x v="13"/>
    <x v="81"/>
  </r>
  <r>
    <n v="202208053"/>
    <s v="NL22RABO0381604934"/>
    <s v="EUR"/>
    <x v="6"/>
    <x v="72"/>
    <d v="2022-07-01T00:00:00"/>
    <d v="2022-07-01T00:00:00"/>
    <n v="-3.52"/>
    <n v="3.52"/>
    <s v="NL98INGB0002712510"/>
    <s v="OHRA Schadeverzekeringen"/>
    <x v="5"/>
    <x v="13"/>
    <x v="80"/>
  </r>
  <r>
    <n v="202208054"/>
    <s v="NL22RABO0381604934"/>
    <s v="EUR"/>
    <x v="6"/>
    <x v="72"/>
    <d v="2022-07-02T00:00:00"/>
    <d v="2022-07-01T00:00:00"/>
    <n v="-0.8"/>
    <n v="0.8"/>
    <m/>
    <s v="Kosten"/>
    <x v="5"/>
    <x v="13"/>
    <x v="74"/>
  </r>
  <r>
    <n v="202208055"/>
    <s v="NL22RABO0381604934"/>
    <s v="EUR"/>
    <x v="6"/>
    <x v="72"/>
    <d v="2022-07-02T00:00:00"/>
    <d v="2022-07-01T00:00:00"/>
    <n v="-5.65"/>
    <n v="5.65"/>
    <m/>
    <s v="Kosten"/>
    <x v="5"/>
    <x v="13"/>
    <x v="74"/>
  </r>
  <r>
    <n v="202208081"/>
    <s v="NL22RABO0381604934"/>
    <s v="EUR"/>
    <x v="6"/>
    <x v="72"/>
    <d v="2022-07-20T00:00:00"/>
    <d v="2022-07-20T00:00:00"/>
    <n v="-9.99"/>
    <n v="9.99"/>
    <s v="DE14120700700090007583"/>
    <s v="Blendle B.V. by Stripe via PPRO"/>
    <x v="5"/>
    <x v="13"/>
    <x v="72"/>
  </r>
  <r>
    <n v="202208082"/>
    <s v="NL22RABO0381604934"/>
    <s v="EUR"/>
    <x v="6"/>
    <x v="72"/>
    <d v="2022-07-20T00:00:00"/>
    <d v="2022-07-20T00:00:00"/>
    <n v="-6"/>
    <n v="6"/>
    <s v="NL28DEUT0265186439"/>
    <s v="STICHTING DERDENGELDEN BUCKAROO"/>
    <x v="5"/>
    <x v="13"/>
    <x v="87"/>
  </r>
  <r>
    <n v="202208083"/>
    <s v="NL22RABO0381604934"/>
    <s v="EUR"/>
    <x v="6"/>
    <x v="72"/>
    <d v="2022-07-20T00:00:00"/>
    <d v="2022-07-20T00:00:00"/>
    <n v="111"/>
    <n v="111"/>
    <s v="NL86INGB0002445588"/>
    <s v="BELASTINGDIENST"/>
    <x v="5"/>
    <x v="13"/>
    <x v="82"/>
  </r>
  <r>
    <n v="202208094"/>
    <s v="NL22RABO0381604934"/>
    <s v="EUR"/>
    <x v="6"/>
    <x v="72"/>
    <d v="2022-07-26T00:00:00"/>
    <d v="2022-07-26T00:00:00"/>
    <n v="-46.33"/>
    <n v="46.33"/>
    <s v="NL84COBA0733959520"/>
    <s v="TELE2"/>
    <x v="5"/>
    <x v="13"/>
    <x v="70"/>
  </r>
  <r>
    <n v="202208103"/>
    <s v="NL22RABO0381604934"/>
    <s v="EUR"/>
    <x v="6"/>
    <x v="72"/>
    <d v="2022-07-28T00:00:00"/>
    <d v="2022-07-28T00:00:00"/>
    <n v="-4.33"/>
    <n v="4.33"/>
    <m/>
    <s v="Holland &amp; Barrett VENLO"/>
    <x v="5"/>
    <x v="13"/>
    <x v="84"/>
  </r>
  <r>
    <n v="202208114"/>
    <s v="NL22RABO0381604934"/>
    <s v="EUR"/>
    <x v="6"/>
    <x v="40"/>
    <d v="2022-08-01T00:00:00"/>
    <d v="2022-08-01T00:00:00"/>
    <n v="-127.75"/>
    <n v="127.75"/>
    <s v="NL11RABO0343685310"/>
    <s v="D.S.W. Zorgverzekeraar"/>
    <x v="5"/>
    <x v="13"/>
    <x v="81"/>
  </r>
  <r>
    <n v="202208115"/>
    <s v="NL22RABO0381604934"/>
    <s v="EUR"/>
    <x v="6"/>
    <x v="40"/>
    <d v="2022-08-01T00:00:00"/>
    <d v="2022-08-01T00:00:00"/>
    <n v="-3.52"/>
    <n v="3.52"/>
    <s v="NL98INGB0002712510"/>
    <s v="OHRA Schadeverzekeringen"/>
    <x v="5"/>
    <x v="13"/>
    <x v="80"/>
  </r>
  <r>
    <n v="202208117"/>
    <s v="NL22RABO0381604934"/>
    <s v="EUR"/>
    <x v="6"/>
    <x v="40"/>
    <d v="2022-08-02T00:00:00"/>
    <d v="2022-08-01T00:00:00"/>
    <n v="-0.8"/>
    <n v="0.8"/>
    <m/>
    <s v="Kosten"/>
    <x v="5"/>
    <x v="13"/>
    <x v="74"/>
  </r>
  <r>
    <n v="202208118"/>
    <s v="NL22RABO0381604934"/>
    <s v="EUR"/>
    <x v="6"/>
    <x v="40"/>
    <d v="2022-08-02T00:00:00"/>
    <d v="2022-08-01T00:00:00"/>
    <n v="-2.25"/>
    <n v="2.25"/>
    <m/>
    <s v="Kosten"/>
    <x v="5"/>
    <x v="13"/>
    <x v="74"/>
  </r>
  <r>
    <n v="202208119"/>
    <s v="NL22RABO0381604934"/>
    <s v="EUR"/>
    <x v="6"/>
    <x v="40"/>
    <d v="2022-08-02T00:00:00"/>
    <d v="2022-08-01T00:00:00"/>
    <n v="-5.65"/>
    <n v="5.65"/>
    <m/>
    <s v="Kosten"/>
    <x v="5"/>
    <x v="13"/>
    <x v="74"/>
  </r>
  <r>
    <n v="202208150"/>
    <s v="NL22RABO0381604934"/>
    <s v="EUR"/>
    <x v="6"/>
    <x v="40"/>
    <d v="2022-08-18T00:00:00"/>
    <d v="2022-08-18T00:00:00"/>
    <n v="-6"/>
    <n v="6"/>
    <s v="NL28DEUT0265186439"/>
    <s v="STICHTING DERDENGELDEN BUCKAROO"/>
    <x v="5"/>
    <x v="13"/>
    <x v="87"/>
  </r>
  <r>
    <n v="202208159"/>
    <s v="NL22RABO0381604934"/>
    <s v="EUR"/>
    <x v="6"/>
    <x v="40"/>
    <d v="2022-08-22T00:00:00"/>
    <d v="2022-08-22T00:00:00"/>
    <n v="-9.99"/>
    <n v="9.99"/>
    <s v="DE14120700700090007583"/>
    <s v="Blendle B.V. by Stripe via PPRO"/>
    <x v="5"/>
    <x v="13"/>
    <x v="72"/>
  </r>
  <r>
    <n v="202208160"/>
    <s v="NL22RABO0381604934"/>
    <s v="EUR"/>
    <x v="6"/>
    <x v="40"/>
    <d v="2022-08-22T00:00:00"/>
    <d v="2022-08-22T00:00:00"/>
    <n v="112"/>
    <n v="112"/>
    <s v="NL86INGB0002445588"/>
    <s v="BELASTINGDIENST"/>
    <x v="5"/>
    <x v="13"/>
    <x v="82"/>
  </r>
  <r>
    <n v="202208161"/>
    <s v="NL22RABO0381604934"/>
    <s v="EUR"/>
    <x v="6"/>
    <x v="40"/>
    <d v="2022-08-25T00:00:00"/>
    <d v="2022-08-22T00:00:00"/>
    <n v="-27"/>
    <n v="27"/>
    <m/>
    <s v="Tele2"/>
    <x v="5"/>
    <x v="13"/>
    <x v="70"/>
  </r>
  <r>
    <n v="202208168"/>
    <s v="RABO GOLD CARD"/>
    <m/>
    <x v="6"/>
    <x v="32"/>
    <d v="2022-05-23T00:00:00"/>
    <d v="2022-05-23T00:00:00"/>
    <n v="-7"/>
    <n v="7"/>
    <m/>
    <s v="PAYPAL *MICROSOFT MICR 35314369001 GBR"/>
    <x v="5"/>
    <x v="13"/>
    <x v="73"/>
  </r>
  <r>
    <n v="202208170"/>
    <s v="RABO GOLD CARD"/>
    <m/>
    <x v="6"/>
    <x v="71"/>
    <d v="2022-06-04T00:00:00"/>
    <d v="2022-06-04T00:00:00"/>
    <n v="-4.99"/>
    <n v="4.99"/>
    <m/>
    <s v="GOOGLE *Google Play Ap g.co/HelpPay"/>
    <x v="5"/>
    <x v="13"/>
    <x v="84"/>
  </r>
  <r>
    <n v="202208171"/>
    <s v="RABO GOLD CARD"/>
    <m/>
    <x v="6"/>
    <x v="71"/>
    <d v="2022-06-18T00:00:00"/>
    <d v="2022-06-18T00:00:00"/>
    <n v="-2.99"/>
    <n v="2.99"/>
    <m/>
    <s v="GOOGLE*GOOGLE STORAGE IRELAND IRL"/>
    <x v="5"/>
    <x v="13"/>
    <x v="83"/>
  </r>
  <r>
    <n v="202208172"/>
    <s v="RABO GOLD CARD"/>
    <m/>
    <x v="6"/>
    <x v="71"/>
    <d v="2022-06-23T00:00:00"/>
    <d v="2022-06-23T00:00:00"/>
    <n v="-7"/>
    <n v="7"/>
    <m/>
    <s v="PAYPAL *MICROSOFT MICR 35314369001 GBR"/>
    <x v="5"/>
    <x v="13"/>
    <x v="73"/>
  </r>
  <r>
    <n v="202208174"/>
    <s v="RABO GOLD CARD"/>
    <m/>
    <x v="6"/>
    <x v="72"/>
    <d v="2022-07-03T00:00:00"/>
    <d v="2022-07-03T00:00:00"/>
    <n v="-4.99"/>
    <n v="4.99"/>
    <m/>
    <s v="GOOGLE*GOOGLE PLAY APP IRELAND IRL"/>
    <x v="5"/>
    <x v="13"/>
    <x v="84"/>
  </r>
  <r>
    <n v="202208177"/>
    <s v="RABO GOLD CARD"/>
    <m/>
    <x v="6"/>
    <x v="72"/>
    <d v="2022-07-20T00:00:00"/>
    <d v="2022-07-20T00:00:00"/>
    <n v="-2.99"/>
    <n v="2.99"/>
    <m/>
    <s v="GOOGLE *Google Storage g.co/HelpPay"/>
    <x v="5"/>
    <x v="13"/>
    <x v="83"/>
  </r>
  <r>
    <n v="202208180"/>
    <s v="RABO GOLD CARD"/>
    <m/>
    <x v="6"/>
    <x v="72"/>
    <d v="2022-07-23T00:00:00"/>
    <d v="2022-07-23T00:00:00"/>
    <n v="-7"/>
    <n v="7"/>
    <m/>
    <s v="PAYPAL *MICROSOFT MICR 35314369001 GBR"/>
    <x v="5"/>
    <x v="13"/>
    <x v="73"/>
  </r>
  <r>
    <n v="202208181"/>
    <s v="RABO GOLD CARD"/>
    <m/>
    <x v="6"/>
    <x v="40"/>
    <d v="2022-08-04T00:00:00"/>
    <d v="2022-08-04T00:00:00"/>
    <n v="-4.99"/>
    <n v="4.99"/>
    <m/>
    <s v="GOOGLE *Google Play Ap g.co/HelpPay"/>
    <x v="5"/>
    <x v="13"/>
    <x v="84"/>
  </r>
  <r>
    <n v="202208185"/>
    <s v="RABO GOLD CARD"/>
    <m/>
    <x v="6"/>
    <x v="40"/>
    <d v="2022-08-19T00:00:00"/>
    <d v="2022-08-19T00:00:00"/>
    <n v="-2.99"/>
    <n v="2.99"/>
    <m/>
    <s v="GOOGLE *Google Storage g.co/HelpPay"/>
    <x v="5"/>
    <x v="13"/>
    <x v="83"/>
  </r>
  <r>
    <n v="202208186"/>
    <s v="RABO GOLD CARD"/>
    <m/>
    <x v="6"/>
    <x v="40"/>
    <d v="2022-08-23T00:00:00"/>
    <d v="2022-08-23T00:00:00"/>
    <n v="-7"/>
    <n v="7"/>
    <m/>
    <s v="PAYPAL *MICROSOFT MICR 35314369001 GBR"/>
    <x v="5"/>
    <x v="13"/>
    <x v="73"/>
  </r>
  <r>
    <n v="202210009"/>
    <s v="NL22RABO0381604934"/>
    <s v="EUR"/>
    <x v="6"/>
    <x v="73"/>
    <d v="2022-09-01T00:00:00"/>
    <d v="2022-09-01T00:00:00"/>
    <n v="-127.75"/>
    <n v="127.75"/>
    <s v="NL11RABO0343685310"/>
    <s v="D.S.W. Zorgverzekeraar"/>
    <x v="5"/>
    <x v="13"/>
    <x v="81"/>
  </r>
  <r>
    <n v="202210010"/>
    <s v="NL22RABO0381604934"/>
    <s v="EUR"/>
    <x v="6"/>
    <x v="73"/>
    <d v="2022-09-01T00:00:00"/>
    <d v="2022-09-01T00:00:00"/>
    <n v="-3.52"/>
    <n v="3.52"/>
    <s v="NL98INGB0002712510"/>
    <s v="OHRA Schadeverzekeringen"/>
    <x v="5"/>
    <x v="13"/>
    <x v="80"/>
  </r>
  <r>
    <n v="202210011"/>
    <s v="NL22RABO0381604934"/>
    <s v="EUR"/>
    <x v="6"/>
    <x v="73"/>
    <d v="2022-09-02T00:00:00"/>
    <d v="2022-09-01T00:00:00"/>
    <n v="-0.8"/>
    <n v="0.8"/>
    <m/>
    <s v="Kosten"/>
    <x v="5"/>
    <x v="13"/>
    <x v="74"/>
  </r>
  <r>
    <n v="202210012"/>
    <s v="NL22RABO0381604934"/>
    <s v="EUR"/>
    <x v="6"/>
    <x v="73"/>
    <d v="2022-09-02T00:00:00"/>
    <d v="2022-09-01T00:00:00"/>
    <n v="-5.65"/>
    <n v="5.65"/>
    <m/>
    <s v="Kosten"/>
    <x v="5"/>
    <x v="13"/>
    <x v="74"/>
  </r>
  <r>
    <n v="202210034"/>
    <s v="NL22RABO0381604934"/>
    <s v="EUR"/>
    <x v="6"/>
    <x v="73"/>
    <d v="2022-09-19T00:00:00"/>
    <d v="2022-09-19T00:00:00"/>
    <n v="-6"/>
    <n v="6"/>
    <s v="NL28DEUT0265186439"/>
    <s v="STICHTING DERDENGELDEN BUCKAROO"/>
    <x v="5"/>
    <x v="13"/>
    <x v="87"/>
  </r>
  <r>
    <n v="202210035"/>
    <s v="NL22RABO0381604934"/>
    <s v="EUR"/>
    <x v="6"/>
    <x v="73"/>
    <d v="2022-09-20T00:00:00"/>
    <d v="2022-09-20T00:00:00"/>
    <n v="112"/>
    <n v="112"/>
    <s v="NL86INGB0002445588"/>
    <s v="BELASTINGDIENST"/>
    <x v="5"/>
    <x v="13"/>
    <x v="82"/>
  </r>
  <r>
    <n v="202210037"/>
    <s v="NL22RABO0381604934"/>
    <s v="EUR"/>
    <x v="6"/>
    <x v="73"/>
    <d v="2022-09-21T00:00:00"/>
    <d v="2022-09-21T00:00:00"/>
    <n v="-9.99"/>
    <n v="9.99"/>
    <s v="DE14120700700090007583"/>
    <s v="Blendle B.V. by Stripe via PPRO"/>
    <x v="5"/>
    <x v="13"/>
    <x v="72"/>
  </r>
  <r>
    <n v="202210043"/>
    <s v="NL22RABO0381604934"/>
    <s v="EUR"/>
    <x v="6"/>
    <x v="73"/>
    <d v="2022-09-26T00:00:00"/>
    <d v="2022-09-26T00:00:00"/>
    <n v="-20"/>
    <n v="20"/>
    <s v="NL40TRIO0198396716"/>
    <s v="N.V.V."/>
    <x v="5"/>
    <x v="13"/>
    <x v="89"/>
  </r>
  <r>
    <n v="202210046"/>
    <s v="NL22RABO0381604934"/>
    <s v="EUR"/>
    <x v="6"/>
    <x v="73"/>
    <d v="2022-09-27T00:00:00"/>
    <d v="2022-09-27T00:00:00"/>
    <n v="-27"/>
    <n v="27"/>
    <s v="NL84COBA0733959520"/>
    <s v="TELE2"/>
    <x v="5"/>
    <x v="13"/>
    <x v="70"/>
  </r>
  <r>
    <n v="202210055"/>
    <s v="RABO GOLD CARD"/>
    <s v="EUR"/>
    <x v="6"/>
    <x v="73"/>
    <d v="2022-09-04T00:00:00"/>
    <m/>
    <n v="-4.99"/>
    <n v="4.99"/>
    <m/>
    <s v="Google Payment IE LTD GooDublin       IRL"/>
    <x v="5"/>
    <x v="13"/>
    <x v="84"/>
  </r>
  <r>
    <n v="202210057"/>
    <s v="RABO GOLD CARD"/>
    <s v="EUR"/>
    <x v="6"/>
    <x v="72"/>
    <d v="2022-09-18T00:00:00"/>
    <m/>
    <n v="-2.99"/>
    <n v="2.99"/>
    <m/>
    <s v="GOOGLE*GOOGLE STORAGE    IRELAND      IRL"/>
    <x v="5"/>
    <x v="13"/>
    <x v="83"/>
  </r>
  <r>
    <n v="202210058"/>
    <s v="RABO GOLD CARD"/>
    <s v="EUR"/>
    <x v="6"/>
    <x v="73"/>
    <d v="2022-09-23T00:00:00"/>
    <m/>
    <n v="-7"/>
    <n v="7"/>
    <m/>
    <s v="PAYPAL *MICROSOFT MICR   35314369001  GBR"/>
    <x v="5"/>
    <x v="13"/>
    <x v="73"/>
  </r>
  <r>
    <n v="202301001"/>
    <s v="NL22RABO0381604934"/>
    <s v="EUR"/>
    <x v="6"/>
    <x v="34"/>
    <d v="2022-10-03T00:00:00"/>
    <d v="2022-10-03T00:00:00"/>
    <n v="-127.75"/>
    <m/>
    <s v="NL11RABO0343685310"/>
    <s v="D.S.W. Zorgverzekeraar"/>
    <x v="5"/>
    <x v="13"/>
    <x v="81"/>
  </r>
  <r>
    <n v="202301002"/>
    <s v="NL22RABO0381604934"/>
    <s v="EUR"/>
    <x v="6"/>
    <x v="34"/>
    <d v="2022-10-03T00:00:00"/>
    <d v="2022-10-03T00:00:00"/>
    <n v="-3.52"/>
    <m/>
    <s v="NL98INGB0002712510"/>
    <s v="OHRA Schadeverzekeringen"/>
    <x v="5"/>
    <x v="13"/>
    <x v="80"/>
  </r>
  <r>
    <n v="202301006"/>
    <s v="NL22RABO0381604934"/>
    <s v="EUR"/>
    <x v="6"/>
    <x v="34"/>
    <d v="2022-10-04T00:00:00"/>
    <d v="2022-10-01T00:00:00"/>
    <n v="-0.8"/>
    <m/>
    <m/>
    <s v="Kosten"/>
    <x v="5"/>
    <x v="13"/>
    <x v="74"/>
  </r>
  <r>
    <n v="202301007"/>
    <s v="NL22RABO0381604934"/>
    <s v="EUR"/>
    <x v="6"/>
    <x v="34"/>
    <d v="2022-10-04T00:00:00"/>
    <d v="2022-10-01T00:00:00"/>
    <n v="-5.65"/>
    <m/>
    <m/>
    <s v="Kosten"/>
    <x v="5"/>
    <x v="13"/>
    <x v="74"/>
  </r>
  <r>
    <n v="202301017"/>
    <s v="NL22RABO0381604934"/>
    <s v="EUR"/>
    <x v="6"/>
    <x v="34"/>
    <d v="2022-10-10T00:00:00"/>
    <d v="2022-10-10T00:00:00"/>
    <n v="-10"/>
    <m/>
    <s v="NL46RABO0306722054"/>
    <s v="Vesta Payment Solutions"/>
    <x v="5"/>
    <x v="13"/>
    <x v="70"/>
  </r>
  <r>
    <n v="202301033"/>
    <s v="NL22RABO0381604934"/>
    <s v="EUR"/>
    <x v="6"/>
    <x v="34"/>
    <d v="2022-10-19T00:00:00"/>
    <d v="2022-10-19T00:00:00"/>
    <n v="-6"/>
    <m/>
    <s v="NL28DEUT0265186439"/>
    <s v="STICHTING DERDENGELDEN BUCKAROO"/>
    <x v="5"/>
    <x v="13"/>
    <x v="87"/>
  </r>
  <r>
    <n v="202301034"/>
    <s v="NL22RABO0381604934"/>
    <s v="EUR"/>
    <x v="6"/>
    <x v="34"/>
    <d v="2022-10-20T00:00:00"/>
    <d v="2022-10-20T00:00:00"/>
    <n v="-9.99"/>
    <m/>
    <s v="DE14120700700090007583"/>
    <s v="Blendle B.V. by Stripe via PPRO"/>
    <x v="5"/>
    <x v="13"/>
    <x v="72"/>
  </r>
  <r>
    <n v="202301035"/>
    <s v="NL22RABO0381604934"/>
    <s v="EUR"/>
    <x v="6"/>
    <x v="34"/>
    <d v="2022-10-20T00:00:00"/>
    <d v="2022-10-20T00:00:00"/>
    <n v="112"/>
    <m/>
    <s v="NL86INGB0002445588"/>
    <s v="BELASTINGDIENST"/>
    <x v="5"/>
    <x v="13"/>
    <x v="82"/>
  </r>
  <r>
    <n v="202301037"/>
    <s v="NL22RABO0381604934"/>
    <s v="EUR"/>
    <x v="6"/>
    <x v="34"/>
    <d v="2022-10-25T00:00:00"/>
    <d v="2022-10-25T00:00:00"/>
    <n v="-27"/>
    <m/>
    <s v="NL84COBA0733959520"/>
    <s v="TELE2"/>
    <x v="5"/>
    <x v="13"/>
    <x v="70"/>
  </r>
  <r>
    <n v="202301040"/>
    <s v="NL22RABO0381604934"/>
    <s v="EUR"/>
    <x v="6"/>
    <x v="35"/>
    <d v="2022-11-01T00:00:00"/>
    <d v="2022-11-01T00:00:00"/>
    <n v="-127.75"/>
    <m/>
    <s v="NL11RABO0343685310"/>
    <s v="D.S.W. Zorgverzekeraar"/>
    <x v="5"/>
    <x v="13"/>
    <x v="81"/>
  </r>
  <r>
    <n v="202301041"/>
    <s v="NL22RABO0381604934"/>
    <s v="EUR"/>
    <x v="6"/>
    <x v="35"/>
    <d v="2022-11-01T00:00:00"/>
    <d v="2022-11-01T00:00:00"/>
    <n v="-3.52"/>
    <m/>
    <s v="NL98INGB0002712510"/>
    <s v="OHRA Schadeverzekeringen"/>
    <x v="5"/>
    <x v="13"/>
    <x v="80"/>
  </r>
  <r>
    <n v="202301042"/>
    <s v="NL22RABO0381604934"/>
    <s v="EUR"/>
    <x v="6"/>
    <x v="35"/>
    <d v="2022-11-02T00:00:00"/>
    <d v="2022-11-01T00:00:00"/>
    <n v="-0.8"/>
    <m/>
    <m/>
    <s v="Kosten"/>
    <x v="5"/>
    <x v="13"/>
    <x v="74"/>
  </r>
  <r>
    <n v="202301043"/>
    <s v="NL22RABO0381604934"/>
    <s v="EUR"/>
    <x v="6"/>
    <x v="35"/>
    <d v="2022-11-02T00:00:00"/>
    <d v="2022-11-01T00:00:00"/>
    <n v="-5.65"/>
    <m/>
    <m/>
    <s v="Kosten"/>
    <x v="5"/>
    <x v="13"/>
    <x v="74"/>
  </r>
  <r>
    <n v="202301068"/>
    <s v="NL22RABO0381604934"/>
    <s v="EUR"/>
    <x v="6"/>
    <x v="35"/>
    <d v="2022-11-17T00:00:00"/>
    <d v="2022-11-17T00:00:00"/>
    <n v="-6"/>
    <m/>
    <s v="NL28DEUT0265186439"/>
    <s v="STICHTING DERDENGELDEN BUCKAROO"/>
    <x v="5"/>
    <x v="13"/>
    <x v="87"/>
  </r>
  <r>
    <n v="202301070"/>
    <s v="NL22RABO0381604934"/>
    <s v="EUR"/>
    <x v="6"/>
    <x v="35"/>
    <d v="2022-11-21T00:00:00"/>
    <d v="2022-11-21T00:00:00"/>
    <n v="112"/>
    <m/>
    <s v="NL86INGB0002445588"/>
    <s v="BELASTINGDIENST"/>
    <x v="5"/>
    <x v="13"/>
    <x v="82"/>
  </r>
  <r>
    <n v="202301074"/>
    <s v="NL22RABO0381604934"/>
    <s v="EUR"/>
    <x v="6"/>
    <x v="35"/>
    <d v="2022-11-22T00:00:00"/>
    <d v="2022-11-22T00:00:00"/>
    <n v="-20"/>
    <m/>
    <s v="NL94TRIO0212486934"/>
    <s v="Partij voor de Dieren"/>
    <x v="5"/>
    <x v="13"/>
    <x v="90"/>
  </r>
  <r>
    <n v="202301075"/>
    <s v="NL22RABO0381604934"/>
    <s v="EUR"/>
    <x v="6"/>
    <x v="35"/>
    <d v="2022-11-22T00:00:00"/>
    <d v="2022-11-22T00:00:00"/>
    <n v="-9.99"/>
    <m/>
    <s v="DE14120700700090007583"/>
    <s v="Blendle B.V. by Stripe via PPRO"/>
    <x v="5"/>
    <x v="13"/>
    <x v="72"/>
  </r>
  <r>
    <n v="202301078"/>
    <s v="NL22RABO0381604934"/>
    <s v="EUR"/>
    <x v="6"/>
    <x v="35"/>
    <d v="2022-11-25T00:00:00"/>
    <d v="2022-11-25T00:00:00"/>
    <n v="-7.84"/>
    <m/>
    <s v="NL84COBA0733959520"/>
    <s v="TELE2"/>
    <x v="5"/>
    <x v="13"/>
    <x v="70"/>
  </r>
  <r>
    <n v="202301081"/>
    <s v="NL22RABO0381604934"/>
    <s v="EUR"/>
    <x v="6"/>
    <x v="33"/>
    <d v="2022-12-01T00:00:00"/>
    <d v="2022-12-01T00:00:00"/>
    <n v="-127.75"/>
    <m/>
    <s v="NL11RABO0343685310"/>
    <s v="D.S.W. Zorgverzekeraar"/>
    <x v="5"/>
    <x v="13"/>
    <x v="81"/>
  </r>
  <r>
    <n v="202301082"/>
    <s v="NL22RABO0381604934"/>
    <s v="EUR"/>
    <x v="6"/>
    <x v="33"/>
    <d v="2022-12-01T00:00:00"/>
    <d v="2022-12-01T00:00:00"/>
    <n v="-3.52"/>
    <m/>
    <s v="NL98INGB0002712510"/>
    <s v="OHRA Schadeverzekeringen"/>
    <x v="5"/>
    <x v="13"/>
    <x v="80"/>
  </r>
  <r>
    <n v="202301084"/>
    <s v="NL22RABO0381604934"/>
    <s v="EUR"/>
    <x v="6"/>
    <x v="33"/>
    <d v="2022-12-02T00:00:00"/>
    <d v="2022-12-01T00:00:00"/>
    <n v="-0.8"/>
    <m/>
    <m/>
    <s v="Kosten"/>
    <x v="5"/>
    <x v="13"/>
    <x v="74"/>
  </r>
  <r>
    <n v="202301085"/>
    <s v="NL22RABO0381604934"/>
    <s v="EUR"/>
    <x v="6"/>
    <x v="33"/>
    <d v="2022-12-02T00:00:00"/>
    <d v="2022-12-01T00:00:00"/>
    <n v="-5.65"/>
    <m/>
    <m/>
    <s v="Kosten"/>
    <x v="5"/>
    <x v="13"/>
    <x v="74"/>
  </r>
  <r>
    <n v="202301089"/>
    <s v="NL22RABO0381604934"/>
    <s v="EUR"/>
    <x v="6"/>
    <x v="33"/>
    <d v="2022-12-20T00:00:00"/>
    <d v="2022-12-20T00:00:00"/>
    <n v="-6"/>
    <m/>
    <s v="NL28DEUT0265186439"/>
    <s v="STICHTING DERDENGELDEN BUCKAROO"/>
    <x v="5"/>
    <x v="13"/>
    <x v="87"/>
  </r>
  <r>
    <n v="202301090"/>
    <s v="NL22RABO0381604934"/>
    <s v="EUR"/>
    <x v="6"/>
    <x v="33"/>
    <d v="2022-12-20T00:00:00"/>
    <d v="2022-12-20T00:00:00"/>
    <n v="154"/>
    <m/>
    <s v="NL86INGB0002445588"/>
    <s v="BELASTINGDIENST"/>
    <x v="5"/>
    <x v="13"/>
    <x v="82"/>
  </r>
  <r>
    <n v="202301091"/>
    <s v="NL22RABO0381604934"/>
    <s v="EUR"/>
    <x v="6"/>
    <x v="33"/>
    <d v="2022-12-21T00:00:00"/>
    <d v="2022-12-21T00:00:00"/>
    <n v="-9.99"/>
    <m/>
    <s v="DE14120700700090007583"/>
    <s v="Blendle B.V. by Stripe via PPRO"/>
    <x v="5"/>
    <x v="13"/>
    <x v="72"/>
  </r>
  <r>
    <n v="202301103"/>
    <s v="RABO GOLD CARD"/>
    <m/>
    <x v="6"/>
    <x v="34"/>
    <d v="2022-10-04T00:00:00"/>
    <m/>
    <n v="-4.99"/>
    <m/>
    <m/>
    <s v="Google Payment IE LTD GooDublin       IRL"/>
    <x v="5"/>
    <x v="13"/>
    <x v="84"/>
  </r>
  <r>
    <n v="202301106"/>
    <s v="RABO GOLD CARD"/>
    <m/>
    <x v="6"/>
    <x v="34"/>
    <d v="2022-10-14T00:00:00"/>
    <m/>
    <n v="-4.5"/>
    <m/>
    <m/>
    <s v="Kosten geldautomaat"/>
    <x v="5"/>
    <x v="13"/>
    <x v="74"/>
  </r>
  <r>
    <n v="202301108"/>
    <s v="RABO GOLD CARD"/>
    <m/>
    <x v="6"/>
    <x v="34"/>
    <d v="2022-10-19T00:00:00"/>
    <m/>
    <n v="-2.99"/>
    <m/>
    <m/>
    <s v="Google Payment IE LTD GooDublin       IRL"/>
    <x v="5"/>
    <x v="13"/>
    <x v="83"/>
  </r>
  <r>
    <n v="202301114"/>
    <s v="RABO GOLD CARD"/>
    <m/>
    <x v="6"/>
    <x v="35"/>
    <d v="2022-11-03T00:00:00"/>
    <m/>
    <n v="-4.99"/>
    <m/>
    <m/>
    <s v="GOOGLE*GOOGLE PLAY APP   IRELAND      IRL"/>
    <x v="5"/>
    <x v="13"/>
    <x v="84"/>
  </r>
  <r>
    <n v="202301119"/>
    <s v="RABO GOLD CARD"/>
    <m/>
    <x v="6"/>
    <x v="35"/>
    <d v="2022-11-18T00:00:00"/>
    <m/>
    <n v="-2.99"/>
    <m/>
    <m/>
    <s v="GOOGLE*GOOGLE STORAGE    IRELAND      IRL"/>
    <x v="5"/>
    <x v="13"/>
    <x v="83"/>
  </r>
  <r>
    <n v="202301123"/>
    <s v="RABO GOLD CARD"/>
    <m/>
    <x v="6"/>
    <x v="33"/>
    <d v="2022-12-03T00:00:00"/>
    <m/>
    <n v="-4.99"/>
    <m/>
    <m/>
    <s v="GOOGLE*GOOGLE PLAY APP   IRELAND      IRL"/>
    <x v="5"/>
    <x v="13"/>
    <x v="84"/>
  </r>
  <r>
    <n v="202301126"/>
    <s v="RABO GOLD CARD"/>
    <m/>
    <x v="6"/>
    <x v="33"/>
    <d v="2022-12-19T00:00:00"/>
    <m/>
    <n v="-2.99"/>
    <m/>
    <m/>
    <s v="GOOGLE *Google Storage   g.co/HelpPay#IRL"/>
    <x v="5"/>
    <x v="13"/>
    <x v="83"/>
  </r>
  <r>
    <n v="202301127"/>
    <s v="RABO GOLD CARD"/>
    <m/>
    <x v="6"/>
    <x v="33"/>
    <d v="2022-12-23T00:00:00"/>
    <m/>
    <n v="-1.66"/>
    <m/>
    <m/>
    <s v="PAYPAL *MICROSOFT        35314369001  GBR"/>
    <x v="5"/>
    <x v="13"/>
    <x v="73"/>
  </r>
  <r>
    <n v="202305001"/>
    <s v="NL22RABO0381604934"/>
    <s v="EUR"/>
    <x v="0"/>
    <x v="42"/>
    <d v="2023-01-02T00:00:00"/>
    <d v="2023-01-02T00:00:00"/>
    <n v="-3.52"/>
    <n v="149.83000000000001"/>
    <s v="NL98INGB0002712510"/>
    <s v="OHRA Schadeverzekeringen"/>
    <x v="5"/>
    <x v="13"/>
    <x v="80"/>
  </r>
  <r>
    <n v="202305003"/>
    <s v="NL22RABO0381604934"/>
    <s v="EUR"/>
    <x v="0"/>
    <x v="42"/>
    <d v="2023-01-03T00:00:00"/>
    <d v="2023-01-01T00:00:00"/>
    <n v="-0.8"/>
    <n v="80.91"/>
    <m/>
    <s v="Kosten"/>
    <x v="5"/>
    <x v="13"/>
    <x v="74"/>
  </r>
  <r>
    <n v="202305004"/>
    <s v="NL22RABO0381604934"/>
    <s v="EUR"/>
    <x v="0"/>
    <x v="42"/>
    <d v="2023-01-03T00:00:00"/>
    <d v="2023-01-01T00:00:00"/>
    <n v="-5.65"/>
    <n v="75.260000000000005"/>
    <m/>
    <s v="Kosten"/>
    <x v="5"/>
    <x v="13"/>
    <x v="74"/>
  </r>
  <r>
    <n v="202305006"/>
    <s v="NL22RABO0381604934"/>
    <s v="EUR"/>
    <x v="0"/>
    <x v="42"/>
    <d v="2023-01-06T00:00:00"/>
    <d v="2023-01-06T00:00:00"/>
    <n v="-137.5"/>
    <n v="-44.51"/>
    <s v="NL11RABO0343685310"/>
    <s v="D.S.W. Zorgverzekeraar"/>
    <x v="5"/>
    <x v="13"/>
    <x v="81"/>
  </r>
  <r>
    <n v="202305007"/>
    <s v="NL22RABO0381604934"/>
    <s v="EUR"/>
    <x v="0"/>
    <x v="42"/>
    <d v="2023-01-18T00:00:00"/>
    <d v="2023-01-18T00:00:00"/>
    <n v="-6"/>
    <n v="-50.51"/>
    <s v="NL28DEUT0265186439"/>
    <s v="STICHTING DERDENGELDEN BUCKAROO"/>
    <x v="5"/>
    <x v="13"/>
    <x v="87"/>
  </r>
  <r>
    <n v="202305010"/>
    <s v="NL22RABO0381604934"/>
    <s v="EUR"/>
    <x v="0"/>
    <x v="42"/>
    <d v="2023-01-20T00:00:00"/>
    <d v="2023-01-20T00:00:00"/>
    <n v="-9.99"/>
    <n v="405.65"/>
    <s v="IE30CITI99005132956548"/>
    <s v="BLENDLE"/>
    <x v="5"/>
    <x v="13"/>
    <x v="72"/>
  </r>
  <r>
    <n v="202305011"/>
    <s v="NL22RABO0381604934"/>
    <s v="EUR"/>
    <x v="0"/>
    <x v="42"/>
    <d v="2023-01-20T00:00:00"/>
    <d v="2023-01-20T00:00:00"/>
    <n v="-5"/>
    <n v="400.65"/>
    <s v="NL74INGB0004527327"/>
    <s v="STICHTING J O H O"/>
    <x v="5"/>
    <x v="13"/>
    <x v="15"/>
  </r>
  <r>
    <n v="202305012"/>
    <s v="NL22RABO0381604934"/>
    <s v="EUR"/>
    <x v="0"/>
    <x v="42"/>
    <d v="2023-01-20T00:00:00"/>
    <d v="2023-01-20T00:00:00"/>
    <n v="-67.2"/>
    <n v="333.45"/>
    <s v="NL14ABNA0576850675"/>
    <s v="NS GROEP IZ NS REIZIGERS"/>
    <x v="5"/>
    <x v="13"/>
    <x v="77"/>
  </r>
  <r>
    <n v="202305013"/>
    <s v="NL22RABO0381604934"/>
    <s v="EUR"/>
    <x v="0"/>
    <x v="42"/>
    <d v="2023-01-20T00:00:00"/>
    <d v="2023-01-20T00:00:00"/>
    <n v="154"/>
    <n v="487.45"/>
    <s v="NL86INGB0002445588"/>
    <s v="BELASTINGDIENST"/>
    <x v="5"/>
    <x v="13"/>
    <x v="82"/>
  </r>
  <r>
    <n v="202305015"/>
    <s v="NL22RABO0381604934"/>
    <s v="EUR"/>
    <x v="0"/>
    <x v="0"/>
    <d v="2023-02-01T00:00:00"/>
    <d v="2023-02-01T00:00:00"/>
    <n v="-137.5"/>
    <n v="341.97"/>
    <s v="NL11RABO0343685310"/>
    <s v="D.S.W. Zorgverzekeraar"/>
    <x v="5"/>
    <x v="13"/>
    <x v="81"/>
  </r>
  <r>
    <n v="202305016"/>
    <s v="NL22RABO0381604934"/>
    <s v="EUR"/>
    <x v="0"/>
    <x v="0"/>
    <d v="2023-02-01T00:00:00"/>
    <d v="2023-02-01T00:00:00"/>
    <n v="-3.52"/>
    <n v="338.45"/>
    <s v="NL98INGB0002712510"/>
    <s v="OHRA Schadeverzekeringen"/>
    <x v="5"/>
    <x v="13"/>
    <x v="80"/>
  </r>
  <r>
    <n v="202305018"/>
    <s v="NL22RABO0381604934"/>
    <s v="EUR"/>
    <x v="0"/>
    <x v="0"/>
    <d v="2023-02-02T00:00:00"/>
    <d v="2023-02-01T00:00:00"/>
    <n v="-0.13"/>
    <n v="270.2"/>
    <m/>
    <s v="Debetrente"/>
    <x v="5"/>
    <x v="13"/>
    <x v="74"/>
  </r>
  <r>
    <n v="202305019"/>
    <s v="NL22RABO0381604934"/>
    <s v="EUR"/>
    <x v="0"/>
    <x v="0"/>
    <d v="2023-02-02T00:00:00"/>
    <d v="2023-02-01T00:00:00"/>
    <n v="-0.8"/>
    <n v="269.39999999999998"/>
    <m/>
    <s v="Kosten"/>
    <x v="5"/>
    <x v="13"/>
    <x v="74"/>
  </r>
  <r>
    <n v="202305020"/>
    <s v="NL22RABO0381604934"/>
    <s v="EUR"/>
    <x v="0"/>
    <x v="0"/>
    <d v="2023-02-02T00:00:00"/>
    <d v="2023-02-01T00:00:00"/>
    <n v="-5.65"/>
    <n v="263.75"/>
    <m/>
    <s v="Kosten"/>
    <x v="5"/>
    <x v="13"/>
    <x v="74"/>
  </r>
  <r>
    <n v="202305021"/>
    <s v="NL22RABO0381604934"/>
    <s v="EUR"/>
    <x v="0"/>
    <x v="0"/>
    <d v="2023-02-17T00:00:00"/>
    <d v="2023-02-17T00:00:00"/>
    <n v="-6"/>
    <n v="257.75"/>
    <s v="NL28DEUT0265186439"/>
    <s v="STICHTING DERDENGELDEN BUCKAROO"/>
    <x v="5"/>
    <x v="13"/>
    <x v="87"/>
  </r>
  <r>
    <n v="202305023"/>
    <s v="NL22RABO0381604934"/>
    <s v="EUR"/>
    <x v="0"/>
    <x v="0"/>
    <d v="2023-02-20T00:00:00"/>
    <d v="2023-02-20T00:00:00"/>
    <n v="155"/>
    <n v="412.74"/>
    <s v="NL86INGB0002445588"/>
    <s v="BELASTINGDIENST"/>
    <x v="5"/>
    <x v="13"/>
    <x v="82"/>
  </r>
  <r>
    <n v="202305024"/>
    <s v="NL22RABO0381604934"/>
    <s v="EUR"/>
    <x v="0"/>
    <x v="0"/>
    <d v="2023-02-21T00:00:00"/>
    <d v="2023-02-21T00:00:00"/>
    <n v="-37"/>
    <n v="375.74"/>
    <s v="NL62ABNA0462625036"/>
    <s v="BUDGET MOBIEL"/>
    <x v="5"/>
    <x v="13"/>
    <x v="70"/>
  </r>
  <r>
    <n v="202305025"/>
    <s v="NL22RABO0381604934"/>
    <s v="EUR"/>
    <x v="0"/>
    <x v="0"/>
    <d v="2023-02-22T00:00:00"/>
    <d v="2023-02-22T00:00:00"/>
    <n v="-9.99"/>
    <n v="365.75"/>
    <s v="IE30CITI99005132956548"/>
    <s v="BLENDLE"/>
    <x v="5"/>
    <x v="13"/>
    <x v="72"/>
  </r>
  <r>
    <n v="202305030"/>
    <s v="NL22RABO0381604934"/>
    <s v="EUR"/>
    <x v="0"/>
    <x v="0"/>
    <d v="2023-02-28T00:00:00"/>
    <d v="2023-02-28T00:00:00"/>
    <n v="-37.5"/>
    <n v="294.98"/>
    <s v="NL11RABO0343685310"/>
    <s v="D.S.W. Zorgverzekeraar"/>
    <x v="5"/>
    <x v="13"/>
    <x v="91"/>
  </r>
  <r>
    <n v="202305035"/>
    <s v="NL22RABO0381604934"/>
    <s v="EUR"/>
    <x v="0"/>
    <x v="74"/>
    <d v="2023-03-01T00:00:00"/>
    <d v="2023-03-01T00:00:00"/>
    <n v="-137.5"/>
    <n v="25.45"/>
    <s v="NL11RABO0343685310"/>
    <s v="D.S.W. Zorgverzekeraar"/>
    <x v="5"/>
    <x v="13"/>
    <x v="81"/>
  </r>
  <r>
    <n v="202305036"/>
    <s v="NL22RABO0381604934"/>
    <s v="EUR"/>
    <x v="0"/>
    <x v="74"/>
    <d v="2023-03-01T00:00:00"/>
    <d v="2023-03-01T00:00:00"/>
    <n v="-3.52"/>
    <n v="21.93"/>
    <s v="NL98INGB0002712510"/>
    <s v="OHRA Schadeverzekeringen"/>
    <x v="5"/>
    <x v="13"/>
    <x v="80"/>
  </r>
  <r>
    <n v="202305037"/>
    <s v="NL22RABO0381604934"/>
    <s v="EUR"/>
    <x v="0"/>
    <x v="74"/>
    <d v="2023-03-02T00:00:00"/>
    <d v="2023-03-01T00:00:00"/>
    <n v="-0.8"/>
    <n v="21.13"/>
    <m/>
    <s v="Kosten"/>
    <x v="5"/>
    <x v="13"/>
    <x v="74"/>
  </r>
  <r>
    <n v="202305038"/>
    <s v="NL22RABO0381604934"/>
    <s v="EUR"/>
    <x v="0"/>
    <x v="74"/>
    <d v="2023-03-02T00:00:00"/>
    <d v="2023-03-01T00:00:00"/>
    <n v="-5.65"/>
    <n v="15.48"/>
    <m/>
    <s v="Kosten"/>
    <x v="5"/>
    <x v="13"/>
    <x v="74"/>
  </r>
  <r>
    <n v="202305048"/>
    <s v="NL22RABO0381604934"/>
    <s v="EUR"/>
    <x v="0"/>
    <x v="74"/>
    <d v="2023-03-14T00:00:00"/>
    <d v="2023-03-14T00:00:00"/>
    <n v="-22"/>
    <n v="340.51"/>
    <s v="NL62ABNA0462625036"/>
    <s v="BUDGET MOBIEL"/>
    <x v="5"/>
    <x v="13"/>
    <x v="70"/>
  </r>
  <r>
    <n v="202305052"/>
    <s v="NL22RABO0381604934"/>
    <s v="EUR"/>
    <x v="0"/>
    <x v="74"/>
    <d v="2023-03-20T00:00:00"/>
    <d v="2023-03-20T00:00:00"/>
    <n v="155"/>
    <n v="431.89"/>
    <s v="NL86INGB0002445588"/>
    <s v="BELASTINGDIENST"/>
    <x v="5"/>
    <x v="13"/>
    <x v="82"/>
  </r>
  <r>
    <n v="202305053"/>
    <s v="NL22RABO0381604934"/>
    <s v="EUR"/>
    <x v="0"/>
    <x v="74"/>
    <d v="2023-03-21T00:00:00"/>
    <d v="2023-03-21T00:00:00"/>
    <n v="-7"/>
    <n v="424.89"/>
    <s v="NL28DEUT0265186439"/>
    <s v="STICHTING DERDENGELDEN BUCKAROO"/>
    <x v="5"/>
    <x v="13"/>
    <x v="87"/>
  </r>
  <r>
    <n v="202305054"/>
    <s v="NL22RABO0381604934"/>
    <s v="EUR"/>
    <x v="0"/>
    <x v="74"/>
    <d v="2023-03-22T00:00:00"/>
    <d v="2023-03-22T00:00:00"/>
    <n v="-9.99"/>
    <n v="414.9"/>
    <s v="IE30CITI99005132956548"/>
    <s v="BLENDLE"/>
    <x v="5"/>
    <x v="13"/>
    <x v="72"/>
  </r>
  <r>
    <n v="202305059"/>
    <s v="NL22RABO0381604934"/>
    <s v="EUR"/>
    <x v="0"/>
    <x v="74"/>
    <d v="2023-03-27T00:00:00"/>
    <d v="2023-03-27T00:00:00"/>
    <n v="-37.5"/>
    <n v="342.89"/>
    <s v="NL11RABO0343685310"/>
    <s v="D.S.W. Zorgverzekeraar"/>
    <x v="5"/>
    <x v="13"/>
    <x v="91"/>
  </r>
  <r>
    <n v="202305064"/>
    <s v="NL22RABO0381604934"/>
    <s v="EUR"/>
    <x v="0"/>
    <x v="75"/>
    <d v="2023-04-03T00:00:00"/>
    <d v="2023-04-03T00:00:00"/>
    <n v="-137.5"/>
    <n v="120.77"/>
    <s v="NL11RABO0343685310"/>
    <s v="D.S.W. Zorgverzekeraar"/>
    <x v="5"/>
    <x v="13"/>
    <x v="81"/>
  </r>
  <r>
    <n v="202305065"/>
    <s v="NL22RABO0381604934"/>
    <s v="EUR"/>
    <x v="0"/>
    <x v="75"/>
    <d v="2023-04-03T00:00:00"/>
    <d v="2023-04-03T00:00:00"/>
    <n v="-3.52"/>
    <n v="117.25"/>
    <s v="NL98INGB0002712510"/>
    <s v="OHRA Schadeverzekeringen"/>
    <x v="5"/>
    <x v="13"/>
    <x v="80"/>
  </r>
  <r>
    <n v="202305066"/>
    <s v="NL22RABO0381604934"/>
    <s v="EUR"/>
    <x v="0"/>
    <x v="75"/>
    <d v="2023-04-04T00:00:00"/>
    <d v="2023-04-01T00:00:00"/>
    <n v="-0.8"/>
    <n v="116.45"/>
    <m/>
    <s v="Kosten"/>
    <x v="5"/>
    <x v="13"/>
    <x v="74"/>
  </r>
  <r>
    <n v="202305067"/>
    <s v="NL22RABO0381604934"/>
    <s v="EUR"/>
    <x v="0"/>
    <x v="75"/>
    <d v="2023-04-04T00:00:00"/>
    <d v="2023-04-01T00:00:00"/>
    <n v="-6.5"/>
    <n v="109.95"/>
    <m/>
    <s v="Kosten"/>
    <x v="5"/>
    <x v="13"/>
    <x v="74"/>
  </r>
  <r>
    <n v="202305081"/>
    <s v="NL22RABO0381604934"/>
    <s v="EUR"/>
    <x v="0"/>
    <x v="75"/>
    <d v="2023-04-14T00:00:00"/>
    <d v="2023-04-14T00:00:00"/>
    <n v="-22"/>
    <n v="-28.38"/>
    <s v="NL62ABNA0462625036"/>
    <s v="BUDGET MOBIEL"/>
    <x v="5"/>
    <x v="13"/>
    <x v="70"/>
  </r>
  <r>
    <n v="202305085"/>
    <s v="NL22RABO0381604934"/>
    <s v="EUR"/>
    <x v="0"/>
    <x v="75"/>
    <d v="2023-04-19T00:00:00"/>
    <d v="2023-04-19T00:00:00"/>
    <n v="-7"/>
    <n v="109.11"/>
    <s v="NL28DEUT0265186439"/>
    <s v="STICHTING DERDENGELDEN BUCKAROO"/>
    <x v="5"/>
    <x v="13"/>
    <x v="87"/>
  </r>
  <r>
    <n v="202305089"/>
    <s v="NL22RABO0381604934"/>
    <s v="EUR"/>
    <x v="0"/>
    <x v="75"/>
    <d v="2023-04-19T00:00:00"/>
    <d v="2023-04-19T00:00:00"/>
    <n v="-14.98"/>
    <n v="84.43"/>
    <m/>
    <s v="Holland &amp; Barrett VENLO gebroken lijnzaad en edelgist"/>
    <x v="5"/>
    <x v="13"/>
    <x v="84"/>
  </r>
  <r>
    <n v="202305094"/>
    <s v="NL22RABO0381604934"/>
    <s v="EUR"/>
    <x v="0"/>
    <x v="75"/>
    <d v="2023-04-20T00:00:00"/>
    <d v="2023-04-20T00:00:00"/>
    <n v="155"/>
    <n v="205.06"/>
    <s v="NL86INGB0002445588"/>
    <s v="BELASTINGDIENST"/>
    <x v="5"/>
    <x v="13"/>
    <x v="82"/>
  </r>
  <r>
    <n v="202305101"/>
    <s v="NL22RABO0381604934"/>
    <s v="EUR"/>
    <x v="0"/>
    <x v="75"/>
    <d v="2023-04-25T00:00:00"/>
    <d v="2023-04-25T00:00:00"/>
    <n v="-37.5"/>
    <n v="2060.25"/>
    <s v="NL11RABO0343685310"/>
    <s v="D.S.W. Zorgverzekeraar"/>
    <x v="5"/>
    <x v="13"/>
    <x v="91"/>
  </r>
  <r>
    <n v="202305114"/>
    <s v="NL22RABO0381604934"/>
    <s v="EUR"/>
    <x v="0"/>
    <x v="42"/>
    <d v="2023-05-02T00:00:00"/>
    <d v="2023-05-02T00:00:00"/>
    <n v="-137.5"/>
    <n v="290.58999999999997"/>
    <s v="NL11RABO0343685310"/>
    <s v="D.S.W. Zorgverzekeraar"/>
    <x v="5"/>
    <x v="13"/>
    <x v="81"/>
  </r>
  <r>
    <n v="202305115"/>
    <s v="NL22RABO0381604934"/>
    <s v="EUR"/>
    <x v="0"/>
    <x v="76"/>
    <d v="2023-05-02T00:00:00"/>
    <d v="2023-05-02T00:00:00"/>
    <n v="-3.52"/>
    <n v="287.07"/>
    <s v="NL98INGB0002712510"/>
    <s v="OHRA Schadeverzekeringen"/>
    <x v="5"/>
    <x v="13"/>
    <x v="80"/>
  </r>
  <r>
    <n v="202305117"/>
    <s v="NL22RABO0381604934"/>
    <s v="EUR"/>
    <x v="0"/>
    <x v="76"/>
    <d v="2023-05-03T00:00:00"/>
    <d v="2023-05-01T00:00:00"/>
    <n v="-1.2"/>
    <n v="282.87"/>
    <m/>
    <s v="Kosten"/>
    <x v="5"/>
    <x v="13"/>
    <x v="74"/>
  </r>
  <r>
    <n v="202305118"/>
    <s v="NL22RABO0381604934"/>
    <s v="EUR"/>
    <x v="0"/>
    <x v="76"/>
    <d v="2023-05-03T00:00:00"/>
    <d v="2023-05-01T00:00:00"/>
    <n v="-6.5"/>
    <n v="276.37"/>
    <m/>
    <s v="Kosten"/>
    <x v="5"/>
    <x v="13"/>
    <x v="74"/>
  </r>
  <r>
    <n v="202305142"/>
    <s v="RABO GOLD CARD"/>
    <s v="EUR"/>
    <x v="0"/>
    <x v="42"/>
    <d v="2023-01-03T00:00:00"/>
    <m/>
    <n v="-4.99"/>
    <m/>
    <n v="-4.99"/>
    <s v="GOOGLE*GOOGLE PLAY APP   IRELAND      IRL"/>
    <x v="5"/>
    <x v="13"/>
    <x v="84"/>
  </r>
  <r>
    <n v="202305143"/>
    <s v="RABO GOLD CARD"/>
    <s v="EUR"/>
    <x v="0"/>
    <x v="42"/>
    <d v="2023-01-18T00:00:00"/>
    <m/>
    <n v="-2.99"/>
    <m/>
    <n v="-2.99"/>
    <s v="GOOGLE*GOOGLE STORAGE    Dublin       IRL"/>
    <x v="5"/>
    <x v="13"/>
    <x v="83"/>
  </r>
  <r>
    <n v="202305145"/>
    <s v="RABO GOLD CARD"/>
    <s v="EUR"/>
    <x v="0"/>
    <x v="0"/>
    <d v="2023-02-04T00:00:00"/>
    <m/>
    <n v="-4.99"/>
    <m/>
    <n v="-4.99"/>
    <s v="Google Payment IE LTD GooDublin       IRL"/>
    <x v="5"/>
    <x v="13"/>
    <x v="84"/>
  </r>
  <r>
    <n v="202305146"/>
    <s v="RABO GOLD CARD"/>
    <s v="EUR"/>
    <x v="0"/>
    <x v="0"/>
    <d v="2023-02-18T00:00:00"/>
    <m/>
    <n v="-2.99"/>
    <m/>
    <n v="-2.99"/>
    <s v="GOOGLE*GOOGLE STORAGE    Dublin       IRL"/>
    <x v="5"/>
    <x v="13"/>
    <x v="83"/>
  </r>
  <r>
    <n v="202305152"/>
    <s v="RABO GOLD CARD"/>
    <s v="EUR"/>
    <x v="0"/>
    <x v="74"/>
    <d v="2023-03-03T00:00:00"/>
    <m/>
    <n v="-4.99"/>
    <m/>
    <n v="-4.99"/>
    <s v="GOOGLE*GOOGLE PLAY APP   Dublin       IRL"/>
    <x v="5"/>
    <x v="13"/>
    <x v="84"/>
  </r>
  <r>
    <n v="202305153"/>
    <s v="RABO GOLD CARD"/>
    <s v="EUR"/>
    <x v="0"/>
    <x v="74"/>
    <d v="2023-03-18T00:00:00"/>
    <m/>
    <n v="-2.99"/>
    <m/>
    <n v="-2.99"/>
    <s v="GOOGLE*GOOGLE STORAGE    Dublin       IRL"/>
    <x v="5"/>
    <x v="13"/>
    <x v="83"/>
  </r>
  <r>
    <n v="202305155"/>
    <s v="RABO GOLD CARD"/>
    <s v="EUR"/>
    <x v="0"/>
    <x v="75"/>
    <d v="2023-04-04T00:00:00"/>
    <m/>
    <n v="-4.99"/>
    <m/>
    <n v="-4.99"/>
    <s v="Google Payment IE LTD GooDublin       IRL"/>
    <x v="5"/>
    <x v="13"/>
    <x v="84"/>
  </r>
  <r>
    <n v="202305156"/>
    <s v="RABO GOLD CARD"/>
    <s v="EUR"/>
    <x v="0"/>
    <x v="75"/>
    <d v="2023-04-18T00:00:00"/>
    <m/>
    <n v="-2.99"/>
    <m/>
    <n v="-2.99"/>
    <s v="GOOGLE*GOOGLE STORAGE    G.CO/HELPPAY#IRL"/>
    <x v="5"/>
    <x v="13"/>
    <x v="83"/>
  </r>
  <r>
    <n v="202305158"/>
    <s v="RABO GOLD CARD"/>
    <s v="EUR"/>
    <x v="0"/>
    <x v="76"/>
    <d v="2023-05-03T00:00:00"/>
    <m/>
    <n v="-4.99"/>
    <m/>
    <n v="-4.99"/>
    <s v="Google Payment IrelandLTDDublin       IRL"/>
    <x v="5"/>
    <x v="13"/>
    <x v="84"/>
  </r>
  <r>
    <n v="202305159"/>
    <s v="PAYPAL"/>
    <m/>
    <x v="0"/>
    <x v="42"/>
    <d v="2023-01-23T00:00:00"/>
    <m/>
    <n v="-7"/>
    <m/>
    <m/>
    <s v="Microsoft"/>
    <x v="1"/>
    <x v="13"/>
    <x v="73"/>
  </r>
  <r>
    <n v="202305160"/>
    <s v="PAYPAL"/>
    <m/>
    <x v="0"/>
    <x v="0"/>
    <d v="2023-02-23T00:00:00"/>
    <m/>
    <n v="-7"/>
    <m/>
    <m/>
    <s v="Microsoft"/>
    <x v="1"/>
    <x v="13"/>
    <x v="73"/>
  </r>
  <r>
    <n v="202305161"/>
    <s v="PAYPAL"/>
    <m/>
    <x v="0"/>
    <x v="74"/>
    <d v="2023-03-23T00:00:00"/>
    <m/>
    <n v="-7"/>
    <m/>
    <m/>
    <s v="Microsoft"/>
    <x v="1"/>
    <x v="13"/>
    <x v="73"/>
  </r>
  <r>
    <n v="202305162"/>
    <s v="PAYPAL"/>
    <m/>
    <x v="0"/>
    <x v="75"/>
    <d v="2023-04-23T00:00:00"/>
    <m/>
    <n v="-7"/>
    <m/>
    <m/>
    <s v="Microsoft"/>
    <x v="1"/>
    <x v="13"/>
    <x v="73"/>
  </r>
  <r>
    <n v="29"/>
    <s v="BNPPARIBAS"/>
    <m/>
    <x v="1"/>
    <x v="43"/>
    <d v="2017-03-06T00:00:00"/>
    <d v="2017-03-06T00:00:00"/>
    <n v="-12"/>
    <n v="12"/>
    <m/>
    <s v="FACTURE CARTE DU 030317 ROCKET YOGA ARN CARTE 4974XXXX"/>
    <x v="1"/>
    <x v="14"/>
    <x v="92"/>
  </r>
  <r>
    <n v="31"/>
    <s v="BNPPARIBAS"/>
    <m/>
    <x v="1"/>
    <x v="43"/>
    <d v="2017-03-06T00:00:00"/>
    <d v="2017-03-06T00:00:00"/>
    <n v="12"/>
    <n v="12"/>
    <m/>
    <s v="rocket yoga"/>
    <x v="1"/>
    <x v="14"/>
    <x v="92"/>
  </r>
  <r>
    <n v="111"/>
    <s v="KAS"/>
    <m/>
    <x v="1"/>
    <x v="43"/>
    <d v="2017-03-21T00:00:00"/>
    <d v="2017-03-21T00:00:00"/>
    <n v="-14"/>
    <n v="14"/>
    <m/>
    <s v="yogahouse"/>
    <x v="1"/>
    <x v="14"/>
    <x v="92"/>
  </r>
  <r>
    <n v="194"/>
    <s v="KAS"/>
    <m/>
    <x v="1"/>
    <x v="45"/>
    <d v="2017-05-02T00:00:00"/>
    <d v="2017-05-02T00:00:00"/>
    <n v="-5"/>
    <n v="5"/>
    <m/>
    <s v="yogales"/>
    <x v="1"/>
    <x v="14"/>
    <x v="92"/>
  </r>
  <r>
    <n v="502"/>
    <s v="NL22RABO0381604934"/>
    <m/>
    <x v="1"/>
    <x v="43"/>
    <d v="2017-03-19T00:00:00"/>
    <d v="2017-03-19T00:00:00"/>
    <n v="-18"/>
    <n v="18"/>
    <m/>
    <s v="CCV*BIKRAM YOGA ARNHEM ARNHEM"/>
    <x v="1"/>
    <x v="14"/>
    <x v="92"/>
  </r>
  <r>
    <n v="661"/>
    <s v="NL22RABO0381604934"/>
    <m/>
    <x v="1"/>
    <x v="3"/>
    <d v="2017-10-19T00:00:00"/>
    <d v="2017-10-19T00:00:00"/>
    <n v="-18"/>
    <n v="18"/>
    <m/>
    <s v="CCV*BIKRAM YOGA ARNHEM ARNHEM"/>
    <x v="1"/>
    <x v="14"/>
    <x v="92"/>
  </r>
  <r>
    <n v="798"/>
    <s v="BNPPARIBAS"/>
    <m/>
    <x v="2"/>
    <x v="7"/>
    <d v="2018-11-01T00:00:00"/>
    <d v="2018-11-01T00:00:00"/>
    <n v="-58.05"/>
    <n v="58.05"/>
    <m/>
    <s v="paypal  "/>
    <x v="1"/>
    <x v="14"/>
    <x v="93"/>
  </r>
  <r>
    <n v="825"/>
    <s v="KAS"/>
    <m/>
    <x v="2"/>
    <x v="9"/>
    <d v="2018-02-21T00:00:00"/>
    <d v="2018-02-21T00:00:00"/>
    <n v="-5"/>
    <n v="5"/>
    <m/>
    <s v="acroyoga"/>
    <x v="1"/>
    <x v="14"/>
    <x v="92"/>
  </r>
  <r>
    <n v="832"/>
    <s v="KAS"/>
    <m/>
    <x v="2"/>
    <x v="10"/>
    <d v="2018-03-02T00:00:00"/>
    <d v="2018-03-02T00:00:00"/>
    <n v="-12.5"/>
    <n v="12.5"/>
    <m/>
    <s v="acroyoga"/>
    <x v="1"/>
    <x v="14"/>
    <x v="92"/>
  </r>
  <r>
    <n v="880"/>
    <s v="KAS"/>
    <m/>
    <x v="2"/>
    <x v="49"/>
    <d v="2018-04-15T00:00:00"/>
    <d v="2018-04-15T00:00:00"/>
    <n v="-15"/>
    <n v="15"/>
    <m/>
    <s v="acroyoga 18/4"/>
    <x v="1"/>
    <x v="14"/>
    <x v="92"/>
  </r>
  <r>
    <n v="890"/>
    <s v="KAS"/>
    <m/>
    <x v="2"/>
    <x v="49"/>
    <d v="2018-04-15T00:00:00"/>
    <d v="2018-04-15T00:00:00"/>
    <n v="-3"/>
    <n v="3"/>
    <m/>
    <s v="yogablock"/>
    <x v="1"/>
    <x v="14"/>
    <x v="92"/>
  </r>
  <r>
    <n v="1495"/>
    <s v="KAS"/>
    <m/>
    <x v="3"/>
    <x v="53"/>
    <d v="2019-04-01T00:00:00"/>
    <d v="2019-04-01T00:00:00"/>
    <n v="-5"/>
    <n v="5"/>
    <m/>
    <s v="acroyogales 16/4"/>
    <x v="1"/>
    <x v="14"/>
    <x v="92"/>
  </r>
  <r>
    <n v="1524"/>
    <s v="KAS"/>
    <m/>
    <x v="3"/>
    <x v="53"/>
    <n v="43566"/>
    <n v="43566"/>
    <n v="-5"/>
    <n v="5"/>
    <m/>
    <s v="acroyogales 11/4"/>
    <x v="1"/>
    <x v="14"/>
    <x v="92"/>
  </r>
  <r>
    <n v="1531"/>
    <s v="KAS"/>
    <m/>
    <x v="3"/>
    <x v="54"/>
    <d v="2019-05-01T00:00:00"/>
    <d v="2019-05-01T00:00:00"/>
    <n v="-5"/>
    <n v="5"/>
    <m/>
    <s v="acroyoga 7/5"/>
    <x v="1"/>
    <x v="14"/>
    <x v="92"/>
  </r>
  <r>
    <n v="1538"/>
    <s v="KAS"/>
    <m/>
    <x v="3"/>
    <x v="54"/>
    <d v="2019-05-01T00:00:00"/>
    <d v="2019-05-01T00:00:00"/>
    <n v="-5"/>
    <n v="5"/>
    <m/>
    <s v="yoga 14/5"/>
    <x v="1"/>
    <x v="14"/>
    <x v="92"/>
  </r>
  <r>
    <n v="1544"/>
    <s v="KAS"/>
    <m/>
    <x v="3"/>
    <x v="54"/>
    <d v="2019-05-01T00:00:00"/>
    <d v="2019-05-01T00:00:00"/>
    <n v="-5"/>
    <n v="5"/>
    <m/>
    <s v="acroyoga 21/5"/>
    <x v="1"/>
    <x v="14"/>
    <x v="92"/>
  </r>
  <r>
    <n v="1552"/>
    <s v="KAS"/>
    <m/>
    <x v="3"/>
    <x v="54"/>
    <d v="2019-05-01T00:00:00"/>
    <d v="2019-05-01T00:00:00"/>
    <n v="-10"/>
    <n v="10"/>
    <m/>
    <s v="acroyoga 28/5"/>
    <x v="1"/>
    <x v="14"/>
    <x v="92"/>
  </r>
  <r>
    <n v="1585"/>
    <s v="KAS"/>
    <m/>
    <x v="3"/>
    <x v="38"/>
    <d v="2019-07-01T00:00:00"/>
    <d v="2019-07-01T00:00:00"/>
    <n v="-5"/>
    <n v="5"/>
    <m/>
    <s v="acroyoga"/>
    <x v="1"/>
    <x v="14"/>
    <x v="92"/>
  </r>
  <r>
    <n v="1645"/>
    <s v="KAS"/>
    <m/>
    <x v="3"/>
    <x v="39"/>
    <d v="2019-10-31T00:00:00"/>
    <d v="2019-10-31T00:00:00"/>
    <n v="-10"/>
    <n v="10"/>
    <m/>
    <s v="acroyogales"/>
    <x v="1"/>
    <x v="14"/>
    <x v="92"/>
  </r>
  <r>
    <n v="2544"/>
    <s v="NL22RABO0381604934"/>
    <m/>
    <x v="4"/>
    <x v="58"/>
    <d v="2020-12-08T00:00:00"/>
    <d v="2020-12-08T00:00:00"/>
    <n v="0"/>
    <n v="0"/>
    <s v="NL40SNSB0925977055"/>
    <s v="Turn and twist acroyoga"/>
    <x v="1"/>
    <x v="14"/>
    <x v="94"/>
  </r>
  <r>
    <n v="2696"/>
    <s v="NL22RABO0381604934"/>
    <m/>
    <x v="5"/>
    <x v="62"/>
    <d v="2021-02-18T00:00:00"/>
    <d v="2021-02-18T00:00:00"/>
    <n v="0"/>
    <n v="0"/>
    <s v="NL40SNSB0925977055"/>
    <s v="Turn and twist acroyoga"/>
    <x v="1"/>
    <x v="14"/>
    <x v="94"/>
  </r>
  <r>
    <n v="3097"/>
    <s v="NL22RABO0381604934"/>
    <m/>
    <x v="5"/>
    <x v="26"/>
    <d v="2021-11-02T00:00:00"/>
    <d v="2021-11-02T00:00:00"/>
    <n v="-4"/>
    <n v="4"/>
    <m/>
    <s v="Action 1072 Stadskanaal"/>
    <x v="1"/>
    <x v="14"/>
    <x v="95"/>
  </r>
  <r>
    <n v="202301175"/>
    <s v="KAS"/>
    <m/>
    <x v="6"/>
    <x v="34"/>
    <d v="2022-10-23T00:00:00"/>
    <m/>
    <n v="-5"/>
    <m/>
    <m/>
    <s v="Acroyoga 5"/>
    <x v="1"/>
    <x v="14"/>
    <x v="92"/>
  </r>
  <r>
    <n v="202305147"/>
    <s v="RABO GOLD CARD"/>
    <s v="EUR"/>
    <x v="0"/>
    <x v="0"/>
    <d v="2023-02-20T00:00:00"/>
    <m/>
    <n v="-0.77"/>
    <m/>
    <n v="-0.77"/>
    <s v="Food Plus 807            DUBAI        ARE"/>
    <x v="0"/>
    <x v="0"/>
    <x v="0"/>
  </r>
  <r>
    <m/>
    <m/>
    <m/>
    <x v="7"/>
    <x v="81"/>
    <m/>
    <m/>
    <m/>
    <m/>
    <m/>
    <m/>
    <x v="6"/>
    <x v="15"/>
    <x v="96"/>
  </r>
  <r>
    <m/>
    <m/>
    <m/>
    <x v="7"/>
    <x v="81"/>
    <m/>
    <m/>
    <m/>
    <m/>
    <m/>
    <m/>
    <x v="6"/>
    <x v="15"/>
    <x v="96"/>
  </r>
  <r>
    <m/>
    <m/>
    <m/>
    <x v="7"/>
    <x v="81"/>
    <m/>
    <m/>
    <m/>
    <m/>
    <m/>
    <m/>
    <x v="6"/>
    <x v="15"/>
    <x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9">
  <r>
    <n v="202305149"/>
    <x v="0"/>
    <s v="EUR"/>
    <x v="0"/>
    <x v="0"/>
    <d v="2023-02-20T00:00:00"/>
    <m/>
    <n v="-7.44"/>
    <m/>
    <n v="-7.44"/>
    <s v="EMIRATES LEIS CONB DXB   DUBAI        ARE"/>
    <s v="UIT_AZIE"/>
    <s v="AZIE"/>
    <s v="vliegveld"/>
    <m/>
    <m/>
    <m/>
    <m/>
    <m/>
    <m/>
    <m/>
    <m/>
    <m/>
    <m/>
  </r>
  <r>
    <n v="1"/>
    <x v="1"/>
    <m/>
    <x v="1"/>
    <x v="1"/>
    <d v="2017-01-02T00:00:00"/>
    <d v="2017-01-02T00:00:00"/>
    <n v="-25.07"/>
    <n v="25.07"/>
    <m/>
    <s v="green tiger house"/>
    <s v="UIT_AZIE"/>
    <s v="AZIE"/>
    <s v="hostel_azie"/>
    <m/>
    <m/>
    <m/>
    <m/>
    <m/>
    <m/>
    <m/>
    <m/>
    <m/>
    <m/>
  </r>
  <r>
    <n v="3"/>
    <x v="1"/>
    <m/>
    <x v="1"/>
    <x v="1"/>
    <d v="2017-01-02T00:00:00"/>
    <d v="2017-01-02T00:00:00"/>
    <n v="-283.25"/>
    <n v="283.25"/>
    <m/>
    <s v="kasopname AZIE"/>
    <s v="UIT_AZIE"/>
    <s v="AZIE"/>
    <s v="azie kasopname/-uitgaves"/>
    <m/>
    <m/>
    <m/>
    <m/>
    <m/>
    <m/>
    <m/>
    <m/>
    <m/>
    <m/>
  </r>
  <r>
    <n v="5"/>
    <x v="1"/>
    <m/>
    <x v="1"/>
    <x v="1"/>
    <d v="2017-01-02T00:00:00"/>
    <d v="2017-01-02T00:00:00"/>
    <n v="-23.46"/>
    <n v="23.46"/>
    <m/>
    <s v="green tigher house"/>
    <s v="UIT_AZIE"/>
    <s v="AZIE"/>
    <s v="hostel_azie"/>
    <m/>
    <m/>
    <m/>
    <m/>
    <m/>
    <m/>
    <m/>
    <m/>
    <m/>
    <m/>
  </r>
  <r>
    <n v="6"/>
    <x v="1"/>
    <m/>
    <x v="1"/>
    <x v="1"/>
    <d v="2017-01-02T00:00:00"/>
    <d v="2017-01-02T00:00:00"/>
    <n v="-4.47"/>
    <n v="4.47"/>
    <m/>
    <s v="eten vliegveld"/>
    <s v="UIT_AZIE"/>
    <s v="AZIE"/>
    <s v="azie kasopname/-uitgaves"/>
    <m/>
    <m/>
    <m/>
    <m/>
    <m/>
    <m/>
    <m/>
    <m/>
    <m/>
    <m/>
  </r>
  <r>
    <n v="7"/>
    <x v="1"/>
    <m/>
    <x v="1"/>
    <x v="1"/>
    <d v="2017-01-02T00:00:00"/>
    <d v="2017-01-02T00:00:00"/>
    <n v="-147.06"/>
    <n v="147.06"/>
    <m/>
    <s v="kasopname bali"/>
    <s v="UIT_AZIE"/>
    <s v="AZIE"/>
    <s v="azie kasopname/-uitgaves"/>
    <m/>
    <m/>
    <m/>
    <m/>
    <m/>
    <m/>
    <m/>
    <m/>
    <m/>
    <m/>
  </r>
  <r>
    <n v="10"/>
    <x v="1"/>
    <m/>
    <x v="1"/>
    <x v="2"/>
    <d v="2017-02-02T00:00:00"/>
    <d v="2017-02-02T00:00:00"/>
    <n v="-2.97"/>
    <n v="2.97"/>
    <m/>
    <s v="eten vliegveld"/>
    <s v="UIT_AZIE"/>
    <s v="AZIE"/>
    <s v="azie kasopname/-uitgaves"/>
    <m/>
    <m/>
    <m/>
    <m/>
    <m/>
    <m/>
    <m/>
    <m/>
    <m/>
    <m/>
  </r>
  <r>
    <n v="11"/>
    <x v="1"/>
    <m/>
    <x v="1"/>
    <x v="2"/>
    <d v="2017-02-02T00:00:00"/>
    <d v="2017-02-02T00:00:00"/>
    <n v="-183.74"/>
    <n v="183.74"/>
    <m/>
    <s v="kasopname"/>
    <s v="UIT_AZIE"/>
    <s v="AZIE"/>
    <s v="azie kasopname/-uitgaves"/>
    <m/>
    <m/>
    <m/>
    <m/>
    <m/>
    <m/>
    <m/>
    <m/>
    <m/>
    <m/>
  </r>
  <r>
    <n v="12"/>
    <x v="1"/>
    <m/>
    <x v="1"/>
    <x v="2"/>
    <d v="2017-02-02T00:00:00"/>
    <d v="2017-02-02T00:00:00"/>
    <n v="-12.84"/>
    <n v="12.84"/>
    <m/>
    <s v="serenity eco hotel"/>
    <s v="UIT_AZIE"/>
    <s v="AZIE"/>
    <s v="hostel_azie"/>
    <m/>
    <m/>
    <m/>
    <m/>
    <m/>
    <m/>
    <m/>
    <m/>
    <m/>
    <m/>
  </r>
  <r>
    <n v="13"/>
    <x v="1"/>
    <m/>
    <x v="1"/>
    <x v="2"/>
    <d v="2017-02-02T00:00:00"/>
    <d v="2017-02-02T00:00:00"/>
    <n v="-6.85"/>
    <n v="6.85"/>
    <m/>
    <s v="seneman coffee"/>
    <s v="UIT_AZIE"/>
    <s v="AZIE"/>
    <s v="azie kasopname/-uitgaves"/>
    <m/>
    <m/>
    <m/>
    <m/>
    <m/>
    <m/>
    <m/>
    <m/>
    <m/>
    <m/>
  </r>
  <r>
    <n v="14"/>
    <x v="1"/>
    <m/>
    <x v="1"/>
    <x v="2"/>
    <d v="2017-02-02T00:00:00"/>
    <d v="2017-02-02T00:00:00"/>
    <n v="-185.24"/>
    <n v="185.24"/>
    <m/>
    <s v="kasopname"/>
    <s v="UIT_AZIE"/>
    <s v="AZIE"/>
    <s v="azie kasopname/-uitgaves"/>
    <m/>
    <m/>
    <m/>
    <m/>
    <m/>
    <m/>
    <m/>
    <m/>
    <m/>
    <m/>
  </r>
  <r>
    <n v="15"/>
    <x v="1"/>
    <m/>
    <x v="1"/>
    <x v="2"/>
    <d v="2017-02-02T00:00:00"/>
    <d v="2017-02-02T00:00:00"/>
    <n v="-185.24"/>
    <n v="185.24"/>
    <m/>
    <s v="kasopname"/>
    <s v="UIT_AZIE"/>
    <s v="AZIE"/>
    <s v="azie kasopname/-uitgaves"/>
    <m/>
    <m/>
    <m/>
    <m/>
    <m/>
    <m/>
    <m/>
    <m/>
    <m/>
    <m/>
  </r>
  <r>
    <n v="16"/>
    <x v="1"/>
    <m/>
    <x v="1"/>
    <x v="2"/>
    <d v="2017-02-02T00:00:00"/>
    <d v="2017-02-02T00:00:00"/>
    <n v="-94.2"/>
    <n v="94.2"/>
    <m/>
    <s v="kasopname"/>
    <s v="UIT_AZIE"/>
    <s v="AZIE"/>
    <s v="azie kasopname/-uitgaves"/>
    <m/>
    <m/>
    <m/>
    <m/>
    <m/>
    <m/>
    <m/>
    <m/>
    <m/>
    <m/>
  </r>
  <r>
    <n v="17"/>
    <x v="1"/>
    <m/>
    <x v="1"/>
    <x v="2"/>
    <d v="2017-02-02T00:00:00"/>
    <d v="2017-02-02T00:00:00"/>
    <n v="-7.15"/>
    <n v="7.15"/>
    <m/>
    <s v="singapore food"/>
    <s v="UIT_AZIE"/>
    <s v="AZIE"/>
    <s v="azie kasopname/-uitgaves"/>
    <m/>
    <m/>
    <m/>
    <m/>
    <m/>
    <m/>
    <m/>
    <m/>
    <m/>
    <m/>
  </r>
  <r>
    <n v="83"/>
    <x v="1"/>
    <m/>
    <x v="1"/>
    <x v="3"/>
    <d v="2017-10-25T00:00:00"/>
    <d v="2017-10-25T00:00:00"/>
    <n v="-2.87"/>
    <n v="2.87"/>
    <m/>
    <s v="FACTURE CARTE DU 161017 HOSTEL WORLD CARTE 4974XXXXXXX"/>
    <s v="UIT_AZIE"/>
    <s v="AZIE"/>
    <s v="hostel_azie"/>
    <m/>
    <m/>
    <m/>
    <m/>
    <m/>
    <m/>
    <m/>
    <m/>
    <m/>
    <m/>
  </r>
  <r>
    <n v="86"/>
    <x v="1"/>
    <m/>
    <x v="1"/>
    <x v="4"/>
    <d v="2017-11-06T00:00:00"/>
    <d v="2017-11-06T00:00:00"/>
    <n v="-179.11"/>
    <n v="179.11"/>
    <m/>
    <s v="RETRAIT DAB 03/11/17 BHAGWATI BAHAL NP THAME CARTE 4"/>
    <s v="UIT_AZIE"/>
    <s v="AZIE"/>
    <s v="azie kasopname/-uitgaves"/>
    <m/>
    <m/>
    <m/>
    <m/>
    <m/>
    <m/>
    <m/>
    <m/>
    <m/>
    <m/>
  </r>
  <r>
    <n v="88"/>
    <x v="1"/>
    <m/>
    <x v="1"/>
    <x v="4"/>
    <d v="2017-11-06T00:00:00"/>
    <d v="2017-11-06T00:00:00"/>
    <n v="-5.8"/>
    <n v="5.8"/>
    <m/>
    <s v="FACTURE CARTE DU 051117 HOSTEL WORLD CARTE 4974XXXXXXX"/>
    <s v="UIT_AZIE"/>
    <s v="AZIE"/>
    <s v="hostel_azie"/>
    <m/>
    <m/>
    <m/>
    <m/>
    <m/>
    <m/>
    <m/>
    <m/>
    <m/>
    <m/>
  </r>
  <r>
    <n v="91"/>
    <x v="1"/>
    <m/>
    <x v="1"/>
    <x v="4"/>
    <d v="2017-11-20T00:00:00"/>
    <d v="2017-11-20T00:00:00"/>
    <n v="-301.19"/>
    <n v="301.19"/>
    <m/>
    <s v="RETRAIT DAB 17/11/17 SCB POKHARA BRA NP POKHA CARTE"/>
    <s v="UIT_AZIE"/>
    <s v="AZIE"/>
    <s v="azie kasopname/-uitgaves"/>
    <m/>
    <m/>
    <m/>
    <m/>
    <m/>
    <m/>
    <m/>
    <m/>
    <m/>
    <m/>
  </r>
  <r>
    <n v="100"/>
    <x v="1"/>
    <m/>
    <x v="1"/>
    <x v="5"/>
    <d v="2017-12-21T00:00:00"/>
    <d v="2017-12-21T00:00:00"/>
    <n v="-75.94"/>
    <n v="75.94"/>
    <m/>
    <s v="FACTURE CARTE DU 181217 GREEN TIGER HOU CARTE 4974XXXX"/>
    <s v="UIT_AZIE"/>
    <s v="AZIE"/>
    <s v="hostel_azie"/>
    <m/>
    <m/>
    <m/>
    <m/>
    <m/>
    <m/>
    <m/>
    <m/>
    <m/>
    <m/>
  </r>
  <r>
    <n v="419"/>
    <x v="2"/>
    <m/>
    <x v="1"/>
    <x v="2"/>
    <d v="2017-02-01T00:00:00"/>
    <d v="2017-02-01T00:00:00"/>
    <n v="-185.62"/>
    <n v="185.62"/>
    <m/>
    <s v="correctie hostels bali"/>
    <s v="UIT_AZIE"/>
    <s v="AZIE"/>
    <s v="hostel_azie"/>
    <m/>
    <m/>
    <m/>
    <m/>
    <m/>
    <m/>
    <m/>
    <m/>
    <m/>
    <m/>
  </r>
  <r>
    <n v="420"/>
    <x v="2"/>
    <m/>
    <x v="1"/>
    <x v="2"/>
    <d v="2017-02-01T00:00:00"/>
    <d v="2017-02-01T00:00:00"/>
    <n v="185.62"/>
    <n v="185.62"/>
    <m/>
    <s v="correctie hostels bali"/>
    <s v="UIT_AZIE"/>
    <s v="AZIE"/>
    <s v="azie kasopname/-uitgaves"/>
    <m/>
    <m/>
    <m/>
    <m/>
    <m/>
    <m/>
    <m/>
    <m/>
    <m/>
    <m/>
  </r>
  <r>
    <n v="697"/>
    <x v="3"/>
    <m/>
    <x v="1"/>
    <x v="4"/>
    <d v="2017-11-01T00:00:00"/>
    <d v="2017-11-01T00:00:00"/>
    <n v="-18.600000000000001"/>
    <n v="18.600000000000001"/>
    <m/>
    <s v="CCV*STAYOKAY ZEEBURG A AMSTERDAM"/>
    <s v="UIT_AZIE"/>
    <s v="AZIE"/>
    <s v="hotel vooraf"/>
    <m/>
    <m/>
    <m/>
    <m/>
    <m/>
    <m/>
    <m/>
    <m/>
    <m/>
    <m/>
  </r>
  <r>
    <n v="702"/>
    <x v="3"/>
    <m/>
    <x v="1"/>
    <x v="4"/>
    <d v="2017-11-09T00:00:00"/>
    <d v="2017-11-09T00:00:00"/>
    <n v="-87.38"/>
    <n v="87.38"/>
    <m/>
    <s v="SCT HBL AFC MAN I BAGMATI NPL"/>
    <s v="UIT_AZIE"/>
    <s v="AZIE"/>
    <s v="azie kasopname/-uitgaves"/>
    <m/>
    <m/>
    <m/>
    <m/>
    <m/>
    <m/>
    <m/>
    <m/>
    <m/>
    <m/>
  </r>
  <r>
    <n v="720"/>
    <x v="0"/>
    <m/>
    <x v="1"/>
    <x v="5"/>
    <d v="2017-12-25T00:00:00"/>
    <d v="2017-12-25T00:00:00"/>
    <n v="-77.98"/>
    <n v="77.98"/>
    <m/>
    <s v="GREEN TIGER HOUSE CHIANG MAI TH"/>
    <s v="UIT_AZIE"/>
    <s v="AZIE"/>
    <s v="hostel_azie"/>
    <m/>
    <m/>
    <m/>
    <m/>
    <m/>
    <m/>
    <m/>
    <m/>
    <m/>
    <m/>
  </r>
  <r>
    <n v="721"/>
    <x v="0"/>
    <m/>
    <x v="1"/>
    <x v="5"/>
    <d v="2017-12-31T00:00:00"/>
    <d v="2017-12-31T00:00:00"/>
    <n v="-76.73"/>
    <n v="76.73"/>
    <m/>
    <s v="GREEN TIGER HOUSE CHIANG MAI TH"/>
    <s v="UIT_AZIE"/>
    <s v="AZIE"/>
    <s v="hostel_azie"/>
    <m/>
    <m/>
    <m/>
    <m/>
    <m/>
    <m/>
    <m/>
    <m/>
    <m/>
    <m/>
  </r>
  <r>
    <n v="727"/>
    <x v="1"/>
    <m/>
    <x v="2"/>
    <x v="6"/>
    <d v="2018-01-15T00:00:00"/>
    <d v="2018-01-15T00:00:00"/>
    <n v="-277.67"/>
    <n v="277.67"/>
    <m/>
    <s v="RETRAIT DAB 13/01/18 T278B523301B020 TH CHIAN CARTE"/>
    <s v="UIT_AZIE"/>
    <s v="AZIE"/>
    <s v="azie kasopname/-uitgaves"/>
    <m/>
    <m/>
    <m/>
    <m/>
    <m/>
    <m/>
    <m/>
    <m/>
    <m/>
    <m/>
  </r>
  <r>
    <n v="785"/>
    <x v="1"/>
    <m/>
    <x v="2"/>
    <x v="7"/>
    <d v="2018-11-01T00:00:00"/>
    <d v="2018-11-01T00:00:00"/>
    <n v="-44.36"/>
    <n v="44.36"/>
    <m/>
    <s v="CI hotel colombo"/>
    <s v="UIT_AZIE"/>
    <s v="AZIE"/>
    <s v="hostel_azie"/>
    <m/>
    <m/>
    <m/>
    <m/>
    <m/>
    <m/>
    <m/>
    <m/>
    <m/>
    <m/>
  </r>
  <r>
    <n v="806"/>
    <x v="1"/>
    <m/>
    <x v="2"/>
    <x v="8"/>
    <d v="2018-12-01T00:00:00"/>
    <d v="2018-12-01T00:00:00"/>
    <n v="-2.71"/>
    <n v="2.71"/>
    <m/>
    <s v="seven eleven SIN"/>
    <s v="UIT_AZIE"/>
    <s v="AZIE"/>
    <s v="azie kasopname/-uitgaves"/>
    <m/>
    <m/>
    <m/>
    <m/>
    <m/>
    <m/>
    <m/>
    <m/>
    <m/>
    <m/>
  </r>
  <r>
    <n v="807"/>
    <x v="1"/>
    <m/>
    <x v="2"/>
    <x v="8"/>
    <d v="2018-12-01T00:00:00"/>
    <d v="2018-12-01T00:00:00"/>
    <n v="-2.14"/>
    <n v="2.14"/>
    <m/>
    <s v="seven eleven SIN"/>
    <s v="UIT_AZIE"/>
    <s v="AZIE"/>
    <s v="azie kasopname/-uitgaves"/>
    <m/>
    <m/>
    <m/>
    <m/>
    <m/>
    <m/>
    <m/>
    <m/>
    <m/>
    <m/>
  </r>
  <r>
    <n v="1114"/>
    <x v="2"/>
    <m/>
    <x v="2"/>
    <x v="7"/>
    <d v="2018-11-11T00:00:00"/>
    <d v="2018-11-11T00:00:00"/>
    <n v="-137"/>
    <n v="137"/>
    <m/>
    <s v="Hostel Sri Lanka"/>
    <s v="UIT_AZIE"/>
    <s v="AZIE"/>
    <s v="hostel_azie"/>
    <m/>
    <m/>
    <m/>
    <m/>
    <m/>
    <m/>
    <m/>
    <m/>
    <m/>
    <m/>
  </r>
  <r>
    <n v="1115"/>
    <x v="2"/>
    <m/>
    <x v="2"/>
    <x v="7"/>
    <d v="2018-11-11T00:00:00"/>
    <d v="2018-11-11T00:00:00"/>
    <n v="137"/>
    <n v="137"/>
    <m/>
    <s v="Hostel Sri Lanka"/>
    <s v="UIT_AZIE"/>
    <s v="AZIE"/>
    <s v="azie kasopname/-uitgaves"/>
    <m/>
    <m/>
    <m/>
    <m/>
    <m/>
    <m/>
    <m/>
    <m/>
    <m/>
    <m/>
  </r>
  <r>
    <n v="1116"/>
    <x v="2"/>
    <m/>
    <x v="2"/>
    <x v="8"/>
    <d v="2018-12-12T00:00:00"/>
    <d v="2018-12-12T00:00:00"/>
    <n v="-272"/>
    <n v="272"/>
    <m/>
    <s v="Hotel GTH "/>
    <s v="UIT_AZIE"/>
    <s v="AZIE"/>
    <s v="hostel_azie"/>
    <m/>
    <m/>
    <m/>
    <m/>
    <m/>
    <m/>
    <m/>
    <m/>
    <m/>
    <m/>
  </r>
  <r>
    <n v="1117"/>
    <x v="2"/>
    <m/>
    <x v="2"/>
    <x v="8"/>
    <d v="2018-12-12T00:00:00"/>
    <d v="2018-12-12T00:00:00"/>
    <n v="272"/>
    <n v="272"/>
    <m/>
    <s v="Hotel GTH "/>
    <s v="UIT_AZIE"/>
    <s v="AZIE"/>
    <s v="azie kasopname/-uitgaves"/>
    <m/>
    <m/>
    <n v="9792"/>
    <m/>
    <m/>
    <m/>
    <m/>
    <m/>
    <m/>
    <m/>
  </r>
  <r>
    <n v="1118"/>
    <x v="3"/>
    <m/>
    <x v="2"/>
    <x v="6"/>
    <d v="2018-01-01T00:00:00"/>
    <d v="2018-01-01T00:00:00"/>
    <n v="0"/>
    <n v="0"/>
    <m/>
    <s v="UPCA CHIANGMAI THA WAS 600"/>
    <s v="UIT_AZIE"/>
    <s v="AZIE"/>
    <s v="azie kasopname/-uitgaves"/>
    <m/>
    <m/>
    <s v="UITZOEKEN!!!!"/>
    <m/>
    <m/>
    <m/>
    <m/>
    <m/>
    <m/>
    <m/>
  </r>
  <r>
    <n v="1123"/>
    <x v="3"/>
    <m/>
    <x v="2"/>
    <x v="6"/>
    <d v="2018-01-29T00:00:00"/>
    <d v="2018-01-29T00:00:00"/>
    <n v="0"/>
    <n v="0"/>
    <m/>
    <s v="RABOBANK NEDERLAND"/>
    <s v="UIT_AZIE"/>
    <s v="AZIE"/>
    <s v="azie kasopname/-uitgaves"/>
    <m/>
    <m/>
    <n v="-755.83"/>
    <m/>
    <m/>
    <m/>
    <m/>
    <m/>
    <m/>
    <m/>
  </r>
  <r>
    <n v="1127"/>
    <x v="3"/>
    <m/>
    <x v="2"/>
    <x v="9"/>
    <d v="2018-02-07T00:00:00"/>
    <d v="2018-02-07T00:00:00"/>
    <n v="-135.59"/>
    <n v="135.59"/>
    <m/>
    <s v="0006 SURAT THA"/>
    <s v="UIT_AZIE"/>
    <s v="AZIE"/>
    <s v="azie kasopname/-uitgaves"/>
    <m/>
    <m/>
    <m/>
    <m/>
    <m/>
    <m/>
    <m/>
    <m/>
    <m/>
    <m/>
  </r>
  <r>
    <n v="1128"/>
    <x v="3"/>
    <m/>
    <x v="2"/>
    <x v="9"/>
    <d v="2018-02-15T00:00:00"/>
    <d v="2018-02-15T00:00:00"/>
    <n v="-126.07"/>
    <n v="126.07"/>
    <m/>
    <s v="MALAYAN BANKING TUN H.S.LEE MYS"/>
    <s v="UIT_AZIE"/>
    <s v="AZIE"/>
    <s v="azie kasopname/-uitgaves"/>
    <m/>
    <m/>
    <m/>
    <m/>
    <m/>
    <m/>
    <m/>
    <m/>
    <m/>
    <m/>
  </r>
  <r>
    <n v="1142"/>
    <x v="3"/>
    <m/>
    <x v="2"/>
    <x v="10"/>
    <d v="2018-03-02T00:00:00"/>
    <d v="2018-03-02T00:00:00"/>
    <n v="0"/>
    <n v="0"/>
    <m/>
    <s v="RABOBANK NEDERLAND"/>
    <s v="UIT_AZIE"/>
    <s v="AZIE"/>
    <s v="azie kasopname/-uitgaves"/>
    <m/>
    <m/>
    <n v="-278.60000000000002"/>
    <m/>
    <m/>
    <m/>
    <m/>
    <m/>
    <m/>
    <m/>
  </r>
  <r>
    <n v="1331"/>
    <x v="3"/>
    <m/>
    <x v="2"/>
    <x v="11"/>
    <d v="2018-10-28T00:00:00"/>
    <d v="2018-10-28T00:00:00"/>
    <n v="0"/>
    <n v="0"/>
    <m/>
    <s v="RABOBANK NEDERLAND"/>
    <s v="UIT_AZIE"/>
    <s v="AZIE"/>
    <s v="azie kasopname/-uitgaves"/>
    <m/>
    <m/>
    <n v="-19.57"/>
    <m/>
    <m/>
    <m/>
    <m/>
    <m/>
    <m/>
    <m/>
  </r>
  <r>
    <n v="1332"/>
    <x v="3"/>
    <m/>
    <x v="2"/>
    <x v="11"/>
    <d v="2018-10-28T00:00:00"/>
    <d v="2018-10-28T00:00:00"/>
    <n v="0"/>
    <n v="0"/>
    <m/>
    <s v="RABOBANK NEDERLAND"/>
    <s v="UIT_AZIE"/>
    <s v="AZIE"/>
    <s v="azie kasopname/-uitgaves"/>
    <m/>
    <m/>
    <m/>
    <m/>
    <m/>
    <m/>
    <m/>
    <m/>
    <m/>
    <m/>
  </r>
  <r>
    <n v="1351"/>
    <x v="3"/>
    <m/>
    <x v="2"/>
    <x v="7"/>
    <d v="2018-11-08T00:00:00"/>
    <d v="2018-11-08T00:00:00"/>
    <n v="-4.8099999999999996"/>
    <n v="4.8099999999999996"/>
    <m/>
    <s v="123454093 ABU DHABI ARE"/>
    <s v="UIT_AZIE"/>
    <s v="AZIE"/>
    <s v="azie kasopname/-uitgaves"/>
    <m/>
    <m/>
    <m/>
    <m/>
    <m/>
    <m/>
    <m/>
    <m/>
    <m/>
    <m/>
  </r>
  <r>
    <n v="1352"/>
    <x v="3"/>
    <m/>
    <x v="2"/>
    <x v="7"/>
    <d v="2018-11-09T00:00:00"/>
    <d v="2018-11-09T00:00:00"/>
    <n v="-305.75"/>
    <n v="305.75"/>
    <m/>
    <s v="ATM004 Katunayake LKA"/>
    <s v="UIT_AZIE"/>
    <s v="AZIE"/>
    <s v="azie kasopname/-uitgaves"/>
    <m/>
    <m/>
    <m/>
    <m/>
    <m/>
    <m/>
    <m/>
    <m/>
    <m/>
    <m/>
  </r>
  <r>
    <n v="1353"/>
    <x v="3"/>
    <m/>
    <x v="2"/>
    <x v="7"/>
    <d v="2018-11-12T00:00:00"/>
    <d v="2018-11-12T00:00:00"/>
    <n v="-52.01"/>
    <n v="52.01"/>
    <m/>
    <s v="Seylan Bank HIKKADUWA LKA"/>
    <s v="UIT_AZIE"/>
    <s v="AZIE"/>
    <s v="azie kasopname/-uitgaves"/>
    <m/>
    <m/>
    <m/>
    <m/>
    <m/>
    <m/>
    <m/>
    <m/>
    <m/>
    <m/>
  </r>
  <r>
    <n v="1360"/>
    <x v="3"/>
    <m/>
    <x v="2"/>
    <x v="8"/>
    <d v="2018-12-06T00:00:00"/>
    <d v="2018-12-06T00:00:00"/>
    <n v="-415.14"/>
    <n v="415.14"/>
    <m/>
    <s v="SCB CHIANGMAI THA"/>
    <s v="UIT_AZIE"/>
    <s v="AZIE"/>
    <s v="azie kasopname/-uitgaves"/>
    <m/>
    <m/>
    <m/>
    <m/>
    <m/>
    <m/>
    <m/>
    <m/>
    <m/>
    <m/>
  </r>
  <r>
    <n v="1369"/>
    <x v="0"/>
    <m/>
    <x v="2"/>
    <x v="6"/>
    <d v="2018-01-08T00:00:00"/>
    <d v="2018-01-08T00:00:00"/>
    <n v="-76.38"/>
    <n v="76.38"/>
    <m/>
    <s v="GREEN TIGER HOUSE CHIANG MAI TH"/>
    <s v="UIT_AZIE"/>
    <s v="AZIE"/>
    <s v="hostel_azie"/>
    <m/>
    <m/>
    <m/>
    <m/>
    <m/>
    <m/>
    <m/>
    <m/>
    <m/>
    <m/>
  </r>
  <r>
    <n v="1370"/>
    <x v="0"/>
    <m/>
    <x v="2"/>
    <x v="6"/>
    <d v="2018-01-15T00:00:00"/>
    <d v="2018-01-15T00:00:00"/>
    <n v="-79.680000000000007"/>
    <n v="79.680000000000007"/>
    <m/>
    <s v="GREEN TIGER HOUSE CHIANG MAI TH"/>
    <s v="UIT_AZIE"/>
    <s v="AZIE"/>
    <s v="hostel_azie"/>
    <m/>
    <m/>
    <m/>
    <m/>
    <m/>
    <m/>
    <m/>
    <m/>
    <m/>
    <m/>
  </r>
  <r>
    <n v="1371"/>
    <x v="0"/>
    <m/>
    <x v="2"/>
    <x v="6"/>
    <d v="2018-01-22T00:00:00"/>
    <d v="2018-01-22T00:00:00"/>
    <n v="-75.599999999999994"/>
    <n v="75.599999999999994"/>
    <m/>
    <s v="GREEN TIGER HOUSE CHIANG MAI TH"/>
    <s v="UIT_AZIE"/>
    <s v="AZIE"/>
    <s v="hostel_azie"/>
    <m/>
    <m/>
    <m/>
    <m/>
    <m/>
    <m/>
    <m/>
    <m/>
    <m/>
    <m/>
  </r>
  <r>
    <n v="1378"/>
    <x v="0"/>
    <m/>
    <x v="2"/>
    <x v="12"/>
    <d v="2018-09-21T00:00:00"/>
    <d v="2018-09-21T00:00:00"/>
    <n v="-19.57"/>
    <n v="19.57"/>
    <m/>
    <s v="HOSTEL WORLD INTERNET IRL"/>
    <s v="UIT_AZIE"/>
    <s v="AZIE"/>
    <s v="hostel_azie"/>
    <m/>
    <m/>
    <m/>
    <m/>
    <m/>
    <m/>
    <m/>
    <m/>
    <m/>
    <m/>
  </r>
  <r>
    <n v="1380"/>
    <x v="0"/>
    <m/>
    <x v="2"/>
    <x v="11"/>
    <d v="2018-10-28T00:00:00"/>
    <d v="2018-10-28T00:00:00"/>
    <n v="-6.21"/>
    <n v="6.21"/>
    <m/>
    <s v="HOSTEL WORLD INTERNET IRL"/>
    <s v="UIT_AZIE"/>
    <s v="AZIE"/>
    <s v="hostel_azie"/>
    <m/>
    <m/>
    <m/>
    <m/>
    <m/>
    <m/>
    <m/>
    <m/>
    <m/>
    <m/>
  </r>
  <r>
    <n v="1385"/>
    <x v="1"/>
    <m/>
    <x v="3"/>
    <x v="13"/>
    <d v="2019-01-09T00:00:00"/>
    <d v="2019-01-09T00:00:00"/>
    <n v="-4.58"/>
    <n v="4.58"/>
    <m/>
    <s v="FACTURE CARTE DU 070119 GOOD SOULS CARTE 4974XXXXXXXX8"/>
    <s v="UIT_AZIE"/>
    <s v="AZIE"/>
    <s v="azie kasopname/-uitgaves"/>
    <m/>
    <m/>
    <m/>
    <m/>
    <m/>
    <m/>
    <m/>
    <m/>
    <m/>
    <m/>
  </r>
  <r>
    <n v="1400"/>
    <x v="1"/>
    <m/>
    <x v="3"/>
    <x v="14"/>
    <d v="2019-03-07T00:00:00"/>
    <d v="2019-03-07T00:00:00"/>
    <n v="-5.74"/>
    <n v="5.74"/>
    <m/>
    <s v="FACTURE CARTE DU 040319 SUBWAY - T2 CARTE 4974XXXXXXXX"/>
    <s v="UIT_AZIE"/>
    <s v="AZIE"/>
    <s v="azie kasopname/-uitgaves"/>
    <s v="VLIEGVELD"/>
    <m/>
    <m/>
    <m/>
    <m/>
    <m/>
    <m/>
    <m/>
    <m/>
    <m/>
  </r>
  <r>
    <n v="1648"/>
    <x v="2"/>
    <m/>
    <x v="3"/>
    <x v="13"/>
    <d v="2019-01-01T00:00:00"/>
    <d v="2019-01-01T00:00:00"/>
    <n v="-311"/>
    <n v="311"/>
    <m/>
    <s v="Hotel GTH "/>
    <s v="UIT_AZIE"/>
    <s v="AZIE"/>
    <s v="hostel_azie"/>
    <m/>
    <m/>
    <m/>
    <m/>
    <m/>
    <m/>
    <m/>
    <m/>
    <m/>
    <m/>
  </r>
  <r>
    <n v="1649"/>
    <x v="2"/>
    <m/>
    <x v="3"/>
    <x v="13"/>
    <d v="2019-01-09T00:00:00"/>
    <d v="2019-01-09T00:00:00"/>
    <n v="311"/>
    <n v="311"/>
    <m/>
    <s v="Hotel GTH "/>
    <s v="UIT_AZIE"/>
    <s v="AZIE"/>
    <s v="azie kasopname/-uitgaves"/>
    <m/>
    <m/>
    <m/>
    <m/>
    <m/>
    <m/>
    <m/>
    <m/>
    <m/>
    <m/>
  </r>
  <r>
    <n v="1650"/>
    <x v="2"/>
    <m/>
    <x v="3"/>
    <x v="15"/>
    <d v="2019-02-01T00:00:00"/>
    <d v="2019-02-01T00:00:00"/>
    <n v="-111"/>
    <n v="111"/>
    <m/>
    <s v="Hotel GTH "/>
    <s v="UIT_AZIE"/>
    <s v="AZIE"/>
    <s v="hostel_azie"/>
    <m/>
    <m/>
    <m/>
    <m/>
    <m/>
    <m/>
    <m/>
    <m/>
    <m/>
    <m/>
  </r>
  <r>
    <n v="1651"/>
    <x v="2"/>
    <m/>
    <x v="3"/>
    <x v="15"/>
    <d v="2019-02-28T00:00:00"/>
    <d v="2019-02-28T00:00:00"/>
    <n v="111"/>
    <n v="111"/>
    <m/>
    <s v="Hotel GTH "/>
    <s v="UIT_AZIE"/>
    <s v="AZIE"/>
    <s v="azie kasopname/-uitgaves"/>
    <m/>
    <m/>
    <n v="3996"/>
    <m/>
    <m/>
    <m/>
    <m/>
    <m/>
    <m/>
    <m/>
  </r>
  <r>
    <n v="1662"/>
    <x v="2"/>
    <m/>
    <x v="3"/>
    <x v="16"/>
    <d v="2019-11-02T00:00:00"/>
    <d v="2019-11-02T00:00:00"/>
    <n v="35"/>
    <n v="35"/>
    <m/>
    <s v="Over in kas INR"/>
    <s v="UIT_AZIE"/>
    <s v="AZIE"/>
    <s v="azie kasopname/-uitgaves"/>
    <m/>
    <m/>
    <m/>
    <m/>
    <m/>
    <m/>
    <m/>
    <m/>
    <m/>
    <m/>
  </r>
  <r>
    <n v="1663"/>
    <x v="2"/>
    <m/>
    <x v="3"/>
    <x v="17"/>
    <d v="2019-12-01T00:00:00"/>
    <d v="2019-12-01T00:00:00"/>
    <n v="-466"/>
    <n v="466"/>
    <m/>
    <s v="transfer bahts van januari naar dec"/>
    <s v="UIT_AZIE"/>
    <s v="AZIE"/>
    <s v="azie kasopname/-uitgaves"/>
    <m/>
    <m/>
    <m/>
    <m/>
    <m/>
    <m/>
    <m/>
    <m/>
    <m/>
    <m/>
  </r>
  <r>
    <n v="1664"/>
    <x v="2"/>
    <m/>
    <x v="3"/>
    <x v="16"/>
    <d v="2019-12-05T00:00:00"/>
    <d v="2019-12-05T00:00:00"/>
    <n v="-98.59"/>
    <n v="98.59"/>
    <m/>
    <s v="hostel"/>
    <s v="UIT_AZIE"/>
    <s v="AZIE"/>
    <s v="hostel_azie"/>
    <m/>
    <m/>
    <m/>
    <m/>
    <m/>
    <m/>
    <m/>
    <m/>
    <m/>
    <m/>
  </r>
  <r>
    <n v="1665"/>
    <x v="2"/>
    <m/>
    <x v="3"/>
    <x v="17"/>
    <d v="2019-12-05T00:00:00"/>
    <d v="2019-12-05T00:00:00"/>
    <n v="-63.1"/>
    <n v="63.1"/>
    <m/>
    <s v="hostel"/>
    <s v="UIT_AZIE"/>
    <s v="AZIE"/>
    <s v="hostel_azie"/>
    <m/>
    <m/>
    <m/>
    <m/>
    <m/>
    <m/>
    <m/>
    <m/>
    <m/>
    <m/>
  </r>
  <r>
    <n v="1666"/>
    <x v="2"/>
    <m/>
    <x v="3"/>
    <x v="16"/>
    <d v="2019-12-05T00:00:00"/>
    <d v="2019-12-05T00:00:00"/>
    <n v="98.59"/>
    <n v="98.59"/>
    <m/>
    <s v="hostel "/>
    <s v="UIT_AZIE"/>
    <s v="AZIE"/>
    <s v="azie kasopname/-uitgaves"/>
    <m/>
    <m/>
    <m/>
    <m/>
    <m/>
    <m/>
    <m/>
    <m/>
    <m/>
    <m/>
  </r>
  <r>
    <n v="1667"/>
    <x v="2"/>
    <m/>
    <x v="3"/>
    <x v="17"/>
    <d v="2019-12-05T00:00:00"/>
    <d v="2019-12-05T00:00:00"/>
    <n v="63.1"/>
    <n v="63.1"/>
    <m/>
    <s v="hostel "/>
    <s v="UIT_AZIE"/>
    <s v="AZIE"/>
    <s v="azie kasopname/-uitgaves"/>
    <m/>
    <m/>
    <m/>
    <m/>
    <m/>
    <m/>
    <m/>
    <m/>
    <m/>
    <m/>
  </r>
  <r>
    <n v="1668"/>
    <x v="2"/>
    <m/>
    <x v="3"/>
    <x v="17"/>
    <d v="2019-12-05T00:00:00"/>
    <d v="2019-12-05T00:00:00"/>
    <n v="221"/>
    <n v="221"/>
    <m/>
    <s v="GREEN TIGER HOSUE"/>
    <s v="UIT_AZIE"/>
    <s v="AZIE"/>
    <s v="azie kasopname/-uitgaves"/>
    <m/>
    <m/>
    <m/>
    <m/>
    <m/>
    <m/>
    <m/>
    <m/>
    <m/>
    <m/>
  </r>
  <r>
    <n v="1669"/>
    <x v="2"/>
    <m/>
    <x v="3"/>
    <x v="17"/>
    <d v="2019-12-31T00:00:00"/>
    <d v="2019-12-31T00:00:00"/>
    <n v="-221"/>
    <n v="221"/>
    <m/>
    <s v="Green tiger house"/>
    <s v="UIT_AZIE"/>
    <s v="AZIE"/>
    <s v="hostel_azie"/>
    <m/>
    <m/>
    <m/>
    <m/>
    <m/>
    <m/>
    <m/>
    <m/>
    <m/>
    <m/>
  </r>
  <r>
    <n v="1670"/>
    <x v="2"/>
    <m/>
    <x v="3"/>
    <x v="17"/>
    <d v="2019-12-31T00:00:00"/>
    <d v="2019-12-31T00:00:00"/>
    <m/>
    <n v="0"/>
    <m/>
    <s v="Uitgegeven Contanten  CM"/>
    <s v="UIT_AZIE"/>
    <s v="AZIE"/>
    <s v="azie kasopname/-uitgaves"/>
    <m/>
    <n v="-169"/>
    <m/>
    <m/>
    <m/>
    <m/>
    <m/>
    <m/>
    <m/>
    <m/>
  </r>
  <r>
    <n v="1671"/>
    <x v="3"/>
    <m/>
    <x v="3"/>
    <x v="15"/>
    <d v="2018-12-20T00:00:00"/>
    <d v="2018-12-20T00:00:00"/>
    <n v="-154.74"/>
    <n v="154.74"/>
    <m/>
    <s v="Captan's Home /Booking.com  (betaald in dec 2018)"/>
    <s v="UIT_AZIE"/>
    <s v="AZIE"/>
    <s v="hostel_azie"/>
    <m/>
    <m/>
    <m/>
    <m/>
    <m/>
    <m/>
    <m/>
    <m/>
    <m/>
    <m/>
  </r>
  <r>
    <n v="1672"/>
    <x v="3"/>
    <m/>
    <x v="3"/>
    <x v="13"/>
    <d v="2018-12-27T00:00:00"/>
    <d v="2018-12-27T00:00:00"/>
    <n v="-689.29"/>
    <n v="689.29"/>
    <m/>
    <s v="UPCA CHIANGMAI THA - eigenlijk dec 2018"/>
    <s v="UIT_AZIE"/>
    <s v="AZIE"/>
    <s v="azie kasopname/-uitgaves"/>
    <m/>
    <m/>
    <m/>
    <m/>
    <m/>
    <m/>
    <m/>
    <m/>
    <m/>
    <m/>
  </r>
  <r>
    <n v="1680"/>
    <x v="3"/>
    <m/>
    <x v="3"/>
    <x v="15"/>
    <d v="2019-02-02T00:00:00"/>
    <d v="2019-02-02T00:00:00"/>
    <n v="-684.43"/>
    <n v="684.43"/>
    <m/>
    <s v="UPCA CHIANGMAI THA"/>
    <s v="UIT_AZIE"/>
    <s v="AZIE"/>
    <s v="azie kasopname/-uitgaves"/>
    <m/>
    <m/>
    <m/>
    <m/>
    <m/>
    <m/>
    <m/>
    <m/>
    <m/>
    <m/>
  </r>
  <r>
    <n v="1688"/>
    <x v="3"/>
    <m/>
    <x v="3"/>
    <x v="15"/>
    <d v="2019-02-28T00:00:00"/>
    <d v="2019-02-28T00:00:00"/>
    <n v="466"/>
    <n v="466"/>
    <m/>
    <s v="NOG IN KAS, CORRECTIE"/>
    <s v="UIT_AZIE"/>
    <s v="AZIE"/>
    <s v="azie kasopname/-uitgaves"/>
    <m/>
    <m/>
    <m/>
    <m/>
    <m/>
    <m/>
    <m/>
    <m/>
    <m/>
    <m/>
  </r>
  <r>
    <n v="2008"/>
    <x v="3"/>
    <m/>
    <x v="3"/>
    <x v="16"/>
    <d v="2019-11-14T00:00:00"/>
    <d v="2019-11-14T00:00:00"/>
    <n v="-130.30000000000001"/>
    <n v="130.30000000000001"/>
    <m/>
    <s v="ICICI BANK NORTHGOA IND"/>
    <s v="UIT_AZIE"/>
    <s v="AZIE"/>
    <s v="azie kasopname/-uitgaves"/>
    <m/>
    <m/>
    <m/>
    <m/>
    <m/>
    <m/>
    <m/>
    <m/>
    <m/>
    <m/>
  </r>
  <r>
    <n v="2010"/>
    <x v="3"/>
    <m/>
    <x v="3"/>
    <x v="16"/>
    <d v="2019-11-19T00:00:00"/>
    <d v="2019-11-19T00:00:00"/>
    <n v="-127.38"/>
    <n v="127.38"/>
    <m/>
    <s v="SBI ARAMBOL ARAMBOL IND"/>
    <s v="UIT_AZIE"/>
    <s v="AZIE"/>
    <s v="azie kasopname/-uitgaves"/>
    <m/>
    <m/>
    <m/>
    <m/>
    <m/>
    <m/>
    <m/>
    <m/>
    <m/>
    <m/>
  </r>
  <r>
    <n v="2011"/>
    <x v="3"/>
    <m/>
    <x v="3"/>
    <x v="16"/>
    <d v="2019-11-20T00:00:00"/>
    <d v="2019-11-20T00:00:00"/>
    <n v="-127.41"/>
    <n v="127.41"/>
    <m/>
    <s v="SBI ARAMBOL ARAMBOL IND"/>
    <s v="UIT_AZIE"/>
    <s v="AZIE"/>
    <s v="azie kasopname/-uitgaves"/>
    <m/>
    <m/>
    <m/>
    <m/>
    <m/>
    <m/>
    <m/>
    <m/>
    <m/>
    <m/>
  </r>
  <r>
    <n v="2033"/>
    <x v="4"/>
    <m/>
    <x v="3"/>
    <x v="18"/>
    <d v="2019-09-13T00:00:00"/>
    <d v="2019-09-13T00:00:00"/>
    <n v="-23.9"/>
    <n v="23.9"/>
    <m/>
    <s v="PAGAMENTO ON LINE 13/09/2019 22.36 HOSTEL WORLD X IRL N. 661984"/>
    <s v="UIT_AZIE"/>
    <s v="AZIE"/>
    <s v="hostel_azie"/>
    <m/>
    <m/>
    <m/>
    <m/>
    <m/>
    <m/>
    <m/>
    <m/>
    <m/>
    <m/>
  </r>
  <r>
    <n v="2046"/>
    <x v="0"/>
    <m/>
    <x v="3"/>
    <x v="17"/>
    <d v="2019-12-01T00:00:00"/>
    <d v="2019-12-01T00:00:00"/>
    <n v="-2.4"/>
    <n v="2.4"/>
    <m/>
    <s v="correctie"/>
    <s v="UIT_AZIE"/>
    <s v="AZIE"/>
    <s v="azie kasopname/-uitgaves"/>
    <m/>
    <m/>
    <m/>
    <m/>
    <m/>
    <m/>
    <m/>
    <m/>
    <m/>
    <m/>
  </r>
  <r>
    <n v="2046"/>
    <x v="0"/>
    <m/>
    <x v="3"/>
    <x v="17"/>
    <d v="2019-12-01T00:00:00"/>
    <d v="2019-12-01T00:00:00"/>
    <n v="-132.29"/>
    <n v="132.29"/>
    <m/>
    <s v="HDFC BANK LTD. NORTH GOA IND"/>
    <s v="UIT_AZIE"/>
    <s v="AZIE"/>
    <s v="azie kasopname/-uitgaves"/>
    <m/>
    <m/>
    <m/>
    <m/>
    <m/>
    <m/>
    <m/>
    <m/>
    <m/>
    <m/>
  </r>
  <r>
    <n v="2048"/>
    <x v="0"/>
    <m/>
    <x v="3"/>
    <x v="17"/>
    <d v="2019-12-01T00:00:00"/>
    <d v="2019-12-01T00:00:00"/>
    <n v="-7.33"/>
    <n v="7.33"/>
    <m/>
    <s v="PLENTY SEEB MCT"/>
    <s v="UIT_AZIE"/>
    <s v="AZIE"/>
    <s v="azie kasopname/-uitgaves"/>
    <s v="VLIEGVELD"/>
    <m/>
    <m/>
    <m/>
    <m/>
    <m/>
    <m/>
    <m/>
    <m/>
    <m/>
  </r>
  <r>
    <n v="2049"/>
    <x v="0"/>
    <m/>
    <x v="3"/>
    <x v="17"/>
    <d v="2019-12-01T00:00:00"/>
    <d v="2019-12-01T00:00:00"/>
    <n v="-6.32"/>
    <n v="6.32"/>
    <m/>
    <s v="SPICE KITCHEN MCT OMN"/>
    <s v="UIT_AZIE"/>
    <s v="AZIE"/>
    <s v="azie kasopname/-uitgaves"/>
    <s v="VLIEGVELD"/>
    <m/>
    <m/>
    <m/>
    <m/>
    <m/>
    <m/>
    <m/>
    <m/>
    <m/>
  </r>
  <r>
    <n v="2051"/>
    <x v="0"/>
    <m/>
    <x v="3"/>
    <x v="17"/>
    <d v="2019-12-01T00:00:00"/>
    <d v="2019-12-01T00:00:00"/>
    <n v="-3.03"/>
    <n v="3.03"/>
    <m/>
    <s v="MCDONALDS MCT OMN"/>
    <s v="UIT_AZIE"/>
    <s v="AZIE"/>
    <s v="azie kasopname/-uitgaves"/>
    <s v="VLIEGVELD"/>
    <m/>
    <m/>
    <m/>
    <m/>
    <m/>
    <m/>
    <m/>
    <m/>
    <m/>
  </r>
  <r>
    <n v="2052"/>
    <x v="0"/>
    <m/>
    <x v="3"/>
    <x v="17"/>
    <d v="2019-12-01T00:00:00"/>
    <d v="2019-12-01T00:00:00"/>
    <n v="-2.52"/>
    <n v="2.52"/>
    <m/>
    <s v="PLENTY SEEB MCT"/>
    <s v="UIT_AZIE"/>
    <s v="AZIE"/>
    <s v="azie kasopname/-uitgaves"/>
    <s v="VLIEGVELD"/>
    <m/>
    <m/>
    <m/>
    <m/>
    <m/>
    <m/>
    <m/>
    <m/>
    <m/>
  </r>
  <r>
    <n v="2053"/>
    <x v="0"/>
    <m/>
    <x v="3"/>
    <x v="17"/>
    <d v="2019-12-01T00:00:00"/>
    <d v="2019-12-01T00:00:00"/>
    <n v="-2.41"/>
    <n v="2.41"/>
    <m/>
    <s v="LAUGHING BUDDHA ARAMBOL GOA"/>
    <s v="UIT_AZIE"/>
    <s v="AZIE"/>
    <s v="azie kasopname/-uitgaves"/>
    <m/>
    <m/>
    <m/>
    <m/>
    <m/>
    <m/>
    <m/>
    <m/>
    <m/>
    <m/>
  </r>
  <r>
    <n v="2060"/>
    <x v="1"/>
    <m/>
    <x v="4"/>
    <x v="19"/>
    <d v="2020-03-03T00:00:00"/>
    <d v="2020-03-03T00:00:00"/>
    <n v="330"/>
    <n v="330"/>
    <m/>
    <s v="VIREMENT /DE MLLE CLAIRE VERBEKE /MOTIF MERCI RENE /REF MERCI RENE"/>
    <s v="UIT_AZIE"/>
    <s v="AZIE"/>
    <s v="azie kasopname/-uitgaves"/>
    <m/>
    <s v="03-03-2020"/>
    <s v="A catégoriser"/>
    <s v="VIREMENT /DE MLLE CLAIRE VERBEKE /MOTIF MERCI RENE /REF MERCI RENE"/>
    <n v="330"/>
    <m/>
    <m/>
    <m/>
    <m/>
    <m/>
  </r>
  <r>
    <n v="2109"/>
    <x v="2"/>
    <m/>
    <x v="4"/>
    <x v="20"/>
    <d v="2020-01-01T00:00:00"/>
    <d v="2020-01-01T00:00:00"/>
    <n v="0"/>
    <n v="0"/>
    <m/>
    <s v="uitgaves volgens kasboek"/>
    <s v="UIT_AZIE"/>
    <s v="AZIE"/>
    <s v="azie kasopname/-uitgaves"/>
    <m/>
    <n v="-692.53775540420486"/>
    <m/>
    <m/>
    <m/>
    <m/>
    <m/>
    <m/>
    <m/>
    <m/>
  </r>
  <r>
    <n v="2110"/>
    <x v="2"/>
    <m/>
    <x v="4"/>
    <x v="20"/>
    <d v="2020-01-01T00:00:00"/>
    <d v="2020-01-01T00:00:00"/>
    <n v="-321.65302976402228"/>
    <n v="321.65302976402228"/>
    <m/>
    <s v="Green Tiger House"/>
    <s v="UIT_AZIE"/>
    <s v="AZIE"/>
    <s v="hostel_azie"/>
    <m/>
    <m/>
    <m/>
    <m/>
    <m/>
    <m/>
    <m/>
    <m/>
    <m/>
    <m/>
  </r>
  <r>
    <n v="2111"/>
    <x v="2"/>
    <m/>
    <x v="4"/>
    <x v="20"/>
    <d v="2020-01-01T00:00:00"/>
    <d v="2020-01-01T00:00:00"/>
    <n v="321.65302976402228"/>
    <n v="321.65302976402228"/>
    <m/>
    <s v="corr hotel"/>
    <s v="UIT_AZIE"/>
    <s v="AZIE"/>
    <s v="azie kasopname/-uitgaves"/>
    <m/>
    <m/>
    <m/>
    <m/>
    <m/>
    <m/>
    <m/>
    <m/>
    <m/>
    <m/>
  </r>
  <r>
    <n v="2112"/>
    <x v="2"/>
    <m/>
    <x v="4"/>
    <x v="19"/>
    <d v="2020-02-02T00:00:00"/>
    <d v="2020-02-02T00:00:00"/>
    <n v="0"/>
    <n v="0"/>
    <m/>
    <s v="uitgaves volgens kasboek"/>
    <s v="UIT_AZIE"/>
    <s v="AZIE"/>
    <s v="azie kasopname/-uitgaves"/>
    <m/>
    <n v="-338.08113710393837"/>
    <m/>
    <m/>
    <m/>
    <m/>
    <m/>
    <m/>
    <m/>
    <m/>
  </r>
  <r>
    <n v="2113"/>
    <x v="2"/>
    <m/>
    <x v="4"/>
    <x v="19"/>
    <d v="2020-02-02T00:00:00"/>
    <d v="2020-02-02T00:00:00"/>
    <n v="-176.39037116091546"/>
    <n v="176.39037116091546"/>
    <m/>
    <s v="Green Tiger House"/>
    <s v="UIT_AZIE"/>
    <s v="AZIE"/>
    <s v="hostel_azie"/>
    <m/>
    <m/>
    <m/>
    <m/>
    <m/>
    <m/>
    <m/>
    <m/>
    <m/>
    <m/>
  </r>
  <r>
    <n v="2114"/>
    <x v="2"/>
    <m/>
    <x v="4"/>
    <x v="19"/>
    <d v="2020-02-02T00:00:00"/>
    <d v="2020-02-02T00:00:00"/>
    <n v="176.39037116091546"/>
    <n v="176.39037116091546"/>
    <m/>
    <s v="corr hotel"/>
    <s v="UIT_AZIE"/>
    <s v="AZIE"/>
    <s v="azie kasopname/-uitgaves"/>
    <m/>
    <m/>
    <m/>
    <m/>
    <m/>
    <m/>
    <m/>
    <m/>
    <m/>
    <m/>
  </r>
  <r>
    <n v="2115"/>
    <x v="2"/>
    <m/>
    <x v="4"/>
    <x v="19"/>
    <d v="2020-02-02T00:00:00"/>
    <d v="2020-02-02T00:00:00"/>
    <n v="0"/>
    <n v="0"/>
    <m/>
    <s v="uitgaves volgens kasboek"/>
    <s v="UIT_AZIE"/>
    <s v="AZIE"/>
    <s v="azie kasopname/-uitgaves"/>
    <m/>
    <n v="-254.98662126003407"/>
    <m/>
    <m/>
    <m/>
    <m/>
    <m/>
    <m/>
    <m/>
    <m/>
  </r>
  <r>
    <n v="2116"/>
    <x v="2"/>
    <m/>
    <x v="4"/>
    <x v="19"/>
    <d v="2020-02-02T00:00:00"/>
    <d v="2020-02-02T00:00:00"/>
    <n v="-87.569934322549258"/>
    <n v="87.569934322549258"/>
    <m/>
    <s v="New Ubud Hostel"/>
    <s v="UIT_AZIE"/>
    <s v="AZIE"/>
    <s v="hostel_azie"/>
    <m/>
    <m/>
    <m/>
    <m/>
    <m/>
    <m/>
    <m/>
    <m/>
    <m/>
    <m/>
  </r>
  <r>
    <n v="2117"/>
    <x v="2"/>
    <m/>
    <x v="4"/>
    <x v="19"/>
    <d v="2020-02-02T00:00:00"/>
    <d v="2020-02-02T00:00:00"/>
    <n v="87.569934322549258"/>
    <n v="87.569934322549258"/>
    <m/>
    <s v="corr hotel"/>
    <s v="UIT_AZIE"/>
    <s v="AZIE"/>
    <s v="azie kasopname/-uitgaves"/>
    <m/>
    <m/>
    <m/>
    <m/>
    <m/>
    <m/>
    <m/>
    <m/>
    <m/>
    <m/>
  </r>
  <r>
    <n v="2118"/>
    <x v="2"/>
    <m/>
    <x v="4"/>
    <x v="19"/>
    <d v="2020-02-02T00:00:00"/>
    <d v="2020-02-02T00:00:00"/>
    <n v="497.43"/>
    <n v="497.43"/>
    <m/>
    <s v="Over in kas THB"/>
    <s v="UIT_AZIE"/>
    <s v="AZIE"/>
    <s v="azie kasopname/-uitgaves"/>
    <m/>
    <m/>
    <m/>
    <m/>
    <m/>
    <m/>
    <m/>
    <m/>
    <m/>
    <m/>
  </r>
  <r>
    <n v="2119"/>
    <x v="2"/>
    <m/>
    <x v="4"/>
    <x v="21"/>
    <d v="2020-03-03T00:00:00"/>
    <d v="2020-03-03T00:00:00"/>
    <n v="0"/>
    <n v="0"/>
    <m/>
    <s v="uitgaves volgens kasboek"/>
    <s v="UIT_AZIE"/>
    <s v="AZIE"/>
    <s v="azie kasopname/-uitgaves"/>
    <m/>
    <n v="-249.02700072974946"/>
    <m/>
    <m/>
    <m/>
    <m/>
    <m/>
    <m/>
    <m/>
    <m/>
  </r>
  <r>
    <n v="2120"/>
    <x v="2"/>
    <m/>
    <x v="4"/>
    <x v="21"/>
    <d v="2020-03-03T00:00:00"/>
    <d v="2020-03-03T00:00:00"/>
    <n v="-58.379956215032841"/>
    <n v="58.379956215032841"/>
    <m/>
    <s v="New Ubud Hostel"/>
    <s v="UIT_AZIE"/>
    <s v="AZIE"/>
    <s v="hostel_azie"/>
    <m/>
    <m/>
    <m/>
    <m/>
    <m/>
    <m/>
    <m/>
    <m/>
    <m/>
    <m/>
  </r>
  <r>
    <n v="2121"/>
    <x v="2"/>
    <m/>
    <x v="4"/>
    <x v="21"/>
    <d v="2020-03-03T00:00:00"/>
    <d v="2020-03-03T00:00:00"/>
    <n v="58.379956215032841"/>
    <n v="58.379956215032841"/>
    <m/>
    <s v="corr hotel"/>
    <s v="UIT_AZIE"/>
    <s v="AZIE"/>
    <s v="azie kasopname/-uitgaves"/>
    <m/>
    <m/>
    <m/>
    <m/>
    <m/>
    <m/>
    <m/>
    <m/>
    <m/>
    <m/>
  </r>
  <r>
    <n v="2122"/>
    <x v="2"/>
    <m/>
    <x v="4"/>
    <x v="21"/>
    <d v="2020-03-03T00:00:00"/>
    <d v="2020-03-03T00:00:00"/>
    <n v="0"/>
    <n v="0"/>
    <m/>
    <s v="uitgaves volgens kasboek"/>
    <s v="UIT_AZIE"/>
    <s v="AZIE"/>
    <s v="azie kasopname/-uitgaves"/>
    <m/>
    <n v="-274.99299130922344"/>
    <m/>
    <m/>
    <m/>
    <m/>
    <m/>
    <m/>
    <m/>
    <m/>
  </r>
  <r>
    <n v="2123"/>
    <x v="2"/>
    <m/>
    <x v="4"/>
    <x v="21"/>
    <d v="2020-03-03T00:00:00"/>
    <d v="2020-03-03T00:00:00"/>
    <n v="-95.31819456125595"/>
    <n v="95.31819456125595"/>
    <m/>
    <s v="Captan Home"/>
    <s v="UIT_AZIE"/>
    <s v="AZIE"/>
    <s v="hostel_azie"/>
    <m/>
    <m/>
    <m/>
    <m/>
    <m/>
    <m/>
    <m/>
    <m/>
    <m/>
    <m/>
  </r>
  <r>
    <n v="2124"/>
    <x v="2"/>
    <m/>
    <x v="4"/>
    <x v="21"/>
    <d v="2020-03-03T00:00:00"/>
    <d v="2020-03-03T00:00:00"/>
    <n v="95.31819456125595"/>
    <n v="95.31819456125595"/>
    <m/>
    <s v="corr hotel"/>
    <s v="UIT_AZIE"/>
    <s v="AZIE"/>
    <s v="azie kasopname/-uitgaves"/>
    <m/>
    <m/>
    <m/>
    <m/>
    <m/>
    <m/>
    <m/>
    <m/>
    <m/>
    <m/>
  </r>
  <r>
    <n v="2125"/>
    <x v="2"/>
    <m/>
    <x v="4"/>
    <x v="21"/>
    <d v="2020-03-03T00:00:00"/>
    <d v="2020-03-03T00:00:00"/>
    <n v="28.571428571428573"/>
    <n v="28.571428571428573"/>
    <m/>
    <s v="ingewisseld BHT-USD Bernadette"/>
    <s v="UIT_AZIE"/>
    <s v="AZIE"/>
    <s v="azie kasopname/-uitgaves"/>
    <m/>
    <m/>
    <m/>
    <m/>
    <m/>
    <m/>
    <m/>
    <m/>
    <m/>
    <m/>
  </r>
  <r>
    <n v="2126"/>
    <x v="2"/>
    <m/>
    <x v="4"/>
    <x v="21"/>
    <d v="2020-03-03T00:00:00"/>
    <d v="2020-03-03T00:00:00"/>
    <n v="-497.43"/>
    <n v="497.43"/>
    <m/>
    <s v="in kas THB"/>
    <s v="UIT_AZIE"/>
    <s v="AZIE"/>
    <s v="azie kasopname/-uitgaves"/>
    <m/>
    <m/>
    <m/>
    <m/>
    <m/>
    <m/>
    <m/>
    <m/>
    <m/>
    <m/>
  </r>
  <r>
    <n v="2127"/>
    <x v="2"/>
    <m/>
    <x v="4"/>
    <x v="22"/>
    <d v="2020-04-04T00:00:00"/>
    <d v="2020-04-04T00:00:00"/>
    <n v="0"/>
    <n v="0"/>
    <m/>
    <s v="uitgaves volgens kasboek"/>
    <s v="UIT_AZIE"/>
    <s v="AZIE"/>
    <s v="azie kasopname/-uitgaves"/>
    <m/>
    <n v="-447.12643678160919"/>
    <m/>
    <m/>
    <m/>
    <m/>
    <m/>
    <m/>
    <m/>
    <m/>
  </r>
  <r>
    <n v="2128"/>
    <x v="2"/>
    <m/>
    <x v="4"/>
    <x v="22"/>
    <d v="2020-04-04T00:00:00"/>
    <d v="2020-04-04T00:00:00"/>
    <n v="-144.17878168929474"/>
    <n v="144.17878168929474"/>
    <m/>
    <s v="Captan Home"/>
    <s v="UIT_AZIE"/>
    <s v="AZIE"/>
    <s v="hostel_azie"/>
    <m/>
    <m/>
    <m/>
    <m/>
    <m/>
    <m/>
    <m/>
    <m/>
    <m/>
    <m/>
  </r>
  <r>
    <n v="2129"/>
    <x v="2"/>
    <m/>
    <x v="4"/>
    <x v="22"/>
    <d v="2020-04-04T00:00:00"/>
    <d v="2020-04-04T00:00:00"/>
    <n v="144.17878168929474"/>
    <n v="144.17878168929474"/>
    <m/>
    <s v="corr hotel"/>
    <s v="UIT_AZIE"/>
    <s v="AZIE"/>
    <s v="azie kasopname/-uitgaves"/>
    <m/>
    <m/>
    <m/>
    <m/>
    <m/>
    <m/>
    <m/>
    <m/>
    <m/>
    <m/>
  </r>
  <r>
    <n v="2130"/>
    <x v="2"/>
    <m/>
    <x v="4"/>
    <x v="22"/>
    <d v="2020-04-30T00:00:00"/>
    <d v="2020-04-30T00:00:00"/>
    <m/>
    <n v="0"/>
    <m/>
    <s v="nog in kas (496,22)"/>
    <s v="UIT_AZIE"/>
    <s v="AZIE"/>
    <s v="azie kasopname/-uitgaves"/>
    <m/>
    <m/>
    <m/>
    <m/>
    <m/>
    <m/>
    <m/>
    <m/>
    <m/>
    <m/>
  </r>
  <r>
    <n v="2131"/>
    <x v="2"/>
    <m/>
    <x v="4"/>
    <x v="23"/>
    <d v="2020-05-05T00:00:00"/>
    <d v="2020-05-05T00:00:00"/>
    <n v="148.45714285714286"/>
    <n v="148.45714285714286"/>
    <m/>
    <s v="correctie hoistel"/>
    <s v="UIT_AZIE"/>
    <s v="AZIE"/>
    <s v="azie kasopname/-uitgaves"/>
    <m/>
    <m/>
    <m/>
    <m/>
    <m/>
    <m/>
    <m/>
    <m/>
    <m/>
    <m/>
  </r>
  <r>
    <n v="2132"/>
    <x v="2"/>
    <m/>
    <x v="4"/>
    <x v="23"/>
    <d v="2020-05-05T00:00:00"/>
    <d v="2020-05-05T00:00:00"/>
    <n v="-148.45714285714286"/>
    <n v="148.45714285714286"/>
    <m/>
    <s v="correctie hoistel"/>
    <s v="UIT_AZIE"/>
    <s v="AZIE"/>
    <s v="hostel_azie"/>
    <m/>
    <m/>
    <m/>
    <m/>
    <m/>
    <m/>
    <m/>
    <m/>
    <m/>
    <m/>
  </r>
  <r>
    <n v="2133"/>
    <x v="2"/>
    <m/>
    <x v="4"/>
    <x v="24"/>
    <d v="2020-06-06T00:00:00"/>
    <d v="2020-06-06T00:00:00"/>
    <n v="95"/>
    <n v="95"/>
    <m/>
    <s v="correctie thai bhat"/>
    <s v="UIT_AZIE"/>
    <s v="AZIE"/>
    <s v="azie kasopname/-uitgaves"/>
    <m/>
    <m/>
    <m/>
    <m/>
    <m/>
    <m/>
    <m/>
    <m/>
    <m/>
    <m/>
  </r>
  <r>
    <n v="2134"/>
    <x v="2"/>
    <m/>
    <x v="4"/>
    <x v="24"/>
    <d v="2020-06-06T00:00:00"/>
    <d v="2020-06-06T00:00:00"/>
    <n v="148.45714285714286"/>
    <n v="148.45714285714286"/>
    <m/>
    <s v="correctie hoistel"/>
    <s v="UIT_AZIE"/>
    <s v="AZIE"/>
    <s v="azie kasopname/-uitgaves"/>
    <m/>
    <m/>
    <m/>
    <m/>
    <m/>
    <m/>
    <m/>
    <m/>
    <m/>
    <m/>
  </r>
  <r>
    <n v="2135"/>
    <x v="2"/>
    <m/>
    <x v="4"/>
    <x v="24"/>
    <d v="2020-06-06T00:00:00"/>
    <d v="2020-06-06T00:00:00"/>
    <n v="-148.45714285714286"/>
    <n v="148.45714285714286"/>
    <m/>
    <s v="correctie hoistel"/>
    <s v="UIT_AZIE"/>
    <s v="AZIE"/>
    <s v="hostel_azie"/>
    <m/>
    <m/>
    <m/>
    <m/>
    <m/>
    <m/>
    <m/>
    <m/>
    <m/>
    <m/>
  </r>
  <r>
    <n v="2146"/>
    <x v="3"/>
    <m/>
    <x v="4"/>
    <x v="20"/>
    <d v="2020-01-03T00:00:00"/>
    <d v="2020-01-03T00:00:00"/>
    <n v="-760.07"/>
    <n v="760.07"/>
    <m/>
    <s v="UPCA CHIANGMAI THA"/>
    <s v="UIT_AZIE"/>
    <s v="AZIE"/>
    <s v="azie kasopname/-uitgaves"/>
    <m/>
    <s v="NL22RABO0381604934"/>
    <s v="Geldautomaat 20:11 pasnr. 011      . Automaat T112B523 02-01-2020     Koersopslag 1,2% EUR 9,01."/>
    <s v="RABONL2U"/>
    <n v="3075"/>
    <d v="2020-01-03T00:00:00"/>
    <d v="2020-01-03T00:00:00"/>
    <n v="-760.07"/>
    <n v="363.84"/>
    <m/>
  </r>
  <r>
    <n v="2151"/>
    <x v="3"/>
    <m/>
    <x v="4"/>
    <x v="19"/>
    <d v="2020-02-01T00:00:00"/>
    <d v="2020-01-31T00:00:00"/>
    <n v="-749.03"/>
    <n v="749.03"/>
    <m/>
    <s v="UPCA CHIANGMAI THA"/>
    <s v="UIT_AZIE"/>
    <s v="AZIE"/>
    <s v="azie kasopname/-uitgaves"/>
    <m/>
    <s v="NL22RABO0381604934"/>
    <s v="Geldautomaat 14:24 pasnr. 011      . Automaat T042B523 30-01-2020     Koersopslag 1,2% EUR 8,88."/>
    <s v="RABONL2U"/>
    <n v="3082"/>
    <d v="2020-01-31T00:00:00"/>
    <d v="2020-01-31T00:00:00"/>
    <n v="-749.03"/>
    <n v="341.15"/>
    <m/>
  </r>
  <r>
    <n v="2158"/>
    <x v="3"/>
    <m/>
    <x v="4"/>
    <x v="19"/>
    <d v="2020-02-17T00:00:00"/>
    <d v="2020-02-17T00:00:00"/>
    <n v="-306.93"/>
    <n v="306.93"/>
    <m/>
    <s v="THAI FARMERS BA CHIANGMAI THA"/>
    <s v="UIT_AZIE"/>
    <s v="AZIE"/>
    <s v="azie kasopname/-uitgaves"/>
    <m/>
    <s v="NL22RABO0381604934"/>
    <s v="Geldautomaat 13:51 pasnr. 011      . Automaat S1D1353 16-02-2020      Koersopslag 1,2% EUR 3,64."/>
    <s v="RABONL2U"/>
    <n v="3090"/>
    <d v="2020-02-17T00:00:00"/>
    <d v="2020-02-17T00:00:00"/>
    <n v="-306.93"/>
    <n v="176.89"/>
    <m/>
  </r>
  <r>
    <n v="2159"/>
    <x v="3"/>
    <m/>
    <x v="4"/>
    <x v="19"/>
    <d v="2020-02-18T00:00:00"/>
    <d v="2020-02-18T00:00:00"/>
    <n v="-104.13"/>
    <n v="104.13"/>
    <m/>
    <s v="950 Jakarta IDN"/>
    <s v="UIT_AZIE"/>
    <s v="AZIE"/>
    <s v="azie kasopname/-uitgaves"/>
    <m/>
    <s v="NL22RABO0381604934"/>
    <s v="Geldautomaat 22:02 pasnr. 011      . Automaat AT0D 17-02-2020         Koersopslag 1,2% EUR 1,23."/>
    <s v="RABONL2U"/>
    <n v="3091"/>
    <d v="2020-02-18T00:00:00"/>
    <d v="2020-02-18T00:00:00"/>
    <n v="-104.13"/>
    <n v="72.760000000000005"/>
    <m/>
  </r>
  <r>
    <n v="2162"/>
    <x v="3"/>
    <m/>
    <x v="4"/>
    <x v="19"/>
    <d v="2020-02-20T00:00:00"/>
    <d v="2020-02-20T00:00:00"/>
    <n v="-102.77"/>
    <n v="102.77"/>
    <m/>
    <s v="RPC DENPASAR DENPASAR IDN"/>
    <s v="UIT_AZIE"/>
    <s v="AZIE"/>
    <s v="azie kasopname/-uitgaves"/>
    <m/>
    <s v="NL22RABO0381604934"/>
    <s v="Geldautomaat 11:46 pasnr. 011      . Automaat 00001688 19-02-2020     Koersopslag 1,2% EUR 1,22."/>
    <s v="RABONL2U"/>
    <n v="3095"/>
    <d v="2020-02-20T00:00:00"/>
    <d v="2020-02-20T00:00:00"/>
    <n v="-102.77"/>
    <n v="454"/>
    <m/>
  </r>
  <r>
    <n v="2164"/>
    <x v="3"/>
    <m/>
    <x v="4"/>
    <x v="19"/>
    <d v="2020-02-25T00:00:00"/>
    <d v="2020-02-25T00:00:00"/>
    <n v="-169.76"/>
    <n v="169.76"/>
    <m/>
    <s v="00000000000 DENPASAR   M IDN"/>
    <s v="UIT_AZIE"/>
    <s v="AZIE"/>
    <s v="azie kasopname/-uitgaves"/>
    <m/>
    <s v="NL22RABO0381604934"/>
    <s v="Geldautomaat 11:02 pasnr. 011      . Automaat S1AW1DYZ 24-02-2020     Koersopslag 1,2% EUR 2,01."/>
    <s v="RABONL2U"/>
    <n v="3097"/>
    <d v="2020-02-25T00:00:00"/>
    <d v="2020-02-25T00:00:00"/>
    <n v="-169.76"/>
    <n v="335.83"/>
    <m/>
  </r>
  <r>
    <n v="2168"/>
    <x v="3"/>
    <m/>
    <x v="4"/>
    <x v="21"/>
    <d v="2020-03-05T00:00:00"/>
    <d v="2020-03-05T00:00:00"/>
    <n v="-161.66999999999999"/>
    <n v="161.66999999999999"/>
    <m/>
    <s v="00000000000 DENPASAR   M IDN"/>
    <s v="UIT_AZIE"/>
    <s v="AZIE"/>
    <s v="azie kasopname/-uitgaves"/>
    <m/>
    <s v="NL22RABO0381604934"/>
    <s v="Geldautomaat 10:59 pasnr. 011      . Automaat S1AW1DYZ 04-03-2020     Koersopslag 1,2% EUR 1,92."/>
    <s v="RABONL2U"/>
    <n v="3104"/>
    <d v="2020-03-05T00:00:00"/>
    <d v="2020-03-05T00:00:00"/>
    <n v="-161.66999999999999"/>
    <n v="1.85"/>
    <m/>
  </r>
  <r>
    <n v="2169"/>
    <x v="3"/>
    <m/>
    <x v="4"/>
    <x v="21"/>
    <d v="2020-03-14T00:00:00"/>
    <d v="2020-03-14T00:00:00"/>
    <n v="-18.82"/>
    <n v="18.82"/>
    <m/>
    <s v="RPC DENPASAR DENPASAR IDN"/>
    <s v="UIT_AZIE"/>
    <s v="AZIE"/>
    <s v="azie kasopname/-uitgaves"/>
    <m/>
    <s v="NL22RABO0381604934"/>
    <s v="Geldautomaat 20:20 pasnr. 011      . Automaat 00001924 13-03-2020     Koersopslag 1,2% EUR 0,22."/>
    <s v="RABONL2U"/>
    <n v="3106"/>
    <d v="2020-03-14T00:00:00"/>
    <d v="2020-03-14T00:00:00"/>
    <n v="-18.82"/>
    <n v="83.03"/>
    <m/>
  </r>
  <r>
    <n v="2173"/>
    <x v="3"/>
    <m/>
    <x v="4"/>
    <x v="22"/>
    <d v="2020-04-01T00:00:00"/>
    <d v="2020-03-26T00:00:00"/>
    <n v="-581.20000000000005"/>
    <n v="581.20000000000005"/>
    <m/>
    <s v="0006 SURAT THA"/>
    <s v="UIT_AZIE"/>
    <s v="AZIE"/>
    <s v="azie kasopname/-uitgaves"/>
    <m/>
    <s v="NL22RABO0381604934"/>
    <s v="Geldautomaat 14:18 pasnr. 011      . Automaat K10718 25-03-2020       Koersopslag 1,2% EUR 6,89."/>
    <s v="RABONL2U"/>
    <n v="3111"/>
    <d v="2020-03-26T00:00:00"/>
    <d v="2020-03-26T00:00:00"/>
    <n v="-581.20000000000005"/>
    <n v="60.84"/>
    <m/>
  </r>
  <r>
    <n v="2178"/>
    <x v="3"/>
    <m/>
    <x v="4"/>
    <x v="22"/>
    <d v="2020-04-14T00:00:00"/>
    <d v="2020-04-14T00:00:00"/>
    <n v="341.86"/>
    <n v="341.86"/>
    <m/>
    <s v="JANE KING"/>
    <s v="UIT_AZIE"/>
    <s v="AZIE"/>
    <s v="azie kasopname/-uitgaves"/>
    <m/>
    <s v="NL22RABO0381604934"/>
    <s v="GB23NWBK60140360271817             Wereldbetaling SHA                 GBP 300,00 EUR=0,87755 GBP"/>
    <s v="RABONL2U"/>
    <n v="3118"/>
    <d v="2020-04-14T00:00:00"/>
    <d v="2020-04-14T00:00:00"/>
    <n v="341.86"/>
    <n v="446.39"/>
    <m/>
  </r>
  <r>
    <n v="2179"/>
    <x v="3"/>
    <m/>
    <x v="4"/>
    <x v="22"/>
    <d v="2020-04-16T00:00:00"/>
    <d v="2020-04-16T00:00:00"/>
    <n v="-578.98"/>
    <n v="578.98"/>
    <m/>
    <s v="BAYA SURATTHANI THA"/>
    <s v="UIT_AZIE"/>
    <s v="AZIE"/>
    <s v="azie kasopname/-uitgaves"/>
    <m/>
    <s v="NL22RABO0381604934"/>
    <s v="Geldautomaat 10:51 pasnr. 011      . Automaat S1B2143 15-04-2020      Koersopslag 1,2% EUR 6,87."/>
    <s v="RABONL2U"/>
    <n v="3120"/>
    <d v="2020-04-16T00:00:00"/>
    <d v="2020-04-16T00:00:00"/>
    <n v="-578.98"/>
    <n v="117.41"/>
    <m/>
  </r>
  <r>
    <n v="2187"/>
    <x v="3"/>
    <m/>
    <x v="4"/>
    <x v="23"/>
    <d v="2020-05-07T00:00:00"/>
    <d v="2020-05-07T00:00:00"/>
    <n v="341.34"/>
    <n v="341.34"/>
    <m/>
    <s v="JANE KING"/>
    <s v="UIT_AZIE"/>
    <s v="AZIE"/>
    <s v="azie kasopname/-uitgaves"/>
    <m/>
    <s v="GB23NWBK60140360271817             Wereldbetaling SHA                 GBP 300,00 EUR=0,87890 GBP"/>
    <m/>
    <s v="db"/>
    <m/>
    <m/>
    <m/>
    <m/>
    <m/>
    <s v="Abonnement maandelijks papieren    rekeningafschrift                  Periode 01-05-2020 t/m 31-05-2020"/>
  </r>
  <r>
    <n v="2188"/>
    <x v="3"/>
    <m/>
    <x v="4"/>
    <x v="23"/>
    <d v="2020-05-15T00:00:00"/>
    <d v="2020-05-15T00:00:00"/>
    <n v="-445.84"/>
    <n v="445.84"/>
    <m/>
    <s v="BAYA SURATTHANI THA"/>
    <s v="UIT_AZIE"/>
    <s v="AZIE"/>
    <s v="azie kasopname/-uitgaves"/>
    <m/>
    <s v="Geldautomaat 16:11 pasnr. 011      . Automaat S1B2143 14-05-2020      Koersopslag 1,2% EUR 5,29."/>
    <m/>
    <s v="gb"/>
    <m/>
    <m/>
    <m/>
    <m/>
    <m/>
    <m/>
  </r>
  <r>
    <n v="2195"/>
    <x v="3"/>
    <m/>
    <x v="4"/>
    <x v="24"/>
    <d v="2020-06-09T00:00:00"/>
    <d v="2020-06-09T00:00:00"/>
    <n v="-435.02"/>
    <n v="435.02"/>
    <m/>
    <s v="BAYA SURATTHANI THA"/>
    <s v="UIT_AZIE"/>
    <s v="AZIE"/>
    <s v="azie kasopname/-uitgaves"/>
    <m/>
    <s v="Geldautomaat 15:37 pasnr. 011      . Automaat S1B2585 08-06-2020      Koersopslag 1,2% EUR 5,16."/>
    <m/>
    <s v="gb"/>
    <m/>
    <m/>
    <m/>
    <m/>
    <m/>
    <m/>
  </r>
  <r>
    <n v="2590"/>
    <x v="0"/>
    <m/>
    <x v="4"/>
    <x v="20"/>
    <d v="2020-01-09T00:00:00"/>
    <d v="2020-01-09T00:00:00"/>
    <n v="-71.08"/>
    <n v="71.08"/>
    <m/>
    <s v="ALEX YOGA // ASHRAM PROGRAM FEE LOC   COIMBATORE   TAM"/>
    <s v="UIT_AZIE"/>
    <s v="AZIE"/>
    <s v="azie kasopname/-uitgaves"/>
    <m/>
    <n v="3631"/>
    <s v="EUR"/>
    <s v="Rabo GoldCard - Mastercard"/>
    <s v="R.C. SMIT"/>
    <m/>
    <d v="2020-01-09T00:00:00"/>
    <d v="2020-01-09T00:00:00"/>
    <s v="-71.08"/>
    <s v="NL22RABO0381604934"/>
  </r>
  <r>
    <n v="2593"/>
    <x v="0"/>
    <m/>
    <x v="4"/>
    <x v="19"/>
    <d v="2020-02-03T00:00:00"/>
    <d v="2020-02-03T00:00:00"/>
    <n v="-28.46"/>
    <n v="28.46"/>
    <m/>
    <s v="VIETJETAIR CYBER - THB   HA NOI       VNM"/>
    <s v="UIT_AZIE"/>
    <s v="AZIE"/>
    <s v="azie kasopname/-uitgaves"/>
    <m/>
    <n v="3631"/>
    <s v="EUR"/>
    <s v="Rabo GoldCard - Mastercard"/>
    <s v="R.C. SMIT"/>
    <m/>
    <d v="2020-02-03T00:00:00"/>
    <d v="2020-02-03T00:00:00"/>
    <s v="-28.46"/>
    <s v="NL22RABO0381604934"/>
  </r>
  <r>
    <n v="2598"/>
    <x v="0"/>
    <m/>
    <x v="4"/>
    <x v="21"/>
    <d v="2020-03-21T00:00:00"/>
    <d v="2020-03-21T00:00:00"/>
    <n v="-1.06"/>
    <n v="1.06"/>
    <m/>
    <s v="HOSTEL WORLD             X            IRL"/>
    <s v="UIT_AZIE"/>
    <s v="AZIE"/>
    <s v="hostel_azie"/>
    <m/>
    <n v="3631"/>
    <s v="EUR"/>
    <s v="Rabo GoldCard - Mastercard"/>
    <s v="R.C. SMIT"/>
    <m/>
    <d v="2020-03-21T00:00:00"/>
    <d v="2020-03-21T00:00:00"/>
    <s v="-1.06"/>
    <s v="NL22RABO0381604934"/>
  </r>
  <r>
    <n v="2658"/>
    <x v="2"/>
    <m/>
    <x v="5"/>
    <x v="25"/>
    <d v="2021-11-17T00:00:00"/>
    <d v="2021-11-17T00:00:00"/>
    <n v="-8.3333333333333339"/>
    <n v="8.3333333333333339"/>
    <m/>
    <s v="CORRECTIE HOTEL"/>
    <s v="UIT_AZIE"/>
    <s v="AZIE"/>
    <s v="hotel"/>
    <m/>
    <m/>
    <m/>
    <m/>
    <m/>
    <m/>
    <m/>
    <m/>
    <m/>
    <m/>
  </r>
  <r>
    <n v="2659"/>
    <x v="2"/>
    <m/>
    <x v="5"/>
    <x v="26"/>
    <d v="2021-11-17T00:00:00"/>
    <d v="2021-11-17T00:00:00"/>
    <m/>
    <n v="0"/>
    <m/>
    <s v="IN KAS 791,33"/>
    <s v="UIT_AZIE"/>
    <s v="AZIE"/>
    <s v="azie kasopname/-uitgaves"/>
    <m/>
    <m/>
    <m/>
    <m/>
    <m/>
    <m/>
    <m/>
    <m/>
    <m/>
    <m/>
  </r>
  <r>
    <n v="2662"/>
    <x v="2"/>
    <m/>
    <x v="5"/>
    <x v="26"/>
    <d v="2021-11-30T00:00:00"/>
    <m/>
    <n v="-172.75"/>
    <n v="172.75"/>
    <m/>
    <s v="dagelijkse uitgaves"/>
    <s v="UIT_AZIE"/>
    <s v="AZIE"/>
    <s v="azie dagelijkse uitgaven"/>
    <m/>
    <m/>
    <m/>
    <m/>
    <m/>
    <m/>
    <m/>
    <m/>
    <m/>
    <m/>
  </r>
  <r>
    <n v="2663"/>
    <x v="2"/>
    <m/>
    <x v="5"/>
    <x v="26"/>
    <d v="2021-11-30T00:00:00"/>
    <m/>
    <n v="-85.833333333333329"/>
    <n v="85.833333333333329"/>
    <m/>
    <s v="hotel azie"/>
    <s v="UIT_AZIE"/>
    <s v="AZIE"/>
    <s v="hotel"/>
    <m/>
    <m/>
    <m/>
    <m/>
    <m/>
    <m/>
    <m/>
    <m/>
    <m/>
    <m/>
  </r>
  <r>
    <n v="2664"/>
    <x v="2"/>
    <m/>
    <x v="5"/>
    <x v="26"/>
    <d v="2021-11-30T00:00:00"/>
    <m/>
    <m/>
    <n v="0"/>
    <n v="258.58"/>
    <s v="correctie"/>
    <s v="UIT_AZIE"/>
    <s v="AZIE"/>
    <s v="Azie_pinautomaat"/>
    <m/>
    <n v="-826.74"/>
    <m/>
    <m/>
    <m/>
    <m/>
    <m/>
    <m/>
    <m/>
    <m/>
  </r>
  <r>
    <n v="2665"/>
    <x v="2"/>
    <m/>
    <x v="5"/>
    <x v="26"/>
    <d v="2021-11-30T00:00:00"/>
    <m/>
    <m/>
    <n v="0"/>
    <m/>
    <s v="correctie thai bhat IN -95"/>
    <s v="UIT_AZIE"/>
    <s v="AZIE"/>
    <s v="Azie_pinautomaat"/>
    <m/>
    <n v="-826.74"/>
    <m/>
    <m/>
    <m/>
    <m/>
    <m/>
    <m/>
    <m/>
    <m/>
  </r>
  <r>
    <n v="3108"/>
    <x v="3"/>
    <m/>
    <x v="5"/>
    <x v="26"/>
    <d v="2021-11-08T00:00:00"/>
    <d v="2021-11-08T00:00:00"/>
    <n v="-24"/>
    <n v="24"/>
    <s v="NL14RABO0155503219"/>
    <s v="Stayokay via GlobalCollect"/>
    <s v="UIT_AZIE"/>
    <s v="AZIE"/>
    <s v="hotel vooraf"/>
    <s v="id"/>
    <m/>
    <s v="08-11-2021 01:24 0020005900307998"/>
    <m/>
    <m/>
    <m/>
    <s v="635502055259 0020005900307998 Zo, 14.11.2021 - Ma, 15.11.2021 x4934 pasnr.011"/>
    <s v=" "/>
    <m/>
    <m/>
  </r>
  <r>
    <n v="3124"/>
    <x v="3"/>
    <m/>
    <x v="5"/>
    <x v="26"/>
    <d v="2021-11-14T00:00:00"/>
    <d v="2021-11-14T00:00:00"/>
    <n v="-4.54"/>
    <n v="4.54"/>
    <m/>
    <s v="CCV*STAYOKAY ZEEBURG A AMSTERDAM"/>
    <s v="UIT_AZIE"/>
    <s v="AZIE"/>
    <s v="hotel vooraf"/>
    <s v="bc"/>
    <m/>
    <m/>
    <m/>
    <m/>
    <m/>
    <s v="Betaalautomaat 15:47 pasnr. 022"/>
    <s v=" "/>
    <m/>
    <m/>
  </r>
  <r>
    <n v="3131"/>
    <x v="3"/>
    <m/>
    <x v="5"/>
    <x v="26"/>
    <d v="2021-11-18T00:00:00"/>
    <d v="2021-11-18T00:00:00"/>
    <m/>
    <n v="0"/>
    <n v="-826.74"/>
    <s v="FX.BOOTH K.MAX YEAKKAT PHUKET THA"/>
    <s v="UIT_AZIE"/>
    <s v="AZIE"/>
    <s v="Azie_pinautomaat"/>
    <s v="gb"/>
    <n v="-826.74"/>
    <m/>
    <m/>
    <m/>
    <m/>
    <s v="Geldautomaat 15:06 pasnr. 032      17-11-2021                         Koersopslag 1,2% EUR 9,80"/>
    <s v=" "/>
    <m/>
    <m/>
  </r>
  <r>
    <n v="3223"/>
    <x v="0"/>
    <m/>
    <x v="5"/>
    <x v="25"/>
    <d v="2021-10-31T00:00:00"/>
    <m/>
    <n v="-3.7"/>
    <n v="3.7"/>
    <m/>
    <s v="WWW.HOSTELWORLD.COM      DUBLIN       IRL"/>
    <s v="UIT_AZIE"/>
    <s v="AZIE"/>
    <s v="hotel"/>
    <m/>
    <m/>
    <m/>
    <m/>
    <m/>
    <m/>
    <m/>
    <m/>
    <m/>
    <m/>
  </r>
  <r>
    <n v="3227"/>
    <x v="0"/>
    <m/>
    <x v="5"/>
    <x v="26"/>
    <d v="2021-11-19T00:00:00"/>
    <m/>
    <n v="-1.96"/>
    <n v="1.96"/>
    <m/>
    <s v="WWW.HOSTELWORLD.COM      DUBLIN       IRL"/>
    <s v="UIT_AZIE"/>
    <s v="AZIE"/>
    <s v="hotel"/>
    <m/>
    <m/>
    <m/>
    <m/>
    <m/>
    <m/>
    <m/>
    <m/>
    <m/>
    <m/>
  </r>
  <r>
    <n v="3239"/>
    <x v="2"/>
    <m/>
    <x v="5"/>
    <x v="27"/>
    <d v="2021-12-31T00:00:00"/>
    <m/>
    <n v="-482.61111111111109"/>
    <n v="482.61111111111109"/>
    <m/>
    <s v="dagelijkse uitgaves"/>
    <s v="UIT_AZIE"/>
    <s v="AZIE"/>
    <s v="azie dagelijkse uitgaven"/>
    <m/>
    <m/>
    <m/>
    <m/>
    <m/>
    <m/>
    <m/>
    <m/>
    <m/>
    <m/>
  </r>
  <r>
    <n v="3240"/>
    <x v="2"/>
    <m/>
    <x v="5"/>
    <x v="27"/>
    <d v="2021-12-31T00:00:00"/>
    <m/>
    <n v="-80"/>
    <n v="80"/>
    <m/>
    <s v="hotel azie"/>
    <s v="UIT_AZIE"/>
    <s v="AZIE"/>
    <s v="hotel"/>
    <m/>
    <m/>
    <m/>
    <m/>
    <m/>
    <m/>
    <m/>
    <m/>
    <m/>
    <m/>
  </r>
  <r>
    <n v="3241"/>
    <x v="2"/>
    <m/>
    <x v="6"/>
    <x v="27"/>
    <d v="2021-12-31T00:00:00"/>
    <m/>
    <m/>
    <n v="0"/>
    <n v="562"/>
    <s v="correctie"/>
    <s v="UIT_AZIE"/>
    <s v="AZIE"/>
    <s v="Azie_pinautomaat"/>
    <m/>
    <n v="-826.74"/>
    <m/>
    <m/>
    <m/>
    <m/>
    <m/>
    <m/>
    <m/>
    <m/>
  </r>
  <r>
    <n v="3242"/>
    <x v="2"/>
    <m/>
    <x v="6"/>
    <x v="28"/>
    <d v="2022-01-31T00:00:00"/>
    <m/>
    <n v="-343.5"/>
    <n v="343.5"/>
    <m/>
    <s v="dagelijkse uitgaves"/>
    <s v="UIT_AZIE"/>
    <s v="AZIE"/>
    <s v="azie dagelijkse uitgaven"/>
    <m/>
    <m/>
    <m/>
    <m/>
    <m/>
    <m/>
    <m/>
    <m/>
    <m/>
    <m/>
  </r>
  <r>
    <n v="3244"/>
    <x v="2"/>
    <m/>
    <x v="6"/>
    <x v="28"/>
    <d v="2022-01-31T00:00:00"/>
    <m/>
    <n v="-172.22222222222223"/>
    <n v="172.22222222222223"/>
    <m/>
    <s v="hotel azie"/>
    <s v="UIT_AZIE"/>
    <s v="AZIE"/>
    <s v="hotel"/>
    <m/>
    <m/>
    <m/>
    <m/>
    <m/>
    <m/>
    <m/>
    <m/>
    <m/>
    <m/>
  </r>
  <r>
    <n v="3245"/>
    <x v="2"/>
    <m/>
    <x v="6"/>
    <x v="28"/>
    <d v="2022-01-31T00:00:00"/>
    <m/>
    <m/>
    <n v="0"/>
    <n v="681.83"/>
    <s v="correctie"/>
    <s v="UIT_AZIE"/>
    <s v="AZIE"/>
    <s v="Azie_pinautomaat"/>
    <m/>
    <n v="-826.74"/>
    <m/>
    <m/>
    <m/>
    <m/>
    <m/>
    <m/>
    <m/>
    <m/>
  </r>
  <r>
    <n v="3246"/>
    <x v="2"/>
    <m/>
    <x v="6"/>
    <x v="29"/>
    <d v="2022-02-28T00:00:00"/>
    <m/>
    <n v="-438.47222222222223"/>
    <n v="438.47222222222223"/>
    <m/>
    <s v="dagelijkse uitgaves"/>
    <s v="UIT_AZIE"/>
    <s v="AZIE"/>
    <s v="azie dagelijkse uitgaven"/>
    <m/>
    <m/>
    <m/>
    <m/>
    <m/>
    <m/>
    <m/>
    <m/>
    <m/>
    <m/>
  </r>
  <r>
    <n v="3247"/>
    <x v="2"/>
    <m/>
    <x v="6"/>
    <x v="29"/>
    <d v="2022-02-28T00:00:00"/>
    <m/>
    <n v="-155.55555555555554"/>
    <n v="155.55555555555554"/>
    <m/>
    <s v="hotel azie"/>
    <s v="UIT_AZIE"/>
    <s v="AZIE"/>
    <s v="hotel"/>
    <m/>
    <m/>
    <m/>
    <m/>
    <m/>
    <m/>
    <m/>
    <m/>
    <m/>
    <m/>
  </r>
  <r>
    <n v="3248"/>
    <x v="2"/>
    <m/>
    <x v="6"/>
    <x v="29"/>
    <d v="2022-02-28T00:00:00"/>
    <m/>
    <m/>
    <n v="0"/>
    <n v="594"/>
    <s v="correctie"/>
    <s v="UIT_AZIE"/>
    <s v="AZIE"/>
    <s v="Azie_pinautomaat"/>
    <m/>
    <n v="-826.74"/>
    <m/>
    <m/>
    <m/>
    <m/>
    <m/>
    <m/>
    <m/>
    <m/>
  </r>
  <r>
    <n v="3249"/>
    <x v="2"/>
    <m/>
    <x v="6"/>
    <x v="30"/>
    <d v="2022-03-31T00:00:00"/>
    <m/>
    <n v="-382.80555555555554"/>
    <n v="382.80555555555554"/>
    <m/>
    <s v="dagelijkse uitgaves"/>
    <s v="UIT_AZIE"/>
    <s v="AZIE"/>
    <s v="azie dagelijkse uitgaven"/>
    <m/>
    <m/>
    <m/>
    <m/>
    <m/>
    <m/>
    <m/>
    <m/>
    <m/>
    <m/>
  </r>
  <r>
    <n v="3250"/>
    <x v="2"/>
    <m/>
    <x v="6"/>
    <x v="30"/>
    <d v="2022-03-31T00:00:00"/>
    <m/>
    <n v="-172.22222222222223"/>
    <n v="172.22222222222223"/>
    <m/>
    <s v="hotel azie"/>
    <s v="UIT_AZIE"/>
    <s v="AZIE"/>
    <s v="hotel"/>
    <m/>
    <m/>
    <m/>
    <m/>
    <m/>
    <m/>
    <m/>
    <m/>
    <m/>
    <m/>
  </r>
  <r>
    <n v="3251"/>
    <x v="2"/>
    <m/>
    <x v="6"/>
    <x v="30"/>
    <d v="2022-03-31T00:00:00"/>
    <m/>
    <m/>
    <n v="0"/>
    <n v="555.03"/>
    <s v="correctie dag uitg hotel"/>
    <s v="UIT_AZIE"/>
    <s v="AZIE"/>
    <s v="Azie_pinautomaat"/>
    <m/>
    <n v="-826.74"/>
    <m/>
    <m/>
    <m/>
    <m/>
    <m/>
    <m/>
    <m/>
    <m/>
  </r>
  <r>
    <n v="3252"/>
    <x v="2"/>
    <m/>
    <x v="6"/>
    <x v="31"/>
    <d v="2022-04-30T00:00:00"/>
    <m/>
    <n v="-326.41666666666669"/>
    <n v="326.41666666666669"/>
    <m/>
    <s v="dagelijkse uitgaves"/>
    <s v="UIT_AZIE"/>
    <s v="AZIE"/>
    <s v="azie dagelijkse uitgaven"/>
    <m/>
    <m/>
    <m/>
    <m/>
    <m/>
    <m/>
    <m/>
    <m/>
    <m/>
    <m/>
  </r>
  <r>
    <n v="3253"/>
    <x v="2"/>
    <m/>
    <x v="6"/>
    <x v="31"/>
    <d v="2022-04-30T00:00:00"/>
    <m/>
    <n v="-166.66666666666666"/>
    <n v="166.66666666666666"/>
    <m/>
    <s v="hotel azie"/>
    <s v="UIT_AZIE"/>
    <s v="AZIE"/>
    <s v="hotel"/>
    <m/>
    <m/>
    <m/>
    <m/>
    <m/>
    <m/>
    <m/>
    <m/>
    <m/>
    <m/>
  </r>
  <r>
    <n v="3254"/>
    <x v="2"/>
    <m/>
    <x v="6"/>
    <x v="31"/>
    <d v="2022-04-30T00:00:00"/>
    <m/>
    <m/>
    <n v="0"/>
    <n v="493"/>
    <s v="correctie"/>
    <s v="UIT_AZIE"/>
    <s v="AZIE"/>
    <s v="Azie_pinautomaat"/>
    <m/>
    <n v="-826.74"/>
    <m/>
    <m/>
    <m/>
    <m/>
    <m/>
    <m/>
    <m/>
    <m/>
  </r>
  <r>
    <n v="3255"/>
    <x v="2"/>
    <m/>
    <x v="6"/>
    <x v="32"/>
    <d v="2022-05-21T00:00:00"/>
    <m/>
    <n v="-242.22222222222223"/>
    <n v="242.22222222222223"/>
    <m/>
    <s v="dagelijkse uitgaves"/>
    <s v="UIT_AZIE"/>
    <s v="AZIE"/>
    <s v="azie dagelijkse uitgaven"/>
    <m/>
    <m/>
    <m/>
    <m/>
    <m/>
    <m/>
    <m/>
    <m/>
    <m/>
    <m/>
  </r>
  <r>
    <n v="3256"/>
    <x v="2"/>
    <m/>
    <x v="6"/>
    <x v="32"/>
    <d v="2022-05-21T00:00:00"/>
    <m/>
    <n v="-111.11111111111111"/>
    <n v="111.11111111111111"/>
    <m/>
    <s v="hotel azie"/>
    <s v="UIT_AZIE"/>
    <s v="AZIE"/>
    <s v="hotel"/>
    <m/>
    <m/>
    <m/>
    <m/>
    <m/>
    <m/>
    <m/>
    <m/>
    <m/>
    <m/>
  </r>
  <r>
    <n v="3258"/>
    <x v="2"/>
    <m/>
    <x v="6"/>
    <x v="32"/>
    <d v="2022-05-31T00:00:00"/>
    <m/>
    <m/>
    <n v="0"/>
    <n v="406"/>
    <s v="correctie"/>
    <s v="UIT_AZIE"/>
    <s v="AZIE"/>
    <s v="Azie_pinautomaat"/>
    <m/>
    <n v="-826.74"/>
    <m/>
    <m/>
    <m/>
    <m/>
    <m/>
    <m/>
    <m/>
    <m/>
  </r>
  <r>
    <n v="3259"/>
    <x v="2"/>
    <m/>
    <x v="6"/>
    <x v="32"/>
    <d v="2022-05-31T00:00:00"/>
    <m/>
    <m/>
    <n v="0"/>
    <n v="0"/>
    <s v="correctie thai bhat UIT 226,40"/>
    <s v="UIT_AZIE"/>
    <s v="AZIE"/>
    <s v="Azie_pinautomaat"/>
    <m/>
    <n v="-826.74"/>
    <m/>
    <m/>
    <m/>
    <m/>
    <m/>
    <m/>
    <m/>
    <m/>
  </r>
  <r>
    <n v="3260"/>
    <x v="2"/>
    <m/>
    <x v="6"/>
    <x v="32"/>
    <d v="2022-05-31T00:00:00"/>
    <m/>
    <m/>
    <n v="0"/>
    <n v="9.14"/>
    <s v="correctie"/>
    <s v="UIT_AZIE"/>
    <s v="AZIE"/>
    <s v="Azie_pinautomaat"/>
    <m/>
    <n v="-826.74"/>
    <m/>
    <m/>
    <m/>
    <m/>
    <m/>
    <m/>
    <m/>
    <m/>
  </r>
  <r>
    <n v="3261"/>
    <x v="2"/>
    <m/>
    <x v="6"/>
    <x v="32"/>
    <d v="2022-05-21T00:00:00"/>
    <m/>
    <n v="-9.14"/>
    <n v="9.14"/>
    <m/>
    <s v="correctie ouders ??"/>
    <s v="UIT_AZIE"/>
    <s v="AZIE"/>
    <s v="azie dagelijkse uitgaven"/>
    <m/>
    <m/>
    <m/>
    <m/>
    <m/>
    <m/>
    <m/>
    <m/>
    <m/>
    <m/>
  </r>
  <r>
    <n v="3262"/>
    <x v="3"/>
    <m/>
    <x v="6"/>
    <x v="28"/>
    <d v="2022-01-01T00:00:00"/>
    <d v="2022-01-01T00:00:00"/>
    <m/>
    <n v="0"/>
    <n v="-812.83"/>
    <s v="SRI THANU PHONE &amp; TRAV SURATTHANI"/>
    <s v="UIT_AZIE"/>
    <s v="AZIE"/>
    <s v="Azie_pinautomaat"/>
    <s v="gb"/>
    <n v="-826.74"/>
    <m/>
    <m/>
    <m/>
    <m/>
    <s v="Geldautomaat 15:50 pasnr. 032      31-12-2021                         Koersopslag 1,2% EUR 9,64"/>
    <s v=" "/>
    <m/>
    <m/>
  </r>
  <r>
    <n v="3274"/>
    <x v="3"/>
    <m/>
    <x v="6"/>
    <x v="28"/>
    <d v="2022-01-21T00:00:00"/>
    <d v="2022-01-21T00:00:00"/>
    <n v="-822.02"/>
    <n v="822.02"/>
    <m/>
    <s v="7-11 CHAOPA BEACH SURATTHANI THA"/>
    <s v="UIT_AZIE"/>
    <s v="AZIE"/>
    <s v="Azie_pinautomaat"/>
    <s v="gb"/>
    <n v="-826.74"/>
    <m/>
    <m/>
    <m/>
    <m/>
    <s v="Geldautomaat 14:04 pasnr. 032      20-01-2022                         Koersopslag 1,2% EUR 9,75"/>
    <s v=" "/>
    <m/>
    <m/>
  </r>
  <r>
    <n v="3298"/>
    <x v="3"/>
    <m/>
    <x v="6"/>
    <x v="30"/>
    <d v="2022-03-23T00:00:00"/>
    <d v="2022-03-23T00:00:00"/>
    <m/>
    <n v="0"/>
    <n v="-833.95"/>
    <s v="SRI THANU PHONE &amp; TRAV SURATTHANI"/>
    <s v="UIT_AZIE"/>
    <s v="AZIE"/>
    <s v="Azie_pinautomaat"/>
    <s v="gb"/>
    <n v="-826.74"/>
    <m/>
    <m/>
    <m/>
    <m/>
    <s v="Geldautomaat 13:27 pasnr. 032      22-03-2022                         Koersopslag 1,2% EUR 9,89"/>
    <s v=" "/>
    <m/>
    <m/>
  </r>
  <r>
    <n v="3299"/>
    <x v="3"/>
    <m/>
    <x v="6"/>
    <x v="30"/>
    <d v="2022-03-23T00:00:00"/>
    <d v="2022-03-23T00:00:00"/>
    <m/>
    <n v="0"/>
    <n v="555.96"/>
    <s v="MAT ANSING CJ"/>
    <s v="UIT_AZIE"/>
    <s v="AZIE"/>
    <s v="Azie_pinautomaat"/>
    <s v="cb"/>
    <n v="-826.74"/>
    <m/>
    <m/>
    <m/>
    <m/>
    <s v="Hartelijk dank Renate"/>
    <s v=" "/>
    <m/>
    <m/>
  </r>
  <r>
    <n v="3306"/>
    <x v="3"/>
    <m/>
    <x v="6"/>
    <x v="31"/>
    <d v="2022-04-06T00:00:00"/>
    <d v="2022-04-06T00:00:00"/>
    <m/>
    <n v="0"/>
    <n v="-820"/>
    <s v="WISE gekregen van Astrid van Zon"/>
    <s v="UIT_AZIE"/>
    <s v="AZIE"/>
    <s v="Azie_pinautomaat"/>
    <s v="id"/>
    <n v="-826.74"/>
    <s v="06-04-2022 06:07 0180209612052849"/>
    <m/>
    <m/>
    <m/>
    <s v="ZPLWVX264Q683VB2S7TU 0180209612052849 TW Payment 392472863 3826 x4934 pasnr.032"/>
    <s v=" "/>
    <m/>
    <m/>
  </r>
  <r>
    <n v="3387"/>
    <x v="0"/>
    <m/>
    <x v="6"/>
    <x v="32"/>
    <d v="2022-05-20T00:00:00"/>
    <m/>
    <n v="-5.51"/>
    <n v="5.51"/>
    <m/>
    <s v="S S P EMIRATES LLC       Abu Dhabi    ARE"/>
    <s v="UIT_AZIE"/>
    <s v="AZIE"/>
    <s v="vliegveld"/>
    <m/>
    <m/>
    <m/>
    <m/>
    <m/>
    <m/>
    <m/>
    <m/>
    <m/>
    <m/>
  </r>
  <r>
    <n v="202208090"/>
    <x v="5"/>
    <s v="EUR"/>
    <x v="6"/>
    <x v="33"/>
    <d v="2022-12-31T12:30:56"/>
    <d v="2022-07-22T00:00:00"/>
    <n v="514.2465753424658"/>
    <m/>
    <m/>
    <s v="Correctie in kas jaarwisseling"/>
    <s v="UIT_AZIE"/>
    <s v="AZIE"/>
    <s v="azie kasopname/-uitgaves"/>
    <m/>
    <m/>
    <m/>
    <m/>
    <m/>
    <m/>
    <m/>
    <m/>
    <m/>
    <m/>
  </r>
  <r>
    <n v="202301018"/>
    <x v="3"/>
    <s v="EUR"/>
    <x v="6"/>
    <x v="34"/>
    <d v="2022-10-10T00:00:00"/>
    <d v="2022-10-10T00:00:00"/>
    <n v="-28"/>
    <m/>
    <s v="NL04ADYB2017400157"/>
    <s v="WISE"/>
    <s v="UIT"/>
    <s v="AZIE"/>
    <s v="hotel_vooraf"/>
    <s v="id"/>
    <m/>
    <s v="10-10-2022 11:26 0180228322137888"/>
    <m/>
    <m/>
    <m/>
    <s v="CC944N2N5KHXZP52S7TU 0180228322137888 TW Payment 513258105 x4934 pasnr.032"/>
    <s v=" "/>
    <m/>
    <m/>
  </r>
  <r>
    <n v="202301063"/>
    <x v="3"/>
    <s v="EUR"/>
    <x v="6"/>
    <x v="35"/>
    <d v="2022-11-09T00:00:00"/>
    <d v="2022-11-09T00:00:00"/>
    <n v="-148.55000000000001"/>
    <m/>
    <m/>
    <s v="BIDV HANOI VNM"/>
    <s v="UIT_AZIE"/>
    <s v="AZIE"/>
    <s v="azie kasopname/-uitgaves"/>
    <s v="gb"/>
    <m/>
    <m/>
    <m/>
    <m/>
    <m/>
    <s v="Geldautomaat 19:37 pasnr. 032      08-11-2022                         Koersopslag 1,2% EUR 1,76"/>
    <s v=" "/>
    <m/>
    <m/>
  </r>
  <r>
    <n v="202301064"/>
    <x v="3"/>
    <s v="EUR"/>
    <x v="6"/>
    <x v="35"/>
    <d v="2022-11-09T00:00:00"/>
    <d v="2022-11-09T00:00:00"/>
    <n v="45"/>
    <m/>
    <s v="NL46RABO0120142554"/>
    <s v="P. Vegting"/>
    <s v="UIT_AZIE"/>
    <s v="AZIE"/>
    <s v="azie kasopname/-uitgaves"/>
    <s v="cb"/>
    <m/>
    <m/>
    <m/>
    <m/>
    <m/>
    <s v=" "/>
    <s v=" "/>
    <m/>
    <m/>
  </r>
  <r>
    <n v="202301065"/>
    <x v="3"/>
    <s v="EUR"/>
    <x v="6"/>
    <x v="35"/>
    <d v="2022-11-10T00:00:00"/>
    <d v="2022-11-10T00:00:00"/>
    <n v="-124.36"/>
    <m/>
    <m/>
    <s v="ATM SMARTBANK CHO D.XU HA NOI VNM"/>
    <s v="UIT_AZIE"/>
    <s v="AZIE"/>
    <s v="azie kasopname/-uitgaves"/>
    <s v="gb"/>
    <m/>
    <m/>
    <m/>
    <m/>
    <m/>
    <s v="Geldautomaat 19:14 pasnr. 032      09-11-2022                         Koersopslag 1,2% EUR 1,47"/>
    <s v=" "/>
    <m/>
    <m/>
  </r>
  <r>
    <n v="202301066"/>
    <x v="3"/>
    <s v="EUR"/>
    <x v="6"/>
    <x v="35"/>
    <d v="2022-11-16T00:00:00"/>
    <d v="2022-11-16T00:00:00"/>
    <n v="-161.46"/>
    <m/>
    <m/>
    <s v="CRM SMARTBANK CHO D.XU HA NOI VNM"/>
    <s v="UIT_AZIE"/>
    <s v="AZIE"/>
    <s v="azie kasopname/-uitgaves"/>
    <s v="gb"/>
    <m/>
    <m/>
    <m/>
    <m/>
    <m/>
    <s v="Geldautomaat 17:55 pasnr. 032      15-11-2022                         Koersopslag 1,2% EUR 1,91"/>
    <s v=" "/>
    <m/>
    <m/>
  </r>
  <r>
    <n v="202301067"/>
    <x v="3"/>
    <s v="EUR"/>
    <x v="6"/>
    <x v="35"/>
    <d v="2022-11-17T00:00:00"/>
    <d v="2022-11-17T00:00:00"/>
    <n v="45"/>
    <m/>
    <s v="NL68RABO0140802673"/>
    <s v="Betaalverzoek Rabobank"/>
    <s v="UIT_AZIE"/>
    <s v="AZIE"/>
    <s v="azie kasopname/-uitgaves"/>
    <s v="bv"/>
    <m/>
    <n v="20007435802080"/>
    <m/>
    <m/>
    <m/>
    <s v="NL53RABO0380315343:L.B. Swennenhuis:Ha long bay excursie"/>
    <s v=" "/>
    <m/>
    <m/>
  </r>
  <r>
    <n v="202301076"/>
    <x v="3"/>
    <s v="EUR"/>
    <x v="6"/>
    <x v="35"/>
    <d v="2022-11-22T00:00:00"/>
    <d v="2022-11-22T00:00:00"/>
    <n v="-120.67"/>
    <m/>
    <m/>
    <s v="ATM CN QUANG NAM 01 QUANG NAM VNM"/>
    <s v="UIT_AZIE"/>
    <s v="AZIE"/>
    <s v="azie kasopname/-uitgaves"/>
    <s v="gb"/>
    <m/>
    <m/>
    <m/>
    <m/>
    <m/>
    <s v="Geldautomaat 19:38 pasnr. 032      21-11-2022                         Koersopslag 1,2% EUR 1,43"/>
    <s v=" "/>
    <m/>
    <m/>
  </r>
  <r>
    <n v="202301086"/>
    <x v="3"/>
    <s v="EUR"/>
    <x v="6"/>
    <x v="33"/>
    <d v="2022-12-05T00:00:00"/>
    <d v="2022-12-05T00:00:00"/>
    <n v="-121.81"/>
    <m/>
    <m/>
    <s v="ACB ATM HOI AN MARKET QUANGNAM 02"/>
    <s v="UIT_AZIE"/>
    <s v="AZIE"/>
    <s v="azie kasopname/-uitgaves"/>
    <s v="gb"/>
    <m/>
    <m/>
    <m/>
    <m/>
    <m/>
    <s v="Geldautomaat 19:17 pasnr. 032      03-12-2022                         Koersopslag 1,2% EUR 1,44"/>
    <s v=" "/>
    <m/>
    <m/>
  </r>
  <r>
    <n v="202301088"/>
    <x v="3"/>
    <s v="EUR"/>
    <x v="6"/>
    <x v="33"/>
    <d v="2022-12-19T00:00:00"/>
    <d v="2022-12-19T00:00:00"/>
    <n v="-691.93"/>
    <m/>
    <m/>
    <s v="BANGKOK BANK CHIANGMAI THA"/>
    <s v="UIT_AZIE"/>
    <s v="AZIE"/>
    <s v="azie kasopname/-uitgaves"/>
    <s v="gb"/>
    <m/>
    <m/>
    <m/>
    <m/>
    <m/>
    <s v="Geldautomaat 21:19 pasnr. 032      18-12-2022                         Koersopslag 1,2% EUR 8,20"/>
    <s v=" "/>
    <m/>
    <m/>
  </r>
  <r>
    <n v="202301094"/>
    <x v="3"/>
    <s v="EUR"/>
    <x v="6"/>
    <x v="33"/>
    <d v="2022-12-26T00:00:00"/>
    <d v="2022-12-26T00:00:00"/>
    <n v="-835.03"/>
    <m/>
    <m/>
    <s v="7-11 AO SRITHANU SURATTHANI THA"/>
    <s v="UIT_AZIE"/>
    <s v="AZIE"/>
    <s v="Azie_pinautomaat"/>
    <s v="gb"/>
    <m/>
    <m/>
    <m/>
    <m/>
    <m/>
    <s v="Geldautomaat 16:46 pasnr. 032      25-12-2022                         Koersopslag 1,2% EUR 9,90"/>
    <s v=" "/>
    <m/>
    <m/>
  </r>
  <r>
    <n v="202301107"/>
    <x v="0"/>
    <m/>
    <x v="6"/>
    <x v="34"/>
    <d v="2022-10-18T00:00:00"/>
    <m/>
    <n v="-4.5"/>
    <m/>
    <m/>
    <s v="WWW.HOSTELWORLD.COM      DUBLIN       IRL"/>
    <s v="UIT_AZIE"/>
    <s v="AZIE"/>
    <s v="hotel vooraf"/>
    <m/>
    <m/>
    <m/>
    <m/>
    <m/>
    <m/>
    <m/>
    <m/>
    <m/>
    <m/>
  </r>
  <r>
    <n v="202301115"/>
    <x v="0"/>
    <m/>
    <x v="6"/>
    <x v="35"/>
    <d v="2022-11-08T00:00:00"/>
    <m/>
    <n v="-3.18"/>
    <m/>
    <m/>
    <s v="O'LEARYS -2         00900HONG KONG    HKG"/>
    <s v="UIT_AZIE"/>
    <s v="AZIE"/>
    <s v="azie kasopname/-uitgaves"/>
    <m/>
    <m/>
    <m/>
    <m/>
    <m/>
    <m/>
    <m/>
    <m/>
    <m/>
    <m/>
  </r>
  <r>
    <n v="202301117"/>
    <x v="0"/>
    <m/>
    <x v="6"/>
    <x v="35"/>
    <d v="2022-11-08T00:00:00"/>
    <m/>
    <n v="-5.53"/>
    <m/>
    <m/>
    <s v="PACIFIC COFFEE (A10)     CHEK LAP KOK HKG"/>
    <s v="UIT_AZIE"/>
    <s v="AZIE"/>
    <s v="azie kasopname/-uitgaves"/>
    <m/>
    <m/>
    <m/>
    <m/>
    <m/>
    <m/>
    <m/>
    <m/>
    <m/>
    <m/>
  </r>
  <r>
    <n v="202301132"/>
    <x v="6"/>
    <m/>
    <x v="6"/>
    <x v="34"/>
    <d v="2022-10-11T19:17:02"/>
    <m/>
    <n v="-72.75"/>
    <m/>
    <m/>
    <s v="Coop 2113 MUSSELKANAAL"/>
    <s v="UIT"/>
    <s v="AZIE"/>
    <s v="vliegtickets"/>
    <m/>
    <m/>
    <m/>
    <m/>
    <m/>
    <m/>
    <m/>
    <m/>
    <m/>
    <m/>
  </r>
  <r>
    <n v="202301134"/>
    <x v="6"/>
    <m/>
    <x v="6"/>
    <x v="35"/>
    <d v="2022-11-15T21:59:51"/>
    <m/>
    <n v="-0.83"/>
    <m/>
    <m/>
    <s v="Grab* A-46r5rcrwwe94"/>
    <s v="UIT_AZIE"/>
    <s v="AZIE"/>
    <s v="azie kasopname/-uitgaves"/>
    <m/>
    <m/>
    <m/>
    <m/>
    <m/>
    <m/>
    <m/>
    <m/>
    <m/>
    <m/>
  </r>
  <r>
    <n v="202301135"/>
    <x v="6"/>
    <m/>
    <x v="6"/>
    <x v="35"/>
    <d v="2022-11-15T21:59:51"/>
    <m/>
    <n v="-0.2"/>
    <m/>
    <m/>
    <s v="Grab* A-46r5rcrwwe94"/>
    <s v="UIT_AZIE"/>
    <s v="AZIE"/>
    <s v="azie kasopname/-uitgaves"/>
    <m/>
    <m/>
    <m/>
    <m/>
    <m/>
    <m/>
    <m/>
    <m/>
    <m/>
    <m/>
  </r>
  <r>
    <n v="202301137"/>
    <x v="6"/>
    <m/>
    <x v="6"/>
    <x v="35"/>
    <d v="2022-11-18T16:52:47"/>
    <m/>
    <n v="-6.05"/>
    <m/>
    <m/>
    <s v="www,hostelworld,com"/>
    <s v="UIT_AZIE"/>
    <s v="AZIE"/>
    <s v="hotel vooraf"/>
    <m/>
    <m/>
    <m/>
    <m/>
    <m/>
    <m/>
    <m/>
    <m/>
    <m/>
    <m/>
  </r>
  <r>
    <n v="202301138"/>
    <x v="6"/>
    <m/>
    <x v="6"/>
    <x v="35"/>
    <d v="2022-11-20T14:29:47"/>
    <m/>
    <n v="-29.48"/>
    <m/>
    <m/>
    <s v="Bamboo Airways"/>
    <s v="UIT_AZIE"/>
    <s v="AZIE"/>
    <s v="vliegtickets"/>
    <m/>
    <m/>
    <m/>
    <m/>
    <m/>
    <m/>
    <m/>
    <m/>
    <m/>
    <m/>
  </r>
  <r>
    <n v="202301139"/>
    <x v="6"/>
    <m/>
    <x v="6"/>
    <x v="35"/>
    <d v="2022-11-20T14:29:47"/>
    <m/>
    <n v="-26.52"/>
    <m/>
    <m/>
    <s v="Bamboo Airways"/>
    <s v="UIT_AZIE"/>
    <s v="AZIE"/>
    <s v="vliegtickets"/>
    <m/>
    <m/>
    <m/>
    <m/>
    <m/>
    <m/>
    <m/>
    <m/>
    <m/>
    <m/>
  </r>
  <r>
    <n v="202301140"/>
    <x v="6"/>
    <m/>
    <x v="6"/>
    <x v="33"/>
    <d v="2022-12-08T13:22:17"/>
    <m/>
    <n v="-40.81"/>
    <m/>
    <m/>
    <s v="Bambooairways"/>
    <s v="UIT_AZIE"/>
    <s v="AZIE"/>
    <s v="vliegtickets"/>
    <m/>
    <m/>
    <m/>
    <m/>
    <m/>
    <m/>
    <m/>
    <m/>
    <m/>
    <m/>
  </r>
  <r>
    <n v="202301141"/>
    <x v="6"/>
    <m/>
    <x v="6"/>
    <x v="33"/>
    <d v="2022-12-08T13:25:14"/>
    <m/>
    <n v="-1.83"/>
    <m/>
    <m/>
    <s v="Grab* A-49qaxqbg2ec3"/>
    <s v="UIT_AZIE"/>
    <s v="AZIE"/>
    <s v="azie kasopname/-uitgaves"/>
    <m/>
    <m/>
    <m/>
    <m/>
    <m/>
    <m/>
    <m/>
    <m/>
    <m/>
    <m/>
  </r>
  <r>
    <n v="202301142"/>
    <x v="6"/>
    <m/>
    <x v="6"/>
    <x v="33"/>
    <d v="2022-12-18T12:26:47"/>
    <m/>
    <n v="-1.7"/>
    <m/>
    <m/>
    <s v="www,hostelworld,com"/>
    <s v="UIT_AZIE"/>
    <s v="AZIE"/>
    <s v="hotel vooraf"/>
    <m/>
    <m/>
    <m/>
    <m/>
    <m/>
    <m/>
    <m/>
    <m/>
    <m/>
    <m/>
  </r>
  <r>
    <n v="202301143"/>
    <x v="6"/>
    <m/>
    <x v="6"/>
    <x v="33"/>
    <d v="2022-12-20T02:41:12"/>
    <m/>
    <n v="-7.19"/>
    <m/>
    <m/>
    <s v="2c2p*seatran Ferry"/>
    <s v="UIT_AZIE"/>
    <s v="AZIE"/>
    <s v="azie kasopname/-uitgaves"/>
    <m/>
    <m/>
    <m/>
    <m/>
    <m/>
    <m/>
    <m/>
    <m/>
    <m/>
    <m/>
  </r>
  <r>
    <n v="202301144"/>
    <x v="6"/>
    <m/>
    <x v="6"/>
    <x v="33"/>
    <d v="2022-12-20T02:46:30"/>
    <m/>
    <n v="-4.5"/>
    <m/>
    <m/>
    <s v="12go"/>
    <s v="UIT_AZIE"/>
    <s v="AZIE"/>
    <s v="azie kasopname/-uitgaves"/>
    <m/>
    <m/>
    <m/>
    <m/>
    <m/>
    <m/>
    <m/>
    <m/>
    <m/>
    <m/>
  </r>
  <r>
    <n v="202301189"/>
    <x v="5"/>
    <m/>
    <x v="6"/>
    <x v="33"/>
    <d v="2022-12-05T00:00:00"/>
    <m/>
    <n v="100"/>
    <m/>
    <m/>
    <s v="Gekregen in cash  ADELINE HARTMANN"/>
    <s v="UIT_AZIE"/>
    <s v="AZIE"/>
    <s v="vliegtickets"/>
    <m/>
    <m/>
    <m/>
    <m/>
    <m/>
    <m/>
    <m/>
    <m/>
    <m/>
    <m/>
  </r>
  <r>
    <n v="202301190"/>
    <x v="5"/>
    <m/>
    <x v="6"/>
    <x v="33"/>
    <d v="2022-12-05T00:00:00"/>
    <m/>
    <n v="-9"/>
    <m/>
    <m/>
    <s v="teruggegeven in VND   ADELINE HARTMANN"/>
    <s v="UIT_AZIE"/>
    <s v="AZIE"/>
    <s v="vliegtickets"/>
    <m/>
    <m/>
    <m/>
    <m/>
    <m/>
    <m/>
    <m/>
    <m/>
    <m/>
    <m/>
  </r>
  <r>
    <n v="202301191"/>
    <x v="5"/>
    <m/>
    <x v="6"/>
    <x v="33"/>
    <d v="2022-12-05T00:00:00"/>
    <m/>
    <n v="-50"/>
    <m/>
    <m/>
    <s v="teruggegeven in EUR   ADELINE HARTMANN"/>
    <s v="UIT_AZIE"/>
    <s v="AZIE"/>
    <s v="vliegtickets"/>
    <m/>
    <m/>
    <m/>
    <m/>
    <m/>
    <m/>
    <m/>
    <m/>
    <m/>
    <m/>
  </r>
  <r>
    <n v="2"/>
    <x v="1"/>
    <m/>
    <x v="1"/>
    <x v="1"/>
    <d v="2017-01-02T00:00:00"/>
    <d v="2017-01-02T00:00:00"/>
    <n v="-225.07"/>
    <n v="225.07"/>
    <m/>
    <s v="CNX-DPS // kiwi.com"/>
    <s v="UIT_AZIE_VOORAF"/>
    <s v="AZIE_VLIEGEN"/>
    <s v="vliegtickets"/>
    <m/>
    <m/>
    <m/>
    <m/>
    <m/>
    <m/>
    <m/>
    <m/>
    <m/>
    <m/>
  </r>
  <r>
    <n v="4"/>
    <x v="1"/>
    <m/>
    <x v="1"/>
    <x v="1"/>
    <d v="2017-01-02T00:00:00"/>
    <d v="2017-01-02T00:00:00"/>
    <n v="-486.89"/>
    <n v="486.89"/>
    <m/>
    <s v="DPS-AMS // kiwi.com"/>
    <s v="UIT_AZIE_VOORAF"/>
    <s v="AZIE_VLIEGEN"/>
    <s v="vliegtickets"/>
    <m/>
    <m/>
    <m/>
    <m/>
    <m/>
    <m/>
    <m/>
    <m/>
    <m/>
    <m/>
  </r>
  <r>
    <n v="99"/>
    <x v="1"/>
    <m/>
    <x v="1"/>
    <x v="5"/>
    <d v="2017-12-20T00:00:00"/>
    <d v="2017-12-20T00:00:00"/>
    <n v="-66.84"/>
    <n v="66.84"/>
    <m/>
    <s v="DMK-CNX2 // FACTURE CARTE DU 181217 THAI AIRASIA425 CARTE 4974XXXX"/>
    <s v="UIT_AZIE_VOORAF"/>
    <s v="AZIE_VLIEGEN"/>
    <s v="vliegtickets+1"/>
    <m/>
    <m/>
    <m/>
    <m/>
    <m/>
    <m/>
    <m/>
    <m/>
    <m/>
    <m/>
  </r>
  <r>
    <n v="584"/>
    <x v="3"/>
    <m/>
    <x v="1"/>
    <x v="36"/>
    <d v="2017-07-13T00:00:00"/>
    <d v="2017-07-13T00:00:00"/>
    <n v="-403.62"/>
    <n v="403.62"/>
    <m/>
    <s v="AMS-KTM // TIX B.V."/>
    <s v="UIT_AZIE_VOORAF"/>
    <s v="AZIE_VLIEGEN"/>
    <s v="vliegtickets"/>
    <m/>
    <m/>
    <m/>
    <m/>
    <m/>
    <m/>
    <m/>
    <m/>
    <m/>
    <m/>
  </r>
  <r>
    <n v="718"/>
    <x v="0"/>
    <m/>
    <x v="1"/>
    <x v="4"/>
    <d v="2017-11-12T00:00:00"/>
    <d v="2017-11-12T00:00:00"/>
    <n v="-202.82"/>
    <n v="202.82"/>
    <m/>
    <s v="KTM-DMK // TICKETS mytrip com"/>
    <s v="UIT_AZIE_VOORAF"/>
    <s v="AZIE_VLIEGEN"/>
    <s v="vliegtickets"/>
    <m/>
    <m/>
    <m/>
    <m/>
    <m/>
    <m/>
    <m/>
    <m/>
    <m/>
    <m/>
  </r>
  <r>
    <n v="719"/>
    <x v="0"/>
    <m/>
    <x v="1"/>
    <x v="4"/>
    <d v="2017-11-18T00:00:00"/>
    <d v="2017-11-18T00:00:00"/>
    <n v="-52.14"/>
    <n v="52.14"/>
    <m/>
    <s v="DMK-CNX1 // unused / WWW.AIRASIA.ALWQJW2017 BANGKOK THA"/>
    <s v="UIT_AZIE_VOORAF"/>
    <s v="AZIE_VLIEGEN"/>
    <s v="vliegtickets_unused"/>
    <m/>
    <m/>
    <m/>
    <m/>
    <m/>
    <m/>
    <m/>
    <m/>
    <m/>
    <m/>
  </r>
  <r>
    <n v="816"/>
    <x v="1"/>
    <m/>
    <x v="2"/>
    <x v="8"/>
    <d v="2018-12-26T00:00:00"/>
    <d v="2018-12-26T00:00:00"/>
    <n v="-57.46"/>
    <n v="57.46"/>
    <m/>
    <s v="URT-CNX // airasia"/>
    <s v="UIT_AZIE_VOORAF"/>
    <s v="AZIE_VLIEGEN"/>
    <s v="vliegtickets+1"/>
    <m/>
    <m/>
    <m/>
    <m/>
    <m/>
    <m/>
    <m/>
    <m/>
    <m/>
    <m/>
  </r>
  <r>
    <n v="817"/>
    <x v="1"/>
    <m/>
    <x v="2"/>
    <x v="8"/>
    <d v="2019-12-07T00:00:00"/>
    <d v="2019-12-07T00:00:00"/>
    <n v="-71.260000000000005"/>
    <n v="71.260000000000005"/>
    <m/>
    <s v="UNUSED // CNX-kul // airasia  vliegveld colombo"/>
    <s v="UIT_AZIE_VOORAF"/>
    <s v="AZIE_VLIEGEN"/>
    <s v="vliegtickets_unused"/>
    <m/>
    <m/>
    <m/>
    <m/>
    <m/>
    <m/>
    <m/>
    <m/>
    <m/>
    <m/>
  </r>
  <r>
    <n v="1356"/>
    <x v="3"/>
    <m/>
    <x v="2"/>
    <x v="7"/>
    <d v="2018-11-30T00:00:00"/>
    <d v="2018-11-30T00:00:00"/>
    <n v="0"/>
    <n v="0"/>
    <m/>
    <s v="RABOBANK NEDERLAND"/>
    <s v="UIT_AZIE_VOORAF"/>
    <s v="AZIE_VLIEGEN"/>
    <s v="vliegtickets"/>
    <m/>
    <m/>
    <n v="-6.21"/>
    <m/>
    <m/>
    <m/>
    <m/>
    <m/>
    <m/>
    <m/>
  </r>
  <r>
    <n v="1362"/>
    <x v="3"/>
    <m/>
    <x v="2"/>
    <x v="8"/>
    <d v="2018-12-22T00:00:00"/>
    <d v="2018-12-22T00:00:00"/>
    <n v="-382.57"/>
    <n v="382.57"/>
    <m/>
    <s v="CNX-AMS // TIX B.V."/>
    <s v="UIT_AZIE_VOORAF"/>
    <s v="AZIE_VLIEGEN"/>
    <s v="vliegtickets+1"/>
    <m/>
    <m/>
    <m/>
    <m/>
    <m/>
    <m/>
    <m/>
    <m/>
    <m/>
    <m/>
  </r>
  <r>
    <n v="1367"/>
    <x v="0"/>
    <m/>
    <x v="2"/>
    <x v="6"/>
    <d v="2018-01-05T00:00:00"/>
    <d v="2018-01-05T00:00:00"/>
    <n v="-342.79"/>
    <n v="342.79"/>
    <m/>
    <s v="KUL-AMS // PETAS/TRIPAIR P FALIRO GRC"/>
    <s v="UIT_AZIE_VOORAF"/>
    <s v="AZIE_VLIEGEN"/>
    <s v="vliegtickets"/>
    <m/>
    <m/>
    <m/>
    <m/>
    <m/>
    <m/>
    <m/>
    <m/>
    <m/>
    <m/>
  </r>
  <r>
    <n v="1368"/>
    <x v="0"/>
    <m/>
    <x v="2"/>
    <x v="6"/>
    <d v="2018-01-08T00:00:00"/>
    <d v="2018-01-08T00:00:00"/>
    <n v="-102.27"/>
    <n v="102.27"/>
    <m/>
    <s v="CNX-URT // WWW.AIRASIA.BN9GSG2018 BANGKOK THA"/>
    <s v="UIT_AZIE_VOORAF"/>
    <s v="AZIE_VLIEGEN"/>
    <s v="vliegtickets"/>
    <m/>
    <m/>
    <m/>
    <m/>
    <m/>
    <m/>
    <m/>
    <m/>
    <m/>
    <m/>
  </r>
  <r>
    <n v="1372"/>
    <x v="0"/>
    <m/>
    <x v="2"/>
    <x v="6"/>
    <d v="2018-01-24T00:00:00"/>
    <d v="2018-01-24T00:00:00"/>
    <n v="-51.6"/>
    <n v="51.6"/>
    <m/>
    <s v="URT-KUL // AIR ASIA (KH) SINGAPORE SGP"/>
    <s v="UIT_AZIE_VOORAF"/>
    <s v="AZIE_VLIEGEN"/>
    <s v="vliegtickets"/>
    <m/>
    <m/>
    <m/>
    <m/>
    <m/>
    <m/>
    <m/>
    <m/>
    <m/>
    <m/>
  </r>
  <r>
    <n v="1375"/>
    <x v="0"/>
    <m/>
    <x v="2"/>
    <x v="37"/>
    <d v="2018-08-01T00:00:00"/>
    <d v="2018-08-01T00:00:00"/>
    <n v="-310.83"/>
    <n v="310.83"/>
    <m/>
    <s v="CDG-COL // SriLankan 6039999999999 Katunayake DEU"/>
    <s v="UIT_AZIE_VOORAF"/>
    <s v="AZIE_VLIEGEN"/>
    <s v="vliegtickets"/>
    <m/>
    <m/>
    <m/>
    <m/>
    <m/>
    <m/>
    <m/>
    <m/>
    <m/>
    <m/>
  </r>
  <r>
    <n v="1377"/>
    <x v="0"/>
    <m/>
    <x v="2"/>
    <x v="12"/>
    <d v="2018-09-04T00:00:00"/>
    <d v="2018-09-04T00:00:00"/>
    <n v="-178.93"/>
    <n v="178.93"/>
    <m/>
    <s v="COL-CNX // SINGAPORE 24248314270 SRI LANKA LKA"/>
    <s v="UIT_AZIE_VOORAF"/>
    <s v="AZIE_VLIEGEN"/>
    <s v="vliegtickets"/>
    <m/>
    <m/>
    <m/>
    <m/>
    <m/>
    <m/>
    <m/>
    <m/>
    <m/>
    <m/>
  </r>
  <r>
    <n v="2031"/>
    <x v="4"/>
    <m/>
    <x v="3"/>
    <x v="38"/>
    <d v="2019-07-29T00:00:00"/>
    <d v="2019-07-29T00:00:00"/>
    <n v="-173.01"/>
    <n v="173.01"/>
    <m/>
    <s v="GOI-DMK // PAGAMENTO ON LINE 29/07/2019 16.54 AIR ASIA INDIA LIMITED MUMBAI IND N. 656508"/>
    <s v="UIT_AZIE_VOORAF"/>
    <s v="AZIE_VLIEGEN"/>
    <s v="vliegtickets"/>
    <m/>
    <m/>
    <m/>
    <m/>
    <m/>
    <m/>
    <m/>
    <m/>
    <m/>
    <m/>
  </r>
  <r>
    <n v="2032"/>
    <x v="4"/>
    <m/>
    <x v="3"/>
    <x v="38"/>
    <d v="2019-07-29T00:00:00"/>
    <d v="2019-07-29T00:00:00"/>
    <n v="-1.9"/>
    <n v="1.9"/>
    <m/>
    <s v="COMMISSIONE PAGAMENTO IN VALUTA ESTERA 29/07/2019 16.54 N. 656508 - VALUTA INR 13212,00 - CAMBIO 0,01309"/>
    <s v="UIT_AZIE_VOORAF"/>
    <s v="AZIE_VLIEGEN"/>
    <s v="vliegtickets"/>
    <m/>
    <m/>
    <m/>
    <m/>
    <m/>
    <m/>
    <m/>
    <m/>
    <m/>
    <m/>
  </r>
  <r>
    <n v="2036"/>
    <x v="4"/>
    <m/>
    <x v="3"/>
    <x v="39"/>
    <d v="2019-10-31T00:00:00"/>
    <d v="2019-10-31T00:00:00"/>
    <n v="-44.1"/>
    <n v="44.1"/>
    <m/>
    <s v="DMK KUL"/>
    <s v="UIT_AZIE_VOORAF"/>
    <s v="AZIE_VLIEGEN"/>
    <s v="vliegtickets_unused"/>
    <m/>
    <m/>
    <m/>
    <m/>
    <m/>
    <m/>
    <m/>
    <m/>
    <m/>
    <m/>
  </r>
  <r>
    <n v="2037"/>
    <x v="0"/>
    <m/>
    <x v="3"/>
    <x v="13"/>
    <d v="2019-01-09T00:00:00"/>
    <d v="2019-01-09T00:00:00"/>
    <n v="-92.82"/>
    <n v="92.82"/>
    <m/>
    <s v="CNX-URT // WWW.AIRASIA.COM BANGKOK THA"/>
    <s v="UIT_AZIE_VOORAF"/>
    <s v="AZIE_VLIEGEN"/>
    <s v="vliegtickets"/>
    <m/>
    <m/>
    <m/>
    <m/>
    <m/>
    <m/>
    <m/>
    <m/>
    <m/>
    <m/>
  </r>
  <r>
    <n v="2041"/>
    <x v="0"/>
    <m/>
    <x v="3"/>
    <x v="38"/>
    <d v="2019-07-19T00:00:00"/>
    <d v="2019-07-19T00:00:00"/>
    <n v="-271.33"/>
    <n v="271.33"/>
    <m/>
    <s v="AMS-GOI // Oman Air Muscat NLD"/>
    <s v="UIT_AZIE_VOORAF"/>
    <s v="AZIE_VLIEGEN"/>
    <s v="vliegtickets"/>
    <m/>
    <m/>
    <m/>
    <m/>
    <m/>
    <m/>
    <m/>
    <m/>
    <m/>
    <m/>
  </r>
  <r>
    <n v="2044"/>
    <x v="0"/>
    <m/>
    <x v="3"/>
    <x v="38"/>
    <d v="2019-07-29T00:00:00"/>
    <d v="2019-07-29T00:00:00"/>
    <n v="-35.08"/>
    <n v="35.08"/>
    <m/>
    <s v="DMK-CNX // WWW.NOKAIR.COM BANGKOK TH"/>
    <s v="UIT_AZIE_VOORAF"/>
    <s v="AZIE_VLIEGEN"/>
    <s v="vliegtickets"/>
    <m/>
    <m/>
    <m/>
    <m/>
    <m/>
    <m/>
    <m/>
    <m/>
    <m/>
    <m/>
  </r>
  <r>
    <n v="2065"/>
    <x v="1"/>
    <m/>
    <x v="4"/>
    <x v="21"/>
    <d v="2020-03-12T00:00:00"/>
    <d v="2020-03-12T00:00:00"/>
    <n v="-111.58"/>
    <n v="111.58"/>
    <m/>
    <s v="PAIEMENT CARTE DU 110320 AIRASIA-AK (G81 CARTE   4974XXXXXXXX8716                IDN736050,00IDR+COMMISSION : 4,01"/>
    <s v="UIT_AZIE_VOORAF"/>
    <s v="AZIE_VLIEGEN"/>
    <s v="vliegtickets"/>
    <m/>
    <s v="12-03-2020"/>
    <s v="Autres dépenses à catégoriser"/>
    <s v="PAIEMENT CARTE DU 110320 AIRASIA-AK (G81 CARTE   4974XXXXXXXX8716                IDN736050,00IDR+COMMISSION : 4,01"/>
    <n v="-111.58"/>
    <m/>
    <m/>
    <m/>
    <m/>
    <m/>
  </r>
  <r>
    <n v="2066"/>
    <x v="1"/>
    <m/>
    <x v="4"/>
    <x v="21"/>
    <d v="2020-03-13T00:00:00"/>
    <d v="2020-03-13T00:00:00"/>
    <n v="-15.38"/>
    <n v="15.38"/>
    <m/>
    <s v="PAIEMENT CARTE DU 110320 AIRASIA AK  000 CARTE   4974XXXXXXXX8716                MYS   490,00THB+COMMISSION : 1,30"/>
    <s v="UIT_AZIE_VOORAF"/>
    <s v="AZIE_VLIEGEN"/>
    <s v="vliegtickets_unused"/>
    <m/>
    <s v="13-03-2020"/>
    <s v="Autres dépenses à catégoriser"/>
    <s v="PAIEMENT CARTE DU 110320 AIRASIA AK  000 CARTE   4974XXXXXXXX8716                MYS   490,00THB+COMMISSION : 1,30"/>
    <n v="-15.38"/>
    <m/>
    <m/>
    <m/>
    <m/>
    <m/>
  </r>
  <r>
    <n v="2076"/>
    <x v="1"/>
    <m/>
    <x v="4"/>
    <x v="23"/>
    <d v="2020-05-05T00:00:00"/>
    <d v="2020-05-05T00:00:00"/>
    <n v="-503.74"/>
    <n v="503.74"/>
    <m/>
    <s v="PRELEVEMENT PAYPAL EUROPE S.A.R.L. ET CIE S.C.A ECH/050520 ID EMETTEUR/LU96ZZZ0000000000000000058 MDT/5HBJ224MREGGA REF/1008832377737 PAYPAL VIREMENT LIB/1008832377737 PAYPAL"/>
    <s v="UIT_AZIE_VOORAF"/>
    <s v="AZIE_VLIEGEN"/>
    <s v="vliegtickets"/>
    <m/>
    <m/>
    <m/>
    <m/>
    <m/>
    <m/>
    <m/>
    <m/>
    <m/>
    <m/>
  </r>
  <r>
    <n v="2194"/>
    <x v="3"/>
    <m/>
    <x v="4"/>
    <x v="24"/>
    <d v="2020-06-03T00:00:00"/>
    <d v="2020-06-03T00:00:00"/>
    <n v="-72.03"/>
    <n v="72.03"/>
    <m/>
    <s v="KLM"/>
    <s v="UIT_AZIE_VOORAF"/>
    <s v="AZIE_VLIEGEN"/>
    <s v="vliegtickets"/>
    <m/>
    <s v="1715911050733826 0030005215792211 KLM?Ref NTJC5O Flight x4934 pasnr.011"/>
    <s v="ABNANL2A"/>
    <s v="id"/>
    <m/>
    <m/>
    <m/>
    <m/>
    <m/>
    <m/>
  </r>
  <r>
    <n v="2588"/>
    <x v="0"/>
    <m/>
    <x v="4"/>
    <x v="20"/>
    <d v="2020-01-03T00:00:00"/>
    <d v="2020-01-03T00:00:00"/>
    <n v="-299.76"/>
    <n v="299.76"/>
    <m/>
    <s v="XIAMEN AI 07312170230260 BANGKOK      THA"/>
    <s v="UIT_AZIE_VOORAF"/>
    <s v="AZIE_VLIEGEN"/>
    <s v="vliegtickets_unused"/>
    <m/>
    <n v="3631"/>
    <s v="EUR"/>
    <s v="Rabo GoldCard - Mastercard"/>
    <s v="R.C. SMIT"/>
    <m/>
    <d v="2020-01-03T00:00:00"/>
    <d v="2020-01-03T00:00:00"/>
    <s v="-299.76"/>
    <s v="NL22RABO0381604934"/>
  </r>
  <r>
    <n v="2589"/>
    <x v="0"/>
    <m/>
    <x v="4"/>
    <x v="20"/>
    <d v="2020-01-03T00:00:00"/>
    <d v="2020-01-03T00:00:00"/>
    <n v="286.16000000000003"/>
    <n v="286.16000000000003"/>
    <m/>
    <s v="XIAMEN AI 07312170230260 BANGKOK      THA"/>
    <s v="UIT_AZIE_VOORAF"/>
    <s v="AZIE_VLIEGEN"/>
    <s v="vliegtickets_unused"/>
    <m/>
    <n v="3631"/>
    <s v="EUR"/>
    <s v="Rabo GoldCard - Mastercard"/>
    <s v="R.C. SMIT"/>
    <m/>
    <d v="2020-01-03T00:00:00"/>
    <d v="2020-01-03T00:00:00"/>
    <s v="+286.16"/>
    <s v="NL22RABO0381604934"/>
  </r>
  <r>
    <n v="2594"/>
    <x v="0"/>
    <m/>
    <x v="4"/>
    <x v="19"/>
    <d v="2020-02-14T00:00:00"/>
    <d v="2020-02-14T00:00:00"/>
    <n v="-538.28"/>
    <n v="538.28"/>
    <m/>
    <s v="BRITISH A 12585234882530 JAKARTA      IDN"/>
    <s v="UIT_AZIE_VOORAF"/>
    <s v="AZIE_VLIEGEN"/>
    <s v="vliegtickets_unused"/>
    <m/>
    <n v="3631"/>
    <s v="EUR"/>
    <s v="Rabo GoldCard - Mastercard"/>
    <s v="R.C. SMIT"/>
    <m/>
    <d v="2020-02-14T00:00:00"/>
    <d v="2020-02-14T00:00:00"/>
    <s v="-538.28"/>
    <s v="NL22RABO0381604934"/>
  </r>
  <r>
    <n v="2595"/>
    <x v="0"/>
    <m/>
    <x v="4"/>
    <x v="21"/>
    <d v="2020-03-10T00:00:00"/>
    <d v="2020-03-21T00:00:00"/>
    <n v="-520.07000000000005"/>
    <n v="520.07000000000005"/>
    <m/>
    <s v="ETIHADAIR 6072139938374  AMSTERDAM    THA"/>
    <s v="UIT_AZIE_VOORAF"/>
    <s v="AZIE_VLIEGEN"/>
    <s v="vliegtickets+1"/>
    <m/>
    <n v="3631"/>
    <s v="EUR"/>
    <s v="Rabo GoldCard - Mastercard"/>
    <s v="R.C. SMIT"/>
    <m/>
    <d v="2020-03-21T00:00:00"/>
    <d v="2020-03-21T00:00:00"/>
    <s v="-520.07"/>
    <s v="NL22RABO0381604934"/>
  </r>
  <r>
    <n v="2597"/>
    <x v="0"/>
    <m/>
    <x v="4"/>
    <x v="21"/>
    <d v="2020-03-21T00:00:00"/>
    <d v="2020-03-21T00:00:00"/>
    <n v="-42.96"/>
    <n v="42.96"/>
    <m/>
    <s v="WWW.AIRASIA.COM          BANGKOK      THA URT-DMK"/>
    <s v="UIT_AZIE_VOORAF"/>
    <s v="AZIE_VLIEGEN"/>
    <s v="vliegtickets_unused"/>
    <m/>
    <n v="3631"/>
    <s v="EUR"/>
    <s v="Rabo GoldCard - Mastercard"/>
    <s v="R.C. SMIT"/>
    <m/>
    <d v="2020-03-21T00:00:00"/>
    <d v="2020-03-21T00:00:00"/>
    <s v="-42.96"/>
    <s v="NL22RABO0381604934"/>
  </r>
  <r>
    <n v="2599"/>
    <x v="0"/>
    <m/>
    <x v="4"/>
    <x v="21"/>
    <d v="2020-03-21T00:00:00"/>
    <d v="2020-03-21T00:00:00"/>
    <n v="0"/>
    <n v="0"/>
    <m/>
    <s v="ETIHADAIR 6072139938374  AMSTERDAM    THA"/>
    <s v="UIT_AZIE_VOORAF"/>
    <s v="AZIE_VLIEGEN"/>
    <s v="vliegtickets"/>
    <m/>
    <n v="3631"/>
    <s v="EUR"/>
    <s v="Rabo GoldCard - Mastercard"/>
    <s v="R.C. SMIT"/>
    <m/>
    <m/>
    <m/>
    <m/>
    <m/>
  </r>
  <r>
    <n v="2607"/>
    <x v="0"/>
    <m/>
    <x v="4"/>
    <x v="24"/>
    <d v="2020-06-13T00:00:00"/>
    <d v="2020-06-13T00:00:00"/>
    <n v="-45.51"/>
    <n v="45.51"/>
    <m/>
    <s v="Thai Smile Airway BANGKOK THA"/>
    <s v="UIT_AZIE_VOORAF"/>
    <s v="AZIE_VLIEGEN"/>
    <s v="vliegtickets"/>
    <m/>
    <m/>
    <m/>
    <m/>
    <m/>
    <m/>
    <m/>
    <m/>
    <m/>
    <s v="Betaalautomaat 11:56 pasnr. 022"/>
  </r>
  <r>
    <n v="3212"/>
    <x v="0"/>
    <m/>
    <x v="5"/>
    <x v="25"/>
    <d v="2021-10-06T00:00:00"/>
    <m/>
    <n v="-11.16"/>
    <n v="11.16"/>
    <m/>
    <s v="ETIHAD AIRW 6072141663979ABU DHABI    NLD"/>
    <s v="UIT_AZIE_VOORAF"/>
    <s v="AZIE_VLIEGEN"/>
    <s v="vliegtickets"/>
    <m/>
    <m/>
    <m/>
    <m/>
    <m/>
    <m/>
    <m/>
    <m/>
    <m/>
    <m/>
  </r>
  <r>
    <n v="3225"/>
    <x v="0"/>
    <m/>
    <x v="5"/>
    <x v="26"/>
    <d v="2021-11-17T00:00:00"/>
    <m/>
    <n v="-109"/>
    <n v="109"/>
    <m/>
    <s v="*AIRASIA FLIGHT-EUR      KUALA LUMPUR MYS"/>
    <s v="UIT_AZIE_VOORAF"/>
    <s v="AZIE_VLIEGEN"/>
    <s v="vliegtickets"/>
    <m/>
    <m/>
    <m/>
    <m/>
    <m/>
    <m/>
    <m/>
    <m/>
    <m/>
    <m/>
  </r>
  <r>
    <n v="3235"/>
    <x v="0"/>
    <m/>
    <x v="5"/>
    <x v="27"/>
    <d v="2021-12-20T00:00:00"/>
    <m/>
    <n v="-92.74"/>
    <n v="92.74"/>
    <m/>
    <s v="2C2P   *THAI AIR ASIA    BANGKOK      THA"/>
    <s v="UIT_AZIE_VOORAF"/>
    <s v="AZIE_VLIEGEN"/>
    <s v="vliegtickets"/>
    <m/>
    <m/>
    <m/>
    <n v="3501.83"/>
    <s v="THB"/>
    <n v="37.759650000000001"/>
    <m/>
    <m/>
    <m/>
    <m/>
  </r>
  <r>
    <n v="202208151"/>
    <x v="3"/>
    <s v="EUR"/>
    <x v="6"/>
    <x v="40"/>
    <d v="2022-08-18T00:00:00"/>
    <d v="2022-08-18T00:00:00"/>
    <n v="-91.53"/>
    <n v="91.53"/>
    <s v="DE70202208000093058576"/>
    <s v="Trip.com International Travel Germa"/>
    <s v="UIT_AZIE_VOORAF"/>
    <s v="AZIE_VLIEGEN"/>
    <s v="vliegtickets"/>
    <s v="id"/>
    <m/>
    <s v="18-08-2022 13:59 0140000703236812"/>
    <m/>
    <m/>
    <m/>
    <s v="2LG0NVE 0140000703236812 TRIP.COM x4934 pasnr.032"/>
    <s v=" "/>
    <m/>
    <m/>
  </r>
  <r>
    <n v="202208161"/>
    <x v="3"/>
    <s v="EUR"/>
    <x v="6"/>
    <x v="40"/>
    <d v="2022-08-22T00:00:00"/>
    <d v="2022-08-22T00:00:00"/>
    <n v="91.53"/>
    <n v="91.53"/>
    <s v="DE70202208000093058576"/>
    <s v="Tripcom International Travel German"/>
    <s v="UIT_AZIE_VOORAF"/>
    <s v="AZIE_VLIEGEN"/>
    <s v="vliegtickets"/>
    <s v="cb"/>
    <m/>
    <m/>
    <m/>
    <m/>
    <m/>
    <s v="2PU6WN6 TRIPCOM"/>
    <s v=" "/>
    <m/>
    <m/>
  </r>
  <r>
    <n v="202208182"/>
    <x v="0"/>
    <m/>
    <x v="6"/>
    <x v="40"/>
    <d v="2022-08-10T00:00:00"/>
    <d v="2022-08-10T00:00:00"/>
    <n v="-460.45"/>
    <n v="460.45"/>
    <m/>
    <s v="CATHAYPACAIR1602382436177AMSTERDAM NLD"/>
    <s v="UIT_AZIE_VOORAF"/>
    <s v="AZIE_VLIEGEN"/>
    <s v="vliegtickets"/>
    <m/>
    <m/>
    <m/>
    <m/>
    <m/>
    <m/>
    <m/>
    <m/>
    <m/>
    <m/>
  </r>
  <r>
    <n v="202208183"/>
    <x v="0"/>
    <m/>
    <x v="6"/>
    <x v="40"/>
    <d v="2022-08-18T00:00:00"/>
    <d v="2022-08-18T00:00:00"/>
    <n v="-86.12"/>
    <n v="86.12"/>
    <m/>
    <s v="*AIRASIA-AK A9SBGE3581 SEPANG VNM VND 2.021.400,00 Koers 23471.89967487"/>
    <s v="UIT_AZIE_VOORAF"/>
    <s v="AZIE_VLIEGEN"/>
    <s v="vliegtickets"/>
    <m/>
    <m/>
    <m/>
    <m/>
    <m/>
    <m/>
    <m/>
    <m/>
    <m/>
    <m/>
  </r>
  <r>
    <n v="202301112"/>
    <x v="0"/>
    <m/>
    <x v="6"/>
    <x v="34"/>
    <d v="2022-10-29T00:00:00"/>
    <m/>
    <n v="-618.61"/>
    <m/>
    <m/>
    <s v="EMIRATES    1762353324313E-COMMERCE   THA"/>
    <s v="UIT"/>
    <s v="AZIE_VLIEGEN"/>
    <s v="vliegtickets"/>
    <m/>
    <m/>
    <m/>
    <m/>
    <m/>
    <m/>
    <m/>
    <m/>
    <m/>
    <m/>
  </r>
  <r>
    <n v="412"/>
    <x v="5"/>
    <m/>
    <x v="1"/>
    <x v="3"/>
    <d v="2017-10-01T00:00:00"/>
    <d v="2017-10-01T00:00:00"/>
    <n v="-62.5"/>
    <n v="62.5"/>
    <m/>
    <s v="visum nepal"/>
    <s v="UIT_AZIE_VOORAF"/>
    <s v="AZIE_VOORAF"/>
    <s v="visum"/>
    <m/>
    <m/>
    <m/>
    <m/>
    <m/>
    <m/>
    <m/>
    <m/>
    <m/>
    <m/>
  </r>
  <r>
    <n v="424"/>
    <x v="3"/>
    <m/>
    <x v="1"/>
    <x v="1"/>
    <d v="2017-01-17T00:00:00"/>
    <d v="2017-01-17T00:00:00"/>
    <n v="-68.11"/>
    <n v="68.11"/>
    <m/>
    <s v="JOHO"/>
    <s v="UIT_AZIE_VOORAF"/>
    <s v="AZIE_VOORAF"/>
    <s v="reisverzekering"/>
    <m/>
    <m/>
    <m/>
    <m/>
    <m/>
    <m/>
    <m/>
    <m/>
    <m/>
    <m/>
  </r>
  <r>
    <n v="679"/>
    <x v="3"/>
    <m/>
    <x v="1"/>
    <x v="3"/>
    <d v="2017-10-24T00:00:00"/>
    <d v="2017-10-24T00:00:00"/>
    <n v="-246.12"/>
    <n v="246.12"/>
    <m/>
    <s v="JOHO"/>
    <s v="UIT_AZIE_VOORAF"/>
    <s v="AZIE_VOORAF"/>
    <s v="reisverzekering"/>
    <m/>
    <m/>
    <m/>
    <m/>
    <m/>
    <m/>
    <m/>
    <m/>
    <m/>
    <m/>
  </r>
  <r>
    <n v="1095"/>
    <x v="5"/>
    <m/>
    <x v="2"/>
    <x v="11"/>
    <d v="2018-10-01T00:00:00"/>
    <d v="2018-10-01T00:00:00"/>
    <n v="-30"/>
    <n v="30"/>
    <m/>
    <s v="visum thailand"/>
    <s v="UIT_AZIE_VOORAF"/>
    <s v="AZIE_VOORAF"/>
    <s v="visum"/>
    <m/>
    <m/>
    <n v="-31.13"/>
    <m/>
    <m/>
    <m/>
    <m/>
    <m/>
    <m/>
    <m/>
  </r>
  <r>
    <n v="1272"/>
    <x v="3"/>
    <m/>
    <x v="2"/>
    <x v="12"/>
    <d v="2018-09-13T00:00:00"/>
    <d v="2018-09-13T00:00:00"/>
    <n v="-182.03"/>
    <n v="182.03"/>
    <m/>
    <s v="JOHO"/>
    <s v="UIT_AZIE_VOORAF"/>
    <s v="AZIE_VOORAF"/>
    <s v="reisverzekering"/>
    <m/>
    <m/>
    <m/>
    <m/>
    <m/>
    <m/>
    <m/>
    <m/>
    <m/>
    <m/>
  </r>
  <r>
    <n v="1295"/>
    <x v="3"/>
    <m/>
    <x v="2"/>
    <x v="11"/>
    <d v="2018-10-11T00:00:00"/>
    <d v="2018-10-11T00:00:00"/>
    <n v="-61"/>
    <n v="61"/>
    <m/>
    <s v="CCV*TRAVEL CLINIC OOST ARNHEM"/>
    <s v="UIT_AZIE_VOORAF"/>
    <s v="AZIE_VOORAF"/>
    <s v="inentingen"/>
    <m/>
    <m/>
    <m/>
    <m/>
    <m/>
    <m/>
    <m/>
    <m/>
    <m/>
    <m/>
  </r>
  <r>
    <n v="1314"/>
    <x v="3"/>
    <m/>
    <x v="2"/>
    <x v="11"/>
    <d v="2018-10-18T00:00:00"/>
    <d v="2018-10-18T00:00:00"/>
    <n v="-61"/>
    <n v="61"/>
    <m/>
    <s v="CCV*TRAVEL CLINIC OOST ARNHEM"/>
    <s v="UIT_AZIE_VOORAF"/>
    <s v="AZIE_VOORAF"/>
    <s v="inentingen"/>
    <m/>
    <m/>
    <m/>
    <m/>
    <m/>
    <m/>
    <m/>
    <m/>
    <m/>
    <m/>
  </r>
  <r>
    <n v="1379"/>
    <x v="0"/>
    <m/>
    <x v="2"/>
    <x v="11"/>
    <d v="2018-10-07T00:00:00"/>
    <d v="2018-10-07T00:00:00"/>
    <n v="-31.13"/>
    <n v="31.13"/>
    <m/>
    <s v="Dept of Immigration sl Colombo 10 LKA"/>
    <s v="UIT_AZIE_VOORAF"/>
    <s v="AZIE_VOORAF"/>
    <s v="visum"/>
    <m/>
    <m/>
    <m/>
    <m/>
    <m/>
    <m/>
    <m/>
    <m/>
    <m/>
    <m/>
  </r>
  <r>
    <n v="1436"/>
    <x v="1"/>
    <m/>
    <x v="3"/>
    <x v="38"/>
    <d v="2019-07-29T00:00:00"/>
    <d v="2019-07-29T00:00:00"/>
    <n v="-77.3"/>
    <n v="77.3"/>
    <m/>
    <s v="PRLV SEPA PAYPAL EUROPE S.A.R.L. ET CIE S.C.A ECH/290719 ID EMETTEUR/LU96ZZZ0000000000000000058 MDT/5HBJ224MREGGA REF/1006191096852 PAYPAL VIREMENT LIB/1006191096852 PAYPAL"/>
    <s v="UIT_AZIE_VOORAF"/>
    <s v="AZIE_VOORAF"/>
    <s v="visum"/>
    <m/>
    <m/>
    <m/>
    <m/>
    <m/>
    <m/>
    <m/>
    <m/>
    <m/>
    <m/>
  </r>
  <r>
    <n v="1459"/>
    <x v="1"/>
    <m/>
    <x v="3"/>
    <x v="39"/>
    <d v="2019-10-31T00:00:00"/>
    <d v="2019-10-31T00:00:00"/>
    <n v="-12.92"/>
    <n v="12.92"/>
    <m/>
    <s v="royal oman police"/>
    <s v="UIT_AZIE_VOORAF"/>
    <s v="AZIE_VOORAF"/>
    <s v="visum"/>
    <m/>
    <m/>
    <m/>
    <m/>
    <m/>
    <m/>
    <m/>
    <m/>
    <m/>
    <m/>
  </r>
  <r>
    <n v="1641"/>
    <x v="5"/>
    <m/>
    <x v="3"/>
    <x v="39"/>
    <d v="2019-10-31T00:00:00"/>
    <d v="2019-10-31T00:00:00"/>
    <n v="-35"/>
    <n v="35"/>
    <m/>
    <s v="visum thailand"/>
    <s v="UIT_AZIE_VOORAF"/>
    <s v="AZIE_VOORAF"/>
    <s v="visum"/>
    <m/>
    <m/>
    <m/>
    <m/>
    <m/>
    <m/>
    <m/>
    <m/>
    <m/>
    <m/>
  </r>
  <r>
    <n v="1676"/>
    <x v="3"/>
    <m/>
    <x v="3"/>
    <x v="13"/>
    <d v="2019-01-10T00:00:00"/>
    <d v="2019-01-10T00:00:00"/>
    <n v="-80.319999999999993"/>
    <n v="80.319999999999993"/>
    <m/>
    <s v="JOHO"/>
    <s v="UIT_AZIE_VOORAF"/>
    <s v="AZIE_VOORAF"/>
    <s v="reisverzekering"/>
    <m/>
    <m/>
    <m/>
    <m/>
    <m/>
    <m/>
    <m/>
    <m/>
    <m/>
    <m/>
  </r>
  <r>
    <n v="1871"/>
    <x v="3"/>
    <m/>
    <x v="3"/>
    <x v="41"/>
    <d v="2019-08-05T00:00:00"/>
    <d v="2019-08-05T00:00:00"/>
    <n v="-182.03"/>
    <n v="182.03"/>
    <m/>
    <s v="JOHO"/>
    <s v="UIT_AZIE_VOORAF"/>
    <s v="AZIE_VOORAF"/>
    <s v="reisverzekering"/>
    <m/>
    <m/>
    <m/>
    <m/>
    <m/>
    <m/>
    <m/>
    <m/>
    <m/>
    <m/>
  </r>
  <r>
    <n v="1930"/>
    <x v="3"/>
    <m/>
    <x v="3"/>
    <x v="39"/>
    <d v="2019-10-17T00:00:00"/>
    <d v="2019-10-17T00:00:00"/>
    <n v="-56"/>
    <n v="56"/>
    <m/>
    <s v="CCV*TRAVEL CLINIC OOST VELP GLD"/>
    <s v="UIT_AZIE_VOORAF"/>
    <s v="AZIE_VOORAF"/>
    <s v="inentingen"/>
    <m/>
    <m/>
    <m/>
    <m/>
    <m/>
    <m/>
    <m/>
    <m/>
    <m/>
    <m/>
  </r>
  <r>
    <n v="2156"/>
    <x v="3"/>
    <m/>
    <x v="4"/>
    <x v="19"/>
    <d v="2020-02-12T00:00:00"/>
    <d v="2020-02-12T00:00:00"/>
    <n v="-63.8"/>
    <n v="63.8"/>
    <m/>
    <s v="JOHO"/>
    <s v="UIT_AZIE_VOORAF"/>
    <s v="AZIE_VOORAF"/>
    <s v="reisverzekering"/>
    <m/>
    <s v="NL22RABO0381604934"/>
    <s v="Factuurnummer: 20201562"/>
    <s v="RABONL2U"/>
    <n v="3087"/>
    <d v="2020-02-12T00:00:00"/>
    <d v="2020-02-12T00:00:00"/>
    <n v="-63.8"/>
    <n v="247.62"/>
    <s v="NL29INGB0007234340"/>
  </r>
  <r>
    <n v="2157"/>
    <x v="3"/>
    <m/>
    <x v="4"/>
    <x v="19"/>
    <d v="2020-02-12T00:00:00"/>
    <d v="2020-02-12T00:00:00"/>
    <n v="-63.8"/>
    <n v="63.8"/>
    <m/>
    <s v="JOHO"/>
    <s v="UIT_AZIE_VOORAF"/>
    <s v="AZIE_VOORAF"/>
    <s v="reisverzekering"/>
    <m/>
    <s v="NL22RABO0381604934"/>
    <s v="Factuurnummer: 20201541"/>
    <s v="RABONL2U"/>
    <n v="3088"/>
    <d v="2020-02-12T00:00:00"/>
    <d v="2020-02-12T00:00:00"/>
    <n v="-63.8"/>
    <n v="183.82"/>
    <s v="NL29INGB0007234340"/>
  </r>
  <r>
    <n v="2163"/>
    <x v="3"/>
    <m/>
    <x v="4"/>
    <x v="19"/>
    <d v="2020-02-24T00:00:00"/>
    <d v="2020-02-24T00:00:00"/>
    <n v="51.59"/>
    <n v="51.59"/>
    <m/>
    <s v="JOHO"/>
    <s v="UIT_AZIE_VOORAF"/>
    <s v="AZIE_VOORAF"/>
    <s v="reisverzekering"/>
    <m/>
    <s v="NL22RABO0381604934"/>
    <s v="Premierestitutie Special ISIS - 218797"/>
    <s v="RABONL2U"/>
    <n v="3096"/>
    <d v="2020-02-24T00:00:00"/>
    <d v="2020-02-24T00:00:00"/>
    <n v="51.59"/>
    <n v="505.59"/>
    <s v="NL29INGB0007234340"/>
  </r>
  <r>
    <n v="2174"/>
    <x v="3"/>
    <m/>
    <x v="4"/>
    <x v="22"/>
    <d v="2020-04-02T00:00:00"/>
    <d v="2020-04-02T00:00:00"/>
    <n v="-63.8"/>
    <n v="63.8"/>
    <m/>
    <s v="JOHO"/>
    <s v="UIT_AZIE_VOORAF"/>
    <s v="AZIE_VOORAF"/>
    <s v="reisverzekering"/>
    <m/>
    <s v="NL22RABO0381604934"/>
    <s v="Factuurnummer: 20202268"/>
    <s v="RABONL2U"/>
    <n v="3114"/>
    <d v="2020-04-02T00:00:00"/>
    <d v="2020-04-02T00:00:00"/>
    <n v="-63.8"/>
    <n v="110.26"/>
    <s v="NL29INGB0007234340"/>
  </r>
  <r>
    <n v="2181"/>
    <x v="3"/>
    <m/>
    <x v="4"/>
    <x v="22"/>
    <d v="2020-04-23T00:00:00"/>
    <d v="2020-04-23T00:00:00"/>
    <n v="-51.59"/>
    <n v="51.59"/>
    <m/>
    <s v="JOHO"/>
    <s v="UIT_AZIE_VOORAF"/>
    <s v="AZIE_VOORAF"/>
    <s v="reisverzekering"/>
    <m/>
    <s v="NL22RABO0381604934"/>
    <s v="Factuurnummer: 20202502"/>
    <s v="RABONL2U"/>
    <n v="3122"/>
    <d v="2020-04-23T00:00:00"/>
    <d v="2020-04-23T00:00:00"/>
    <n v="-51.59"/>
    <n v="55.83"/>
    <s v="NL29INGB0007234340"/>
  </r>
  <r>
    <n v="2190"/>
    <x v="3"/>
    <m/>
    <x v="4"/>
    <x v="23"/>
    <d v="2020-05-21T00:00:00"/>
    <d v="2020-05-21T00:00:00"/>
    <n v="-63.8"/>
    <n v="63.8"/>
    <m/>
    <s v="JOHO"/>
    <s v="UIT_AZIE_VOORAF"/>
    <s v="AZIE_VOORAF"/>
    <s v="reisverzekering"/>
    <m/>
    <s v="Factuurnummer: 20202807"/>
    <s v="INGBNL2A"/>
    <s v="ei"/>
    <m/>
    <m/>
    <m/>
    <m/>
    <m/>
    <m/>
  </r>
  <r>
    <n v="2196"/>
    <x v="3"/>
    <m/>
    <x v="4"/>
    <x v="24"/>
    <d v="2020-06-11T00:00:00"/>
    <d v="2020-06-11T00:00:00"/>
    <n v="-63.8"/>
    <n v="63.8"/>
    <m/>
    <s v="JOHO"/>
    <s v="UIT_AZIE_VOORAF"/>
    <s v="AZIE_VOORAF"/>
    <s v="reisverzekering"/>
    <m/>
    <s v="Factuurnummer: 20202985"/>
    <s v="INGBNL2A"/>
    <s v="ei"/>
    <m/>
    <m/>
    <m/>
    <m/>
    <m/>
    <m/>
  </r>
  <r>
    <n v="2657"/>
    <x v="2"/>
    <m/>
    <x v="5"/>
    <x v="25"/>
    <d v="2021-11-17T00:00:00"/>
    <d v="2021-11-17T00:00:00"/>
    <n v="32"/>
    <n v="32"/>
    <m/>
    <s v="CORRECTIE HOTEL"/>
    <s v="UIT_AZIE_VOORAF"/>
    <s v="AZIE_VOORAF"/>
    <s v="covid"/>
    <m/>
    <m/>
    <m/>
    <m/>
    <m/>
    <m/>
    <m/>
    <m/>
    <m/>
    <m/>
  </r>
  <r>
    <n v="3028"/>
    <x v="3"/>
    <m/>
    <x v="5"/>
    <x v="25"/>
    <d v="2021-10-15T00:00:00"/>
    <d v="2021-10-15T00:00:00"/>
    <n v="-5.29"/>
    <n v="5.29"/>
    <m/>
    <s v="Printerette Frederik 'S-GRAVENHAGE"/>
    <s v="UIT_AZIE_VOORAF"/>
    <s v="AZIE_VOORAF"/>
    <s v="visum"/>
    <s v="uitprinten bankafschriten"/>
    <m/>
    <m/>
    <m/>
    <m/>
    <m/>
    <s v="Betaalautomaat 15:37 pasnr. 022"/>
    <s v=" "/>
    <m/>
    <m/>
  </r>
  <r>
    <n v="3029"/>
    <x v="3"/>
    <m/>
    <x v="5"/>
    <x v="25"/>
    <d v="2021-10-15T00:00:00"/>
    <d v="2021-10-15T00:00:00"/>
    <n v="-35"/>
    <n v="35"/>
    <m/>
    <s v="CCV*Royal Thai Embassy  S-GRAVENHAGE"/>
    <s v="UIT_AZIE_VOORAF"/>
    <s v="AZIE_VOORAF"/>
    <s v="visum"/>
    <s v="bc"/>
    <m/>
    <m/>
    <m/>
    <m/>
    <m/>
    <s v="Betaalautomaat 15:47 pasnr. 011"/>
    <s v=" "/>
    <m/>
    <m/>
  </r>
  <r>
    <n v="3082"/>
    <x v="3"/>
    <m/>
    <x v="5"/>
    <x v="25"/>
    <d v="2021-10-31T00:00:00"/>
    <d v="2021-11-01T00:00:00"/>
    <n v="-26"/>
    <n v="26"/>
    <s v="NL27INGB0000026500"/>
    <s v="bol.com b.v."/>
    <s v="UIT_AZIE_VOORAF"/>
    <s v="AZIE_VOORAF"/>
    <s v="div"/>
    <s v="reistas"/>
    <m/>
    <s v="31-10-2021 21:01 0050005770037285"/>
    <m/>
    <m/>
    <m/>
    <s v="1283045699 0050005770037285 bol.com ref 1283045699 bol.com x4934 pasnr.011"/>
    <s v=" "/>
    <m/>
    <m/>
  </r>
  <r>
    <n v="3104"/>
    <x v="3"/>
    <m/>
    <x v="5"/>
    <x v="26"/>
    <d v="2021-11-05T00:00:00"/>
    <d v="2021-11-05T00:00:00"/>
    <n v="-79.95"/>
    <n v="79.95"/>
    <s v="NL56DEUT0265186420"/>
    <s v="TicketCounter B.V. by Buckaroo"/>
    <s v="UIT_AZIE_VOORAF"/>
    <s v="AZIE_VOORAF"/>
    <s v="covid"/>
    <s v="id"/>
    <m/>
    <s v="05-11-2021 12:42 1030000482320852"/>
    <m/>
    <m/>
    <m/>
    <s v="C0001028724 1030000482320852 Emmen - Spoedtest x4934 pasnr.011"/>
    <s v=" "/>
    <m/>
    <m/>
  </r>
  <r>
    <n v="3111"/>
    <x v="3"/>
    <m/>
    <x v="5"/>
    <x v="26"/>
    <d v="2021-11-09T00:00:00"/>
    <d v="2021-11-09T00:00:00"/>
    <n v="-35.72"/>
    <n v="35.72"/>
    <s v="NL91ABNA0511615140"/>
    <s v="Oom holding nv"/>
    <s v="UIT_AZIE_VOORAF"/>
    <s v="AZIE_VOORAF"/>
    <s v="reisverzekering"/>
    <s v="bg"/>
    <m/>
    <m/>
    <m/>
    <m/>
    <n v="7276077"/>
    <s v=" "/>
    <s v=" "/>
    <m/>
    <m/>
  </r>
  <r>
    <n v="3141"/>
    <x v="3"/>
    <m/>
    <x v="5"/>
    <x v="27"/>
    <d v="2021-12-01T00:00:00"/>
    <d v="2021-12-01T00:00:00"/>
    <n v="-66.989999999999995"/>
    <n v="66.989999999999995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213"/>
    <x v="0"/>
    <m/>
    <x v="5"/>
    <x v="25"/>
    <d v="2021-10-07T00:00:00"/>
    <m/>
    <n v="-152.99"/>
    <n v="152.99"/>
    <m/>
    <s v="Hotel on Booking.com     Amsterdam    NLD"/>
    <s v="UIT_AZIE_VOORAF"/>
    <s v="AZIE_VOORAF"/>
    <s v="covid"/>
    <m/>
    <m/>
    <m/>
    <m/>
    <m/>
    <m/>
    <m/>
    <m/>
    <m/>
    <m/>
  </r>
  <r>
    <n v="3215"/>
    <x v="0"/>
    <m/>
    <x v="5"/>
    <x v="25"/>
    <d v="2021-10-08T00:00:00"/>
    <m/>
    <n v="-21.86"/>
    <n v="21.86"/>
    <m/>
    <s v="2C2P                     BANGKOK      THA"/>
    <s v="UIT_AZIE_VOORAF"/>
    <s v="AZIE_VOORAF"/>
    <s v="covid"/>
    <m/>
    <m/>
    <m/>
    <m/>
    <m/>
    <m/>
    <m/>
    <m/>
    <m/>
    <m/>
  </r>
  <r>
    <n v="3217"/>
    <x v="0"/>
    <m/>
    <x v="5"/>
    <x v="25"/>
    <d v="2021-10-09T00:00:00"/>
    <m/>
    <n v="-133.76"/>
    <n v="133.76"/>
    <m/>
    <s v="PHUKET CITY DEVELOPMENT CPHUKET       THA"/>
    <s v="UIT_AZIE_VOORAF"/>
    <s v="AZIE_VOORAF"/>
    <s v="covid"/>
    <m/>
    <m/>
    <m/>
    <m/>
    <m/>
    <m/>
    <m/>
    <m/>
    <m/>
    <m/>
  </r>
  <r>
    <n v="3219"/>
    <x v="0"/>
    <m/>
    <x v="5"/>
    <x v="25"/>
    <d v="2021-10-09T00:00:00"/>
    <m/>
    <n v="73.03"/>
    <n v="73.03"/>
    <m/>
    <s v="PHUKET CITY DEVELOPMENT CPHUKET       THA"/>
    <s v="UIT_AZIE_VOORAF"/>
    <s v="AZIE_VOORAF"/>
    <s v="covid"/>
    <m/>
    <m/>
    <m/>
    <m/>
    <m/>
    <m/>
    <m/>
    <m/>
    <m/>
    <m/>
  </r>
  <r>
    <n v="3222"/>
    <x v="0"/>
    <m/>
    <x v="5"/>
    <x v="25"/>
    <d v="2021-10-30T00:00:00"/>
    <m/>
    <n v="122.87"/>
    <n v="122.87"/>
    <m/>
    <s v="Hotel on Booking.com     Amsterdam    NLD"/>
    <s v="UIT_AZIE_VOORAF"/>
    <s v="AZIE_VOORAF"/>
    <s v="covid"/>
    <m/>
    <m/>
    <m/>
    <m/>
    <m/>
    <m/>
    <m/>
    <m/>
    <m/>
    <m/>
  </r>
  <r>
    <n v="3263"/>
    <x v="3"/>
    <m/>
    <x v="6"/>
    <x v="28"/>
    <d v="2022-01-03T00:00:00"/>
    <d v="2022-01-03T00:00:00"/>
    <n v="-66.989999999999995"/>
    <n v="66.989999999999995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279"/>
    <x v="3"/>
    <m/>
    <x v="6"/>
    <x v="29"/>
    <d v="2022-02-01T00:00:00"/>
    <d v="2022-02-01T00:00:00"/>
    <n v="-26.8"/>
    <n v="26.8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284"/>
    <x v="3"/>
    <m/>
    <x v="6"/>
    <x v="29"/>
    <d v="2022-02-17T00:00:00"/>
    <d v="2022-02-17T00:00:00"/>
    <n v="-40.19"/>
    <n v="40.19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289"/>
    <x v="3"/>
    <m/>
    <x v="6"/>
    <x v="30"/>
    <d v="2022-03-01T00:00:00"/>
    <d v="2022-03-01T00:00:00"/>
    <n v="-66.989999999999995"/>
    <n v="66.989999999999995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302"/>
    <x v="3"/>
    <m/>
    <x v="6"/>
    <x v="31"/>
    <d v="2022-04-01T00:00:00"/>
    <d v="2022-04-01T00:00:00"/>
    <n v="-66.989999999999995"/>
    <n v="66.989999999999995"/>
    <s v="NL91ABNA0511615140"/>
    <s v="OOM HOLDING NV"/>
    <s v="UIT_AZIE_VOORAF"/>
    <s v="AZIE_VOORAF"/>
    <s v="reisverzekering"/>
    <s v="ei"/>
    <m/>
    <s v="Premie polis 7276077"/>
    <s v="TIB7276077"/>
    <s v="NL46ZZZ271941930000"/>
    <m/>
    <s v="Premie polis 7276077"/>
    <s v=" "/>
    <m/>
    <m/>
  </r>
  <r>
    <n v="3317"/>
    <x v="3"/>
    <m/>
    <x v="6"/>
    <x v="32"/>
    <d v="2022-05-12T00:00:00"/>
    <d v="2022-05-12T00:00:00"/>
    <n v="-43.53"/>
    <n v="43.53"/>
    <s v="NL91ABNA0511615140"/>
    <s v="OOM HOLDING NV"/>
    <s v="UIT_AZIE_VOORAF"/>
    <s v="AZIE_VOORAF"/>
    <s v="reisverzekering"/>
    <s v="ei"/>
    <m/>
    <s v="Premie polis 7285538"/>
    <s v="TIB7285538"/>
    <s v="NL46ZZZ271941930000"/>
    <m/>
    <s v="Premie polis 7285538"/>
    <s v=" "/>
    <m/>
    <m/>
  </r>
  <r>
    <n v="202208003"/>
    <x v="3"/>
    <s v="EUR"/>
    <x v="6"/>
    <x v="32"/>
    <d v="2022-05-25T00:00:00"/>
    <d v="2022-05-25T00:00:00"/>
    <n v="21.77"/>
    <n v="21.77"/>
    <s v="NL91ABNA0511615140"/>
    <s v="OOM HOLDING NV"/>
    <s v="UIT_AZIE_VOORAF"/>
    <s v="AZIE_VOORAF"/>
    <s v="reisverzekering"/>
    <s v="cb"/>
    <m/>
    <s v="Restitutie 7285538"/>
    <m/>
    <m/>
    <m/>
    <s v=" "/>
    <s v=" "/>
    <m/>
    <m/>
  </r>
  <r>
    <n v="202301062"/>
    <x v="3"/>
    <s v="EUR"/>
    <x v="6"/>
    <x v="35"/>
    <d v="2022-11-08T00:00:00"/>
    <d v="2022-11-08T00:00:00"/>
    <n v="-56.77"/>
    <m/>
    <s v="NL91ABNA0511615140"/>
    <s v="OOM HOLDING NV"/>
    <s v="UIT_AZIE_VOORAF"/>
    <s v="AZIE_VOORAF"/>
    <s v="reisverzekering"/>
    <s v="ei"/>
    <m/>
    <s v="Premie polis 7291097"/>
    <s v="TIB7291097"/>
    <s v="NL46ZZZ271941930000"/>
    <m/>
    <s v="Premie polis 7291097"/>
    <s v=" "/>
    <m/>
    <m/>
  </r>
  <r>
    <n v="202301083"/>
    <x v="3"/>
    <s v="EUR"/>
    <x v="6"/>
    <x v="33"/>
    <d v="2022-12-01T00:00:00"/>
    <d v="2022-12-01T00:00:00"/>
    <n v="-68.12"/>
    <m/>
    <s v="NL91ABNA0511615140"/>
    <s v="OOM HOLDING NV"/>
    <s v="UIT_AZIE_VOORAF"/>
    <s v="AZIE_VOORAF"/>
    <s v="reisverzekering"/>
    <s v="ei"/>
    <m/>
    <s v="Premie polis 7291097"/>
    <s v="TIB7291097"/>
    <s v="NL46ZZZ271941930000"/>
    <m/>
    <s v="Premie polis 7291097"/>
    <s v=" "/>
    <m/>
    <m/>
  </r>
  <r>
    <n v="202301109"/>
    <x v="0"/>
    <m/>
    <x v="6"/>
    <x v="34"/>
    <d v="2022-10-17T00:00:00"/>
    <m/>
    <n v="-26.75"/>
    <m/>
    <m/>
    <s v="E-VISA VIET NAM          HA NOI       VNM"/>
    <s v="UIT"/>
    <s v="AZIE_VOORAF"/>
    <s v="visum"/>
    <m/>
    <m/>
    <m/>
    <m/>
    <m/>
    <m/>
    <m/>
    <m/>
    <m/>
    <m/>
  </r>
  <r>
    <n v="202301164"/>
    <x v="5"/>
    <m/>
    <x v="6"/>
    <x v="34"/>
    <d v="2022-10-20T00:00:00"/>
    <m/>
    <n v="0"/>
    <m/>
    <m/>
    <s v="TCO"/>
    <s v="UIT"/>
    <s v="AZIE_VOORAF"/>
    <s v="inentingen"/>
    <m/>
    <m/>
    <m/>
    <m/>
    <m/>
    <m/>
    <m/>
    <m/>
    <m/>
    <m/>
  </r>
  <r>
    <n v="202305002"/>
    <x v="3"/>
    <s v="EUR"/>
    <x v="0"/>
    <x v="42"/>
    <d v="2023-01-02T00:00:00"/>
    <d v="2023-01-02T00:00:00"/>
    <n v="-68.12"/>
    <n v="81.709999999999994"/>
    <s v="NL91ABNA0511615140"/>
    <s v="OOM HOLDING NV"/>
    <s v="UIT_AZIE_VOORAF"/>
    <s v="AZIE_VOORAF"/>
    <s v="reisverzekering"/>
    <n v="81.709999999999994"/>
    <m/>
    <s v="Premie polis 7291097"/>
    <s v="TIB7291097"/>
    <s v="NL46ZZZ271941930000"/>
    <m/>
    <s v="Premie polis 7291097"/>
    <s v=" "/>
    <m/>
    <m/>
  </r>
  <r>
    <n v="202305017"/>
    <x v="3"/>
    <s v="EUR"/>
    <x v="0"/>
    <x v="0"/>
    <d v="2023-02-01T00:00:00"/>
    <d v="2023-02-01T00:00:00"/>
    <n v="-68.12"/>
    <n v="270.33"/>
    <s v="NL91ABNA0511615140"/>
    <s v="OOM HOLDING NV"/>
    <s v="UIT_AZIE_VOORAF"/>
    <s v="AZIE_VOORAF"/>
    <s v="reisverzekering"/>
    <n v="270.33"/>
    <m/>
    <s v="Premie polis 7291097"/>
    <s v="TIB7291097"/>
    <s v="NL46ZZZ271941930000"/>
    <m/>
    <s v="Premie polis 7291097"/>
    <s v=" "/>
    <m/>
    <m/>
  </r>
  <r>
    <n v="202305027"/>
    <x v="3"/>
    <s v="EUR"/>
    <x v="0"/>
    <x v="0"/>
    <d v="2023-02-24T00:00:00"/>
    <d v="2023-02-24T00:00:00"/>
    <n v="22.71"/>
    <n v="387.41"/>
    <s v="NL91ABNA0511615140"/>
    <s v="OOM HOLDING NV"/>
    <s v="UIT_AZIE_VOORAF"/>
    <s v="AZIE_VOORAF"/>
    <s v="reisverzekering"/>
    <n v="387.41"/>
    <m/>
    <s v="Restitutie 7291097"/>
    <m/>
    <m/>
    <m/>
    <s v=" "/>
    <s v=" "/>
    <m/>
    <m/>
  </r>
  <r>
    <n v="112"/>
    <x v="5"/>
    <m/>
    <x v="1"/>
    <x v="43"/>
    <d v="2017-03-27T00:00:00"/>
    <d v="2017-03-27T00:00:00"/>
    <n v="-31"/>
    <n v="31"/>
    <m/>
    <s v="boodsch"/>
    <s v="UIT"/>
    <s v="BOODSCH"/>
    <s v="boodschappen"/>
    <m/>
    <m/>
    <m/>
    <m/>
    <m/>
    <m/>
    <m/>
    <m/>
    <m/>
    <m/>
  </r>
  <r>
    <n v="113"/>
    <x v="5"/>
    <m/>
    <x v="1"/>
    <x v="43"/>
    <d v="2017-03-27T00:00:00"/>
    <d v="2017-03-27T00:00:00"/>
    <n v="-19"/>
    <n v="19"/>
    <m/>
    <s v="boodsch"/>
    <s v="UIT"/>
    <s v="BOODSCH"/>
    <s v="boodschappen"/>
    <m/>
    <m/>
    <m/>
    <m/>
    <m/>
    <m/>
    <m/>
    <m/>
    <m/>
    <m/>
  </r>
  <r>
    <n v="148"/>
    <x v="5"/>
    <m/>
    <x v="1"/>
    <x v="44"/>
    <d v="2017-04-11T00:00:00"/>
    <d v="2017-04-11T00:00:00"/>
    <n v="-1.97"/>
    <n v="1.97"/>
    <m/>
    <s v="boodsch"/>
    <s v="UIT"/>
    <s v="BOODSCH"/>
    <s v="boodschappen"/>
    <m/>
    <m/>
    <m/>
    <m/>
    <m/>
    <m/>
    <m/>
    <m/>
    <m/>
    <m/>
  </r>
  <r>
    <n v="162"/>
    <x v="5"/>
    <m/>
    <x v="1"/>
    <x v="44"/>
    <d v="2017-04-17T00:00:00"/>
    <d v="2017-04-17T00:00:00"/>
    <n v="-1.7"/>
    <n v="1.7"/>
    <m/>
    <s v="kurkuma+peper"/>
    <s v="UIT"/>
    <s v="BOODSCH"/>
    <s v="boodschappen"/>
    <m/>
    <m/>
    <m/>
    <m/>
    <m/>
    <m/>
    <m/>
    <m/>
    <m/>
    <m/>
  </r>
  <r>
    <n v="168"/>
    <x v="5"/>
    <m/>
    <x v="1"/>
    <x v="44"/>
    <d v="2017-04-17T00:00:00"/>
    <d v="2017-04-17T00:00:00"/>
    <n v="-0.9"/>
    <n v="0.9"/>
    <m/>
    <s v="appel"/>
    <s v="UIT"/>
    <s v="BOODSCH"/>
    <s v="boodschappen"/>
    <m/>
    <m/>
    <m/>
    <m/>
    <m/>
    <m/>
    <m/>
    <m/>
    <m/>
    <m/>
  </r>
  <r>
    <n v="175"/>
    <x v="5"/>
    <m/>
    <x v="1"/>
    <x v="44"/>
    <d v="2017-04-22T00:00:00"/>
    <d v="2017-04-22T00:00:00"/>
    <n v="-10.1"/>
    <n v="10.1"/>
    <m/>
    <s v="boodsch"/>
    <s v="UIT"/>
    <s v="BOODSCH"/>
    <s v="boodschappen"/>
    <m/>
    <m/>
    <m/>
    <m/>
    <m/>
    <m/>
    <m/>
    <m/>
    <m/>
    <m/>
  </r>
  <r>
    <n v="187"/>
    <x v="5"/>
    <m/>
    <x v="1"/>
    <x v="44"/>
    <d v="2017-04-26T00:00:00"/>
    <d v="2017-04-26T00:00:00"/>
    <n v="-3"/>
    <n v="3"/>
    <m/>
    <s v="boodsch"/>
    <s v="UIT"/>
    <s v="BOODSCH"/>
    <s v="boodschappen"/>
    <m/>
    <m/>
    <m/>
    <m/>
    <m/>
    <m/>
    <m/>
    <m/>
    <m/>
    <m/>
  </r>
  <r>
    <n v="200"/>
    <x v="5"/>
    <m/>
    <x v="1"/>
    <x v="45"/>
    <d v="2017-05-02T00:00:00"/>
    <d v="2017-05-02T00:00:00"/>
    <n v="-2.56"/>
    <n v="2.56"/>
    <m/>
    <s v="boodsch"/>
    <s v="UIT"/>
    <s v="BOODSCH"/>
    <s v="boodschappen"/>
    <m/>
    <m/>
    <m/>
    <m/>
    <m/>
    <m/>
    <m/>
    <m/>
    <m/>
    <m/>
  </r>
  <r>
    <n v="221"/>
    <x v="5"/>
    <m/>
    <x v="1"/>
    <x v="45"/>
    <d v="2017-05-17T00:00:00"/>
    <d v="2017-05-17T00:00:00"/>
    <n v="-4.93"/>
    <n v="4.93"/>
    <m/>
    <s v="boodsch"/>
    <s v="UIT"/>
    <s v="BOODSCH"/>
    <s v="boodschappen"/>
    <m/>
    <m/>
    <m/>
    <m/>
    <m/>
    <m/>
    <m/>
    <m/>
    <m/>
    <m/>
  </r>
  <r>
    <n v="228"/>
    <x v="5"/>
    <m/>
    <x v="1"/>
    <x v="45"/>
    <d v="2017-05-17T00:00:00"/>
    <d v="2017-05-17T00:00:00"/>
    <n v="-5"/>
    <n v="5"/>
    <m/>
    <s v="boodsch "/>
    <s v="UIT"/>
    <s v="BOODSCH"/>
    <s v="boodschappen"/>
    <m/>
    <m/>
    <m/>
    <m/>
    <m/>
    <m/>
    <m/>
    <m/>
    <m/>
    <m/>
  </r>
  <r>
    <n v="231"/>
    <x v="5"/>
    <m/>
    <x v="1"/>
    <x v="45"/>
    <d v="2017-05-20T00:00:00"/>
    <d v="2017-05-20T00:00:00"/>
    <n v="-1"/>
    <n v="1"/>
    <m/>
    <s v="boodsch"/>
    <s v="UIT"/>
    <s v="BOODSCH"/>
    <s v="boodschappen"/>
    <m/>
    <m/>
    <m/>
    <m/>
    <m/>
    <m/>
    <m/>
    <m/>
    <m/>
    <m/>
  </r>
  <r>
    <n v="246"/>
    <x v="5"/>
    <m/>
    <x v="1"/>
    <x v="45"/>
    <d v="2017-05-29T00:00:00"/>
    <d v="2017-05-29T00:00:00"/>
    <n v="-1.41"/>
    <n v="1.41"/>
    <m/>
    <s v="boodsch"/>
    <s v="UIT"/>
    <s v="BOODSCH"/>
    <s v="boodschappen"/>
    <m/>
    <m/>
    <m/>
    <m/>
    <m/>
    <m/>
    <m/>
    <m/>
    <m/>
    <m/>
  </r>
  <r>
    <n v="251"/>
    <x v="5"/>
    <m/>
    <x v="1"/>
    <x v="46"/>
    <d v="2017-06-02T00:00:00"/>
    <d v="2017-06-02T00:00:00"/>
    <n v="-0.89"/>
    <n v="0.89"/>
    <m/>
    <s v="boodsch"/>
    <s v="UIT"/>
    <s v="BOODSCH"/>
    <s v="boodschappen"/>
    <m/>
    <m/>
    <m/>
    <m/>
    <m/>
    <m/>
    <m/>
    <m/>
    <m/>
    <m/>
  </r>
  <r>
    <n v="252"/>
    <x v="5"/>
    <m/>
    <x v="1"/>
    <x v="46"/>
    <d v="2017-06-02T00:00:00"/>
    <d v="2017-06-02T00:00:00"/>
    <n v="-1"/>
    <n v="1"/>
    <m/>
    <s v="boodsch"/>
    <s v="UIT"/>
    <s v="BOODSCH"/>
    <s v="boodschappen"/>
    <m/>
    <m/>
    <m/>
    <m/>
    <m/>
    <m/>
    <m/>
    <m/>
    <m/>
    <m/>
  </r>
  <r>
    <n v="253"/>
    <x v="5"/>
    <m/>
    <x v="1"/>
    <x v="46"/>
    <d v="2017-06-02T00:00:00"/>
    <d v="2017-06-02T00:00:00"/>
    <n v="-1.62"/>
    <n v="1.62"/>
    <m/>
    <s v="boodsch"/>
    <s v="UIT"/>
    <s v="BOODSCH"/>
    <s v="boodschappen"/>
    <m/>
    <m/>
    <m/>
    <m/>
    <m/>
    <m/>
    <m/>
    <m/>
    <m/>
    <m/>
  </r>
  <r>
    <n v="258"/>
    <x v="5"/>
    <m/>
    <x v="1"/>
    <x v="46"/>
    <d v="2017-06-03T00:00:00"/>
    <d v="2017-06-03T00:00:00"/>
    <n v="-5.74"/>
    <n v="5.74"/>
    <m/>
    <s v="boodsch"/>
    <s v="UIT"/>
    <s v="BOODSCH"/>
    <s v="boodschappen"/>
    <m/>
    <m/>
    <m/>
    <m/>
    <m/>
    <m/>
    <m/>
    <m/>
    <m/>
    <m/>
  </r>
  <r>
    <n v="269"/>
    <x v="5"/>
    <m/>
    <x v="1"/>
    <x v="46"/>
    <d v="2017-06-10T00:00:00"/>
    <d v="2017-06-10T00:00:00"/>
    <n v="-0.99"/>
    <n v="0.99"/>
    <m/>
    <s v="boodsch"/>
    <s v="UIT"/>
    <s v="BOODSCH"/>
    <s v="boodschappen"/>
    <m/>
    <m/>
    <m/>
    <m/>
    <m/>
    <m/>
    <m/>
    <m/>
    <m/>
    <m/>
  </r>
  <r>
    <n v="271"/>
    <x v="5"/>
    <m/>
    <x v="1"/>
    <x v="46"/>
    <d v="2017-06-12T00:00:00"/>
    <d v="2017-06-12T00:00:00"/>
    <n v="-1.84"/>
    <n v="1.84"/>
    <m/>
    <s v="boodsch"/>
    <s v="UIT"/>
    <s v="BOODSCH"/>
    <s v="boodschappen"/>
    <m/>
    <m/>
    <m/>
    <m/>
    <m/>
    <m/>
    <m/>
    <m/>
    <m/>
    <m/>
  </r>
  <r>
    <n v="285"/>
    <x v="5"/>
    <m/>
    <x v="1"/>
    <x v="46"/>
    <d v="2017-06-24T00:00:00"/>
    <d v="2017-06-24T00:00:00"/>
    <n v="-1.88"/>
    <n v="1.88"/>
    <m/>
    <s v="boodsch"/>
    <s v="UIT"/>
    <s v="BOODSCH"/>
    <s v="boodschappen"/>
    <m/>
    <m/>
    <m/>
    <m/>
    <m/>
    <m/>
    <m/>
    <m/>
    <m/>
    <m/>
  </r>
  <r>
    <n v="295"/>
    <x v="5"/>
    <m/>
    <x v="1"/>
    <x v="46"/>
    <d v="2017-06-26T00:00:00"/>
    <d v="2017-06-26T00:00:00"/>
    <n v="-1.62"/>
    <n v="1.62"/>
    <m/>
    <s v="boodsch"/>
    <s v="UIT"/>
    <s v="BOODSCH"/>
    <s v="boodschappen"/>
    <m/>
    <m/>
    <m/>
    <m/>
    <m/>
    <m/>
    <m/>
    <m/>
    <m/>
    <m/>
  </r>
  <r>
    <n v="299"/>
    <x v="5"/>
    <m/>
    <x v="1"/>
    <x v="46"/>
    <d v="2017-06-29T00:00:00"/>
    <d v="2017-06-29T00:00:00"/>
    <n v="-1.83"/>
    <n v="1.83"/>
    <m/>
    <s v="boodsch"/>
    <s v="UIT"/>
    <s v="BOODSCH"/>
    <s v="boodschappen"/>
    <m/>
    <m/>
    <m/>
    <m/>
    <m/>
    <m/>
    <m/>
    <m/>
    <m/>
    <m/>
  </r>
  <r>
    <n v="306"/>
    <x v="5"/>
    <m/>
    <x v="1"/>
    <x v="36"/>
    <d v="2017-07-05T00:00:00"/>
    <d v="2017-07-05T00:00:00"/>
    <n v="-5"/>
    <n v="5"/>
    <m/>
    <s v="boodsch"/>
    <s v="UIT"/>
    <s v="BOODSCH"/>
    <s v="boodschappen"/>
    <m/>
    <m/>
    <m/>
    <m/>
    <m/>
    <m/>
    <m/>
    <m/>
    <m/>
    <m/>
  </r>
  <r>
    <n v="307"/>
    <x v="5"/>
    <m/>
    <x v="1"/>
    <x v="36"/>
    <d v="2017-07-05T00:00:00"/>
    <d v="2017-07-05T00:00:00"/>
    <n v="-15.88"/>
    <n v="15.88"/>
    <m/>
    <s v="boodsch"/>
    <s v="UIT"/>
    <s v="BOODSCH"/>
    <s v="boodschappen"/>
    <m/>
    <m/>
    <m/>
    <m/>
    <m/>
    <m/>
    <m/>
    <m/>
    <m/>
    <m/>
  </r>
  <r>
    <n v="310"/>
    <x v="5"/>
    <m/>
    <x v="1"/>
    <x v="36"/>
    <d v="2017-07-05T00:00:00"/>
    <d v="2017-07-05T00:00:00"/>
    <n v="-2.4"/>
    <n v="2.4"/>
    <m/>
    <s v="yogurt 6/7"/>
    <s v="UIT"/>
    <s v="BOODSCH"/>
    <s v="boodschappen"/>
    <m/>
    <m/>
    <m/>
    <m/>
    <m/>
    <m/>
    <m/>
    <m/>
    <m/>
    <m/>
  </r>
  <r>
    <n v="335"/>
    <x v="5"/>
    <m/>
    <x v="1"/>
    <x v="47"/>
    <d v="2017-08-02T00:00:00"/>
    <d v="2017-08-02T00:00:00"/>
    <n v="-3.5"/>
    <n v="3.5"/>
    <m/>
    <s v="kauwgom+w a ter+koffie"/>
    <s v="UIT"/>
    <s v="BOODSCH"/>
    <s v="boodschappen"/>
    <m/>
    <m/>
    <m/>
    <m/>
    <m/>
    <m/>
    <m/>
    <m/>
    <m/>
    <m/>
  </r>
  <r>
    <n v="347"/>
    <x v="5"/>
    <m/>
    <x v="1"/>
    <x v="47"/>
    <d v="2017-08-11T00:00:00"/>
    <d v="2017-08-11T00:00:00"/>
    <n v="-1.07"/>
    <n v="1.07"/>
    <m/>
    <s v="boodsch"/>
    <s v="UIT"/>
    <s v="BOODSCH"/>
    <s v="boodschappen"/>
    <m/>
    <m/>
    <m/>
    <m/>
    <m/>
    <m/>
    <m/>
    <m/>
    <m/>
    <m/>
  </r>
  <r>
    <n v="350"/>
    <x v="5"/>
    <m/>
    <x v="1"/>
    <x v="47"/>
    <d v="2017-08-15T00:00:00"/>
    <d v="2017-08-15T00:00:00"/>
    <n v="-3.41"/>
    <n v="3.41"/>
    <m/>
    <s v="boodsch"/>
    <s v="UIT"/>
    <s v="BOODSCH"/>
    <s v="boodschappen"/>
    <m/>
    <m/>
    <m/>
    <m/>
    <m/>
    <m/>
    <m/>
    <m/>
    <m/>
    <m/>
  </r>
  <r>
    <n v="353"/>
    <x v="5"/>
    <m/>
    <x v="1"/>
    <x v="47"/>
    <d v="2017-08-21T00:00:00"/>
    <d v="2017-08-21T00:00:00"/>
    <n v="-5"/>
    <n v="5"/>
    <m/>
    <s v="boodsch"/>
    <s v="UIT"/>
    <s v="BOODSCH"/>
    <s v="boodschappen"/>
    <m/>
    <m/>
    <m/>
    <m/>
    <m/>
    <m/>
    <m/>
    <m/>
    <m/>
    <m/>
  </r>
  <r>
    <n v="354"/>
    <x v="5"/>
    <m/>
    <x v="1"/>
    <x v="47"/>
    <d v="2017-08-21T00:00:00"/>
    <d v="2017-08-21T00:00:00"/>
    <n v="-4"/>
    <n v="4"/>
    <m/>
    <s v="boodsch"/>
    <s v="UIT"/>
    <s v="BOODSCH"/>
    <s v="boodschappen"/>
    <m/>
    <m/>
    <m/>
    <m/>
    <m/>
    <m/>
    <m/>
    <m/>
    <m/>
    <m/>
  </r>
  <r>
    <n v="356"/>
    <x v="5"/>
    <m/>
    <x v="1"/>
    <x v="47"/>
    <d v="2017-08-21T00:00:00"/>
    <d v="2017-08-21T00:00:00"/>
    <n v="-1.32"/>
    <n v="1.32"/>
    <m/>
    <s v="boodsch"/>
    <s v="UIT"/>
    <s v="BOODSCH"/>
    <s v="boodschappen"/>
    <m/>
    <m/>
    <m/>
    <m/>
    <m/>
    <m/>
    <m/>
    <m/>
    <m/>
    <m/>
  </r>
  <r>
    <n v="381"/>
    <x v="5"/>
    <m/>
    <x v="1"/>
    <x v="48"/>
    <d v="2017-09-12T00:00:00"/>
    <d v="2017-09-12T00:00:00"/>
    <n v="-3.76"/>
    <n v="3.76"/>
    <m/>
    <s v="Boodsch"/>
    <s v="UIT"/>
    <s v="BOODSCH"/>
    <s v="boodschappen"/>
    <m/>
    <m/>
    <m/>
    <m/>
    <m/>
    <m/>
    <m/>
    <m/>
    <m/>
    <m/>
  </r>
  <r>
    <n v="394"/>
    <x v="5"/>
    <m/>
    <x v="1"/>
    <x v="48"/>
    <d v="2017-09-14T00:00:00"/>
    <d v="2017-09-14T00:00:00"/>
    <n v="-0.65"/>
    <n v="0.65"/>
    <m/>
    <s v="knoflook"/>
    <s v="UIT"/>
    <s v="BOODSCH"/>
    <s v="boodschappen"/>
    <m/>
    <m/>
    <m/>
    <m/>
    <m/>
    <m/>
    <m/>
    <m/>
    <m/>
    <m/>
  </r>
  <r>
    <n v="395"/>
    <x v="5"/>
    <m/>
    <x v="1"/>
    <x v="48"/>
    <d v="2017-09-20T00:00:00"/>
    <d v="2017-09-20T00:00:00"/>
    <n v="-5.12"/>
    <n v="5.12"/>
    <m/>
    <s v="boodsch"/>
    <s v="UIT"/>
    <s v="BOODSCH"/>
    <s v="boodschappen"/>
    <m/>
    <m/>
    <m/>
    <m/>
    <m/>
    <m/>
    <m/>
    <m/>
    <m/>
    <m/>
  </r>
  <r>
    <n v="397"/>
    <x v="5"/>
    <m/>
    <x v="1"/>
    <x v="48"/>
    <d v="2017-09-22T00:00:00"/>
    <d v="2017-09-22T00:00:00"/>
    <n v="-1.61"/>
    <n v="1.61"/>
    <m/>
    <s v="boodsch"/>
    <s v="UIT"/>
    <s v="BOODSCH"/>
    <s v="boodschappen"/>
    <m/>
    <m/>
    <m/>
    <m/>
    <m/>
    <m/>
    <m/>
    <m/>
    <m/>
    <m/>
  </r>
  <r>
    <n v="432"/>
    <x v="3"/>
    <m/>
    <x v="1"/>
    <x v="2"/>
    <d v="2017-02-23T00:00:00"/>
    <d v="2017-02-23T00:00:00"/>
    <n v="-0.73"/>
    <n v="0.73"/>
    <m/>
    <s v="boodsc"/>
    <s v="UIT"/>
    <s v="BOODSCH"/>
    <s v="boodschappen"/>
    <m/>
    <m/>
    <m/>
    <m/>
    <m/>
    <m/>
    <m/>
    <m/>
    <m/>
    <m/>
  </r>
  <r>
    <n v="433"/>
    <x v="3"/>
    <m/>
    <x v="1"/>
    <x v="2"/>
    <d v="2017-02-23T00:00:00"/>
    <d v="2017-02-23T00:00:00"/>
    <n v="-2.84"/>
    <n v="2.84"/>
    <m/>
    <s v="boodsch ontbijt"/>
    <s v="UIT"/>
    <s v="BOODSCH"/>
    <s v="boodschappen"/>
    <m/>
    <m/>
    <m/>
    <m/>
    <m/>
    <m/>
    <m/>
    <m/>
    <m/>
    <m/>
  </r>
  <r>
    <n v="434"/>
    <x v="3"/>
    <m/>
    <x v="1"/>
    <x v="2"/>
    <d v="2017-02-23T00:00:00"/>
    <d v="2017-02-23T00:00:00"/>
    <n v="-1.81"/>
    <n v="1.81"/>
    <m/>
    <s v="boodsch soep"/>
    <s v="UIT"/>
    <s v="BOODSCH"/>
    <s v="boodschappen"/>
    <m/>
    <m/>
    <m/>
    <m/>
    <m/>
    <m/>
    <m/>
    <m/>
    <m/>
    <m/>
  </r>
  <r>
    <n v="437"/>
    <x v="3"/>
    <m/>
    <x v="1"/>
    <x v="2"/>
    <d v="2017-02-25T00:00:00"/>
    <d v="2017-02-25T00:00:00"/>
    <n v="-2.84"/>
    <n v="2.84"/>
    <m/>
    <s v="Coop 2113 MUSSELKANAAL"/>
    <s v="UIT"/>
    <s v="BOODSCH"/>
    <s v="boodschappen"/>
    <m/>
    <m/>
    <m/>
    <m/>
    <m/>
    <m/>
    <m/>
    <m/>
    <m/>
    <m/>
  </r>
  <r>
    <n v="441"/>
    <x v="3"/>
    <m/>
    <x v="1"/>
    <x v="2"/>
    <d v="2017-02-28T00:00:00"/>
    <d v="2017-02-28T00:00:00"/>
    <n v="-0.73"/>
    <n v="0.73"/>
    <m/>
    <s v="Albert Heijn 1122 STADSKANAAL"/>
    <s v="UIT"/>
    <s v="BOODSCH"/>
    <s v="boodschappen"/>
    <m/>
    <m/>
    <m/>
    <m/>
    <m/>
    <m/>
    <m/>
    <m/>
    <m/>
    <m/>
  </r>
  <r>
    <n v="442"/>
    <x v="3"/>
    <m/>
    <x v="1"/>
    <x v="2"/>
    <d v="2017-02-28T00:00:00"/>
    <d v="2017-02-28T00:00:00"/>
    <n v="-1.81"/>
    <n v="1.81"/>
    <m/>
    <s v="Coop 2113 MUSSELKANAAL"/>
    <s v="UIT"/>
    <s v="BOODSCH"/>
    <s v="boodschappen"/>
    <m/>
    <m/>
    <m/>
    <m/>
    <m/>
    <m/>
    <m/>
    <m/>
    <m/>
    <m/>
  </r>
  <r>
    <n v="444"/>
    <x v="3"/>
    <m/>
    <x v="1"/>
    <x v="43"/>
    <d v="2017-03-02T00:00:00"/>
    <d v="2017-03-02T00:00:00"/>
    <n v="-12.32"/>
    <n v="12.32"/>
    <m/>
    <s v="Supermarkt Houwer BV ARNHEM"/>
    <s v="UIT"/>
    <s v="BOODSCH"/>
    <s v="boodschappen"/>
    <m/>
    <m/>
    <m/>
    <m/>
    <m/>
    <m/>
    <m/>
    <m/>
    <m/>
    <m/>
  </r>
  <r>
    <n v="446"/>
    <x v="3"/>
    <m/>
    <x v="1"/>
    <x v="43"/>
    <d v="2017-03-02T00:00:00"/>
    <d v="2017-03-02T00:00:00"/>
    <n v="-5.14"/>
    <n v="5.14"/>
    <m/>
    <s v="ALBERT HEIJN 1101 ARNHEM"/>
    <s v="UIT"/>
    <s v="BOODSCH"/>
    <s v="boodschappen"/>
    <m/>
    <m/>
    <m/>
    <m/>
    <m/>
    <m/>
    <m/>
    <m/>
    <m/>
    <m/>
  </r>
  <r>
    <n v="452"/>
    <x v="3"/>
    <m/>
    <x v="1"/>
    <x v="43"/>
    <d v="2017-03-05T00:00:00"/>
    <d v="2017-03-05T00:00:00"/>
    <n v="-4.1900000000000004"/>
    <n v="4.1900000000000004"/>
    <m/>
    <s v="Supermarkt Houwer BV ARNHEM"/>
    <s v="UIT"/>
    <s v="BOODSCH"/>
    <s v="boodschappen"/>
    <m/>
    <m/>
    <m/>
    <m/>
    <m/>
    <m/>
    <m/>
    <m/>
    <m/>
    <m/>
  </r>
  <r>
    <n v="455"/>
    <x v="3"/>
    <m/>
    <x v="1"/>
    <x v="43"/>
    <d v="2017-03-06T00:00:00"/>
    <d v="2017-03-06T00:00:00"/>
    <n v="-1.78"/>
    <n v="1.78"/>
    <m/>
    <s v="ALBERT HEIJN 1101 ARNHEM"/>
    <s v="UIT"/>
    <s v="BOODSCH"/>
    <s v="boodschappen"/>
    <m/>
    <m/>
    <m/>
    <m/>
    <m/>
    <m/>
    <m/>
    <m/>
    <m/>
    <m/>
  </r>
  <r>
    <n v="459"/>
    <x v="3"/>
    <m/>
    <x v="1"/>
    <x v="43"/>
    <d v="2017-03-08T00:00:00"/>
    <d v="2017-03-08T00:00:00"/>
    <n v="-2.98"/>
    <n v="2.98"/>
    <m/>
    <s v="ALBERT HEIJN 1101 ARNHEM"/>
    <s v="UIT"/>
    <s v="BOODSCH"/>
    <s v="boodschappen"/>
    <m/>
    <m/>
    <m/>
    <m/>
    <m/>
    <m/>
    <m/>
    <m/>
    <m/>
    <m/>
  </r>
  <r>
    <n v="470"/>
    <x v="3"/>
    <m/>
    <x v="1"/>
    <x v="43"/>
    <d v="2017-03-12T00:00:00"/>
    <d v="2017-03-12T00:00:00"/>
    <n v="-9.33"/>
    <n v="9.33"/>
    <m/>
    <s v="Plus Musiskwartier ARNHEM"/>
    <s v="UIT"/>
    <s v="BOODSCH"/>
    <s v="boodschappen"/>
    <m/>
    <m/>
    <m/>
    <m/>
    <m/>
    <m/>
    <m/>
    <m/>
    <m/>
    <m/>
  </r>
  <r>
    <n v="483"/>
    <x v="3"/>
    <m/>
    <x v="1"/>
    <x v="43"/>
    <d v="2017-03-15T00:00:00"/>
    <d v="2017-03-15T00:00:00"/>
    <n v="-0.33"/>
    <n v="0.33"/>
    <m/>
    <s v="Plus Musiskwartier ARNHEM"/>
    <s v="UIT"/>
    <s v="BOODSCH"/>
    <s v="boodschappen"/>
    <m/>
    <m/>
    <m/>
    <m/>
    <m/>
    <m/>
    <m/>
    <m/>
    <m/>
    <m/>
  </r>
  <r>
    <n v="489"/>
    <x v="3"/>
    <m/>
    <x v="1"/>
    <x v="43"/>
    <d v="2017-03-16T00:00:00"/>
    <d v="2017-03-16T00:00:00"/>
    <n v="-4.5999999999999996"/>
    <n v="4.5999999999999996"/>
    <m/>
    <s v="Plus Musiskwartier ARNHEM"/>
    <s v="UIT"/>
    <s v="BOODSCH"/>
    <s v="boodschappen"/>
    <m/>
    <m/>
    <m/>
    <m/>
    <m/>
    <m/>
    <m/>
    <m/>
    <m/>
    <m/>
  </r>
  <r>
    <n v="498"/>
    <x v="3"/>
    <m/>
    <x v="1"/>
    <x v="43"/>
    <d v="2017-03-18T00:00:00"/>
    <d v="2017-03-18T00:00:00"/>
    <n v="-6.82"/>
    <n v="6.82"/>
    <m/>
    <s v="Plus Musiskwartier ARNHEM"/>
    <s v="UIT"/>
    <s v="BOODSCH"/>
    <s v="boodschappen"/>
    <m/>
    <m/>
    <m/>
    <m/>
    <m/>
    <m/>
    <m/>
    <m/>
    <m/>
    <m/>
  </r>
  <r>
    <n v="506"/>
    <x v="3"/>
    <m/>
    <x v="1"/>
    <x v="43"/>
    <d v="2017-03-20T00:00:00"/>
    <d v="2017-03-20T00:00:00"/>
    <n v="-1.82"/>
    <n v="1.82"/>
    <m/>
    <s v="ALBERT HEIJN 1101 ARNHEM"/>
    <s v="UIT"/>
    <s v="BOODSCH"/>
    <s v="boodschappen"/>
    <m/>
    <m/>
    <m/>
    <m/>
    <m/>
    <m/>
    <m/>
    <m/>
    <m/>
    <m/>
  </r>
  <r>
    <n v="510"/>
    <x v="3"/>
    <m/>
    <x v="1"/>
    <x v="43"/>
    <d v="2017-03-21T00:00:00"/>
    <d v="2017-03-21T00:00:00"/>
    <n v="-1.5"/>
    <n v="1.5"/>
    <m/>
    <s v="AH To Go Arnhem ARNHEM"/>
    <s v="UIT"/>
    <s v="BOODSCH"/>
    <s v="boodschappen"/>
    <m/>
    <m/>
    <m/>
    <m/>
    <m/>
    <m/>
    <m/>
    <m/>
    <m/>
    <m/>
  </r>
  <r>
    <n v="511"/>
    <x v="3"/>
    <m/>
    <x v="1"/>
    <x v="43"/>
    <d v="2017-03-22T00:00:00"/>
    <d v="2017-03-22T00:00:00"/>
    <n v="-1.05"/>
    <n v="1.05"/>
    <m/>
    <s v="Albert Heijn 1122 STADSKANAAL"/>
    <s v="UIT"/>
    <s v="BOODSCH"/>
    <s v="boodschappen"/>
    <m/>
    <m/>
    <m/>
    <m/>
    <m/>
    <m/>
    <m/>
    <m/>
    <m/>
    <m/>
  </r>
  <r>
    <n v="512"/>
    <x v="3"/>
    <m/>
    <x v="1"/>
    <x v="43"/>
    <d v="2017-03-22T00:00:00"/>
    <d v="2017-03-22T00:00:00"/>
    <n v="-10"/>
    <n v="10"/>
    <m/>
    <s v="Jumbo Froukje Sloot STADSKANAAL"/>
    <s v="UIT"/>
    <s v="BOODSCH"/>
    <s v="boodschappen"/>
    <m/>
    <m/>
    <m/>
    <m/>
    <m/>
    <m/>
    <m/>
    <m/>
    <m/>
    <m/>
  </r>
  <r>
    <n v="515"/>
    <x v="3"/>
    <m/>
    <x v="1"/>
    <x v="43"/>
    <d v="2017-03-24T00:00:00"/>
    <d v="2017-03-24T00:00:00"/>
    <n v="-1.99"/>
    <n v="1.99"/>
    <m/>
    <s v="Coop 2113 MUSSELKANAAL"/>
    <s v="UIT"/>
    <s v="BOODSCH"/>
    <s v="boodschappen"/>
    <m/>
    <m/>
    <m/>
    <m/>
    <m/>
    <m/>
    <m/>
    <m/>
    <m/>
    <m/>
  </r>
  <r>
    <n v="518"/>
    <x v="3"/>
    <m/>
    <x v="1"/>
    <x v="43"/>
    <d v="2017-03-27T00:00:00"/>
    <d v="2017-03-27T00:00:00"/>
    <n v="-5.07"/>
    <n v="5.07"/>
    <m/>
    <s v="Coop 2113 MUSSELKANAAL"/>
    <s v="UIT"/>
    <s v="BOODSCH"/>
    <s v="boodschappen"/>
    <m/>
    <m/>
    <m/>
    <m/>
    <m/>
    <m/>
    <m/>
    <m/>
    <m/>
    <m/>
  </r>
  <r>
    <n v="526"/>
    <x v="3"/>
    <m/>
    <x v="1"/>
    <x v="44"/>
    <d v="2017-04-03T00:00:00"/>
    <d v="2017-04-03T00:00:00"/>
    <n v="-10.82"/>
    <n v="10.82"/>
    <m/>
    <s v="SUPERMERCATO IPER     \ROMA       RM\"/>
    <s v="UIT"/>
    <s v="BOODSCH"/>
    <s v="boodschappen"/>
    <m/>
    <m/>
    <m/>
    <m/>
    <m/>
    <m/>
    <m/>
    <m/>
    <m/>
    <m/>
  </r>
  <r>
    <n v="527"/>
    <x v="3"/>
    <m/>
    <x v="1"/>
    <x v="44"/>
    <d v="2017-04-03T00:00:00"/>
    <d v="2017-04-03T00:00:00"/>
    <n v="-10.88"/>
    <n v="10.88"/>
    <m/>
    <s v="SUPERMERCATO DUE P 201\ROMA         \"/>
    <s v="UIT"/>
    <s v="BOODSCH"/>
    <s v="boodschappen"/>
    <m/>
    <m/>
    <m/>
    <m/>
    <m/>
    <m/>
    <m/>
    <m/>
    <m/>
    <m/>
  </r>
  <r>
    <n v="528"/>
    <x v="3"/>
    <m/>
    <x v="1"/>
    <x v="44"/>
    <d v="2017-04-03T00:00:00"/>
    <d v="2017-04-03T00:00:00"/>
    <n v="-11.3"/>
    <n v="11.3"/>
    <m/>
    <s v="SUPERMERCATO DUE P 201\ROMA         \"/>
    <s v="UIT"/>
    <s v="BOODSCH"/>
    <s v="boodschappen"/>
    <m/>
    <m/>
    <m/>
    <m/>
    <m/>
    <m/>
    <m/>
    <m/>
    <m/>
    <m/>
  </r>
  <r>
    <n v="532"/>
    <x v="3"/>
    <m/>
    <x v="1"/>
    <x v="44"/>
    <d v="2017-04-10T00:00:00"/>
    <d v="2017-04-10T00:00:00"/>
    <n v="-12.73"/>
    <n v="12.73"/>
    <m/>
    <s v="SUPERMERCATO MA &amp; GI  \ROMA         \"/>
    <s v="UIT"/>
    <s v="BOODSCH"/>
    <s v="boodschappen"/>
    <m/>
    <m/>
    <m/>
    <m/>
    <m/>
    <m/>
    <m/>
    <m/>
    <m/>
    <m/>
  </r>
  <r>
    <n v="533"/>
    <x v="3"/>
    <m/>
    <x v="1"/>
    <x v="44"/>
    <d v="2017-04-10T00:00:00"/>
    <d v="2017-04-10T00:00:00"/>
    <n v="-14.18"/>
    <n v="14.18"/>
    <m/>
    <s v="LIDL 3508             \ROMA         \"/>
    <s v="UIT"/>
    <s v="BOODSCH"/>
    <s v="boodschappen"/>
    <m/>
    <m/>
    <m/>
    <m/>
    <m/>
    <m/>
    <m/>
    <m/>
    <m/>
    <m/>
  </r>
  <r>
    <n v="538"/>
    <x v="3"/>
    <m/>
    <x v="1"/>
    <x v="44"/>
    <d v="2017-04-17T00:00:00"/>
    <d v="2017-04-17T00:00:00"/>
    <n v="-16.100000000000001"/>
    <n v="16.100000000000001"/>
    <m/>
    <s v="SUPERMERCATO DUE P 201\ROMA         \"/>
    <s v="UIT"/>
    <s v="BOODSCH"/>
    <s v="boodschappen"/>
    <m/>
    <m/>
    <m/>
    <m/>
    <m/>
    <m/>
    <m/>
    <m/>
    <m/>
    <m/>
  </r>
  <r>
    <n v="539"/>
    <x v="3"/>
    <m/>
    <x v="1"/>
    <x v="44"/>
    <d v="2017-04-18T00:00:00"/>
    <d v="2017-04-18T00:00:00"/>
    <n v="-10.73"/>
    <n v="10.73"/>
    <m/>
    <s v="SUPERMERCATO DUE P 201\ROMA         \"/>
    <s v="UIT"/>
    <s v="BOODSCH"/>
    <s v="boodschappen"/>
    <m/>
    <m/>
    <m/>
    <m/>
    <m/>
    <m/>
    <m/>
    <m/>
    <m/>
    <m/>
  </r>
  <r>
    <n v="541"/>
    <x v="3"/>
    <m/>
    <x v="1"/>
    <x v="44"/>
    <d v="2017-04-21T00:00:00"/>
    <d v="2017-04-21T00:00:00"/>
    <n v="-3.86"/>
    <n v="3.86"/>
    <m/>
    <s v="SUPERMERCATO DUE P 201\ROMA         \"/>
    <s v="UIT"/>
    <s v="BOODSCH"/>
    <s v="boodschappen"/>
    <m/>
    <m/>
    <m/>
    <m/>
    <m/>
    <m/>
    <m/>
    <m/>
    <m/>
    <m/>
  </r>
  <r>
    <n v="542"/>
    <x v="3"/>
    <m/>
    <x v="1"/>
    <x v="44"/>
    <d v="2017-04-24T00:00:00"/>
    <d v="2017-04-24T00:00:00"/>
    <n v="-13.11"/>
    <n v="13.11"/>
    <m/>
    <s v="SUPERMERCATO DUE P 201\ROMA         \"/>
    <s v="UIT"/>
    <s v="BOODSCH"/>
    <s v="boodschappen"/>
    <m/>
    <m/>
    <m/>
    <m/>
    <m/>
    <m/>
    <m/>
    <m/>
    <m/>
    <m/>
  </r>
  <r>
    <n v="547"/>
    <x v="3"/>
    <m/>
    <x v="1"/>
    <x v="44"/>
    <d v="2017-04-27T00:00:00"/>
    <d v="2017-04-27T00:00:00"/>
    <n v="-11.65"/>
    <n v="11.65"/>
    <m/>
    <s v="SUPERMERCATO DUE P 201\ROMA         \"/>
    <s v="UIT"/>
    <s v="BOODSCH"/>
    <s v="boodschappen"/>
    <m/>
    <m/>
    <m/>
    <m/>
    <m/>
    <m/>
    <m/>
    <m/>
    <m/>
    <m/>
  </r>
  <r>
    <n v="548"/>
    <x v="3"/>
    <m/>
    <x v="1"/>
    <x v="44"/>
    <d v="2017-04-28T00:00:00"/>
    <d v="2017-04-28T00:00:00"/>
    <n v="-3.89"/>
    <n v="3.89"/>
    <m/>
    <s v="SUPERMERCATO DUE P 201\ROMA         \"/>
    <s v="UIT"/>
    <s v="BOODSCH"/>
    <s v="boodschappen"/>
    <m/>
    <m/>
    <m/>
    <m/>
    <m/>
    <m/>
    <m/>
    <m/>
    <m/>
    <m/>
  </r>
  <r>
    <n v="551"/>
    <x v="3"/>
    <m/>
    <x v="1"/>
    <x v="45"/>
    <d v="2017-05-03T00:00:00"/>
    <d v="2017-05-03T00:00:00"/>
    <n v="-7.59"/>
    <n v="7.59"/>
    <m/>
    <s v="AL MERCATO            \ROMA         \"/>
    <s v="UIT"/>
    <s v="BOODSCH"/>
    <s v="boodschappen"/>
    <m/>
    <m/>
    <m/>
    <m/>
    <m/>
    <m/>
    <m/>
    <m/>
    <m/>
    <m/>
  </r>
  <r>
    <n v="556"/>
    <x v="3"/>
    <m/>
    <x v="1"/>
    <x v="45"/>
    <d v="2017-05-10T00:00:00"/>
    <d v="2017-05-10T00:00:00"/>
    <n v="-8.08"/>
    <n v="8.08"/>
    <m/>
    <s v="SUPERMERCATO DUE P 201\ROMA         \"/>
    <s v="UIT"/>
    <s v="BOODSCH"/>
    <s v="boodschappen"/>
    <m/>
    <m/>
    <m/>
    <m/>
    <m/>
    <m/>
    <m/>
    <m/>
    <m/>
    <m/>
  </r>
  <r>
    <n v="558"/>
    <x v="3"/>
    <m/>
    <x v="1"/>
    <x v="45"/>
    <d v="2017-05-15T00:00:00"/>
    <d v="2017-05-15T00:00:00"/>
    <n v="-16.62"/>
    <n v="16.62"/>
    <m/>
    <s v="SUPERMERCATO DUE P 201\ROMA         \"/>
    <s v="UIT"/>
    <s v="BOODSCH"/>
    <s v="boodschappen"/>
    <m/>
    <m/>
    <m/>
    <m/>
    <m/>
    <m/>
    <m/>
    <m/>
    <m/>
    <m/>
  </r>
  <r>
    <n v="559"/>
    <x v="3"/>
    <m/>
    <x v="1"/>
    <x v="45"/>
    <d v="2017-05-23T00:00:00"/>
    <d v="2017-05-23T00:00:00"/>
    <n v="-15.26"/>
    <n v="15.26"/>
    <m/>
    <s v="SUPERMERCATO DUE P 201\ROMA         \"/>
    <s v="UIT"/>
    <s v="BOODSCH"/>
    <s v="boodschappen"/>
    <m/>
    <m/>
    <m/>
    <m/>
    <m/>
    <m/>
    <m/>
    <m/>
    <m/>
    <m/>
  </r>
  <r>
    <n v="564"/>
    <x v="3"/>
    <m/>
    <x v="1"/>
    <x v="45"/>
    <d v="2017-05-26T00:00:00"/>
    <d v="2017-05-26T00:00:00"/>
    <n v="-5.3"/>
    <n v="5.3"/>
    <m/>
    <s v="SUPERMERCATO DUE P 201\ROMA         \"/>
    <s v="UIT"/>
    <s v="BOODSCH"/>
    <s v="boodschappen"/>
    <m/>
    <m/>
    <m/>
    <m/>
    <m/>
    <m/>
    <m/>
    <m/>
    <m/>
    <m/>
  </r>
  <r>
    <n v="566"/>
    <x v="3"/>
    <m/>
    <x v="1"/>
    <x v="45"/>
    <d v="2017-05-30T00:00:00"/>
    <d v="2017-05-30T00:00:00"/>
    <n v="-26.33"/>
    <n v="26.33"/>
    <m/>
    <s v="SUPERMERCATO DUE P 201\ROMA         \"/>
    <s v="UIT"/>
    <s v="BOODSCH"/>
    <s v="boodschappen"/>
    <m/>
    <m/>
    <m/>
    <m/>
    <m/>
    <m/>
    <m/>
    <m/>
    <m/>
    <m/>
  </r>
  <r>
    <n v="570"/>
    <x v="3"/>
    <m/>
    <x v="1"/>
    <x v="46"/>
    <d v="2017-06-09T00:00:00"/>
    <d v="2017-06-09T00:00:00"/>
    <n v="-16.72"/>
    <n v="16.72"/>
    <m/>
    <s v="SUPERMERCATO DUE P 201\ROMA         \"/>
    <s v="UIT"/>
    <s v="BOODSCH"/>
    <s v="boodschappen"/>
    <m/>
    <m/>
    <m/>
    <m/>
    <m/>
    <m/>
    <m/>
    <m/>
    <m/>
    <m/>
  </r>
  <r>
    <n v="571"/>
    <x v="3"/>
    <m/>
    <x v="1"/>
    <x v="46"/>
    <d v="2017-06-12T00:00:00"/>
    <d v="2017-06-12T00:00:00"/>
    <n v="-10.75"/>
    <n v="10.75"/>
    <m/>
    <s v="AL MERCATO            \ROMA         \"/>
    <s v="UIT"/>
    <s v="BOODSCH"/>
    <s v="boodschappen"/>
    <m/>
    <m/>
    <m/>
    <m/>
    <m/>
    <m/>
    <m/>
    <m/>
    <m/>
    <m/>
  </r>
  <r>
    <n v="572"/>
    <x v="3"/>
    <m/>
    <x v="1"/>
    <x v="46"/>
    <d v="2017-06-12T00:00:00"/>
    <d v="2017-06-12T00:00:00"/>
    <n v="-23.32"/>
    <n v="23.32"/>
    <m/>
    <s v="MA. &amp; GI. SRL         \ROMA         \"/>
    <s v="UIT"/>
    <s v="BOODSCH"/>
    <s v="boodschappen"/>
    <m/>
    <m/>
    <m/>
    <m/>
    <m/>
    <m/>
    <m/>
    <m/>
    <m/>
    <m/>
  </r>
  <r>
    <n v="573"/>
    <x v="3"/>
    <m/>
    <x v="1"/>
    <x v="46"/>
    <d v="2017-06-20T00:00:00"/>
    <d v="2017-06-20T00:00:00"/>
    <n v="-14.14"/>
    <n v="14.14"/>
    <m/>
    <s v="SUPERMERCATO DUE P 201\ROMA         \"/>
    <s v="UIT"/>
    <s v="BOODSCH"/>
    <s v="boodschappen"/>
    <m/>
    <m/>
    <m/>
    <m/>
    <m/>
    <m/>
    <m/>
    <m/>
    <m/>
    <m/>
  </r>
  <r>
    <n v="576"/>
    <x v="3"/>
    <m/>
    <x v="1"/>
    <x v="46"/>
    <d v="2017-06-26T00:00:00"/>
    <d v="2017-06-26T00:00:00"/>
    <n v="-27.22"/>
    <n v="27.22"/>
    <m/>
    <s v="SUPERMERCATO DUE P 201\ROMA         \"/>
    <s v="UIT"/>
    <s v="BOODSCH"/>
    <s v="boodschappen"/>
    <m/>
    <m/>
    <m/>
    <m/>
    <m/>
    <m/>
    <m/>
    <m/>
    <m/>
    <m/>
  </r>
  <r>
    <n v="581"/>
    <x v="3"/>
    <m/>
    <x v="1"/>
    <x v="46"/>
    <d v="2017-06-30T00:00:00"/>
    <d v="2017-06-30T00:00:00"/>
    <n v="-10.23"/>
    <n v="10.23"/>
    <m/>
    <s v="SUPERMERCATO DUE P 201\ROMA         \"/>
    <s v="UIT"/>
    <s v="BOODSCH"/>
    <s v="boodschappen"/>
    <m/>
    <m/>
    <m/>
    <m/>
    <m/>
    <m/>
    <m/>
    <m/>
    <m/>
    <m/>
  </r>
  <r>
    <n v="585"/>
    <x v="3"/>
    <m/>
    <x v="1"/>
    <x v="36"/>
    <d v="2017-07-14T00:00:00"/>
    <d v="2017-07-14T00:00:00"/>
    <n v="-25.83"/>
    <n v="25.83"/>
    <m/>
    <s v="LIDL 3513             \ROMA         \"/>
    <s v="UIT"/>
    <s v="BOODSCH"/>
    <s v="boodschappen"/>
    <m/>
    <m/>
    <m/>
    <m/>
    <m/>
    <m/>
    <m/>
    <m/>
    <m/>
    <m/>
  </r>
  <r>
    <n v="587"/>
    <x v="3"/>
    <m/>
    <x v="1"/>
    <x v="36"/>
    <d v="2017-07-24T00:00:00"/>
    <d v="2017-07-24T00:00:00"/>
    <n v="-22.68"/>
    <n v="22.68"/>
    <m/>
    <s v="SUPERMERCATO DUE P 201\ROMA         \"/>
    <s v="UIT"/>
    <s v="BOODSCH"/>
    <s v="boodschappen"/>
    <m/>
    <m/>
    <m/>
    <m/>
    <m/>
    <m/>
    <m/>
    <m/>
    <m/>
    <m/>
  </r>
  <r>
    <n v="589"/>
    <x v="3"/>
    <m/>
    <x v="1"/>
    <x v="36"/>
    <d v="2017-07-26T00:00:00"/>
    <d v="2017-07-26T00:00:00"/>
    <n v="-9.25"/>
    <n v="9.25"/>
    <m/>
    <s v="IPERTRISCOUNT         \ROMA         \"/>
    <s v="UIT"/>
    <s v="BOODSCH"/>
    <s v="boodschappen"/>
    <m/>
    <m/>
    <m/>
    <m/>
    <m/>
    <m/>
    <m/>
    <m/>
    <m/>
    <m/>
  </r>
  <r>
    <n v="590"/>
    <x v="3"/>
    <m/>
    <x v="1"/>
    <x v="36"/>
    <d v="2017-07-26T00:00:00"/>
    <d v="2017-07-26T00:00:00"/>
    <n v="-31.24"/>
    <n v="31.24"/>
    <m/>
    <s v="SUPERMERCATO MA &amp; GI  \ROMA         \"/>
    <s v="UIT"/>
    <s v="BOODSCH"/>
    <s v="boodschappen"/>
    <m/>
    <m/>
    <m/>
    <m/>
    <m/>
    <m/>
    <m/>
    <m/>
    <m/>
    <m/>
  </r>
  <r>
    <n v="597"/>
    <x v="3"/>
    <m/>
    <x v="1"/>
    <x v="47"/>
    <d v="2017-08-07T00:00:00"/>
    <d v="2017-08-07T00:00:00"/>
    <n v="-3.39"/>
    <n v="3.39"/>
    <m/>
    <s v="ECV SHOPS SRL         \ROMA         \"/>
    <s v="UIT"/>
    <s v="BOODSCH"/>
    <s v="boodschappen"/>
    <m/>
    <m/>
    <m/>
    <m/>
    <m/>
    <m/>
    <m/>
    <m/>
    <m/>
    <m/>
  </r>
  <r>
    <n v="599"/>
    <x v="3"/>
    <m/>
    <x v="1"/>
    <x v="47"/>
    <d v="2017-08-07T00:00:00"/>
    <d v="2017-08-07T00:00:00"/>
    <n v="-1.55"/>
    <n v="1.55"/>
    <m/>
    <s v="ECV SHOPS SRL         \ROMA         \"/>
    <s v="UIT"/>
    <s v="BOODSCH"/>
    <s v="boodschappen"/>
    <m/>
    <m/>
    <m/>
    <m/>
    <m/>
    <m/>
    <m/>
    <m/>
    <m/>
    <m/>
  </r>
  <r>
    <n v="600"/>
    <x v="3"/>
    <m/>
    <x v="1"/>
    <x v="47"/>
    <d v="2017-08-08T00:00:00"/>
    <d v="2017-08-08T00:00:00"/>
    <n v="-15.95"/>
    <n v="15.95"/>
    <m/>
    <s v="SUPERMERCATO DUE P 201\ROMA         \"/>
    <s v="UIT"/>
    <s v="BOODSCH"/>
    <s v="boodschappen"/>
    <m/>
    <m/>
    <m/>
    <m/>
    <m/>
    <m/>
    <m/>
    <m/>
    <m/>
    <m/>
  </r>
  <r>
    <n v="601"/>
    <x v="3"/>
    <m/>
    <x v="1"/>
    <x v="47"/>
    <d v="2017-08-08T00:00:00"/>
    <d v="2017-08-08T00:00:00"/>
    <n v="-14"/>
    <n v="14"/>
    <m/>
    <s v="LIDL 3513             \ROMA         \"/>
    <s v="UIT"/>
    <s v="BOODSCH"/>
    <s v="boodschappen"/>
    <m/>
    <m/>
    <m/>
    <m/>
    <m/>
    <m/>
    <m/>
    <m/>
    <m/>
    <m/>
  </r>
  <r>
    <n v="602"/>
    <x v="3"/>
    <m/>
    <x v="1"/>
    <x v="47"/>
    <d v="2017-08-18T00:00:00"/>
    <d v="2017-08-18T00:00:00"/>
    <n v="-10.119999999999999"/>
    <n v="10.119999999999999"/>
    <m/>
    <s v="ECV SHOPS SRL         \ROMA         \"/>
    <s v="UIT"/>
    <s v="BOODSCH"/>
    <s v="boodschappen"/>
    <m/>
    <m/>
    <m/>
    <m/>
    <m/>
    <m/>
    <m/>
    <m/>
    <m/>
    <m/>
  </r>
  <r>
    <n v="604"/>
    <x v="3"/>
    <m/>
    <x v="1"/>
    <x v="47"/>
    <d v="2017-08-22T00:00:00"/>
    <d v="2017-08-22T00:00:00"/>
    <n v="-29.84"/>
    <n v="29.84"/>
    <m/>
    <s v="SUPERMERCATO DUE P 201\ROMA         \"/>
    <s v="UIT"/>
    <s v="BOODSCH"/>
    <s v="boodschappen"/>
    <m/>
    <m/>
    <m/>
    <m/>
    <m/>
    <m/>
    <m/>
    <m/>
    <m/>
    <m/>
  </r>
  <r>
    <n v="609"/>
    <x v="3"/>
    <m/>
    <x v="1"/>
    <x v="47"/>
    <d v="2017-08-28T00:00:00"/>
    <d v="2017-08-28T00:00:00"/>
    <n v="-5.32"/>
    <n v="5.32"/>
    <m/>
    <s v="SUPERMERCATO DUE P 201\ROMA         \"/>
    <s v="UIT"/>
    <s v="BOODSCH"/>
    <s v="boodschappen"/>
    <m/>
    <m/>
    <m/>
    <m/>
    <m/>
    <m/>
    <m/>
    <m/>
    <m/>
    <m/>
  </r>
  <r>
    <n v="611"/>
    <x v="3"/>
    <m/>
    <x v="1"/>
    <x v="47"/>
    <d v="2017-08-31T00:00:00"/>
    <d v="2017-08-31T00:00:00"/>
    <n v="-13.75"/>
    <n v="13.75"/>
    <m/>
    <s v="SUPERMERCATO DUE P 201\ROMA         \"/>
    <s v="UIT"/>
    <s v="BOODSCH"/>
    <s v="boodschappen"/>
    <m/>
    <m/>
    <m/>
    <m/>
    <m/>
    <m/>
    <m/>
    <m/>
    <m/>
    <m/>
  </r>
  <r>
    <n v="614"/>
    <x v="3"/>
    <m/>
    <x v="1"/>
    <x v="48"/>
    <d v="2017-09-06T00:00:00"/>
    <d v="2017-09-06T00:00:00"/>
    <n v="-10.09"/>
    <n v="10.09"/>
    <m/>
    <s v="SUPERMERCATO DUE P 201\ROMA         \"/>
    <s v="UIT"/>
    <s v="BOODSCH"/>
    <s v="boodschappen"/>
    <m/>
    <m/>
    <m/>
    <m/>
    <m/>
    <m/>
    <m/>
    <m/>
    <m/>
    <m/>
  </r>
  <r>
    <n v="617"/>
    <x v="3"/>
    <m/>
    <x v="1"/>
    <x v="48"/>
    <d v="2017-09-13T00:00:00"/>
    <d v="2017-09-13T00:00:00"/>
    <n v="-21.08"/>
    <n v="21.08"/>
    <m/>
    <s v="SUPERMERCATO DUE P 201\ROMA         \"/>
    <s v="UIT"/>
    <s v="BOODSCH"/>
    <s v="boodschappen"/>
    <m/>
    <m/>
    <m/>
    <m/>
    <m/>
    <m/>
    <m/>
    <m/>
    <m/>
    <m/>
  </r>
  <r>
    <n v="618"/>
    <x v="3"/>
    <m/>
    <x v="1"/>
    <x v="48"/>
    <d v="2017-09-15T00:00:00"/>
    <d v="2017-09-15T00:00:00"/>
    <n v="-5.6"/>
    <n v="5.6"/>
    <m/>
    <s v="SUPERMERCATO DUE P 201 ROMA ITA"/>
    <s v="UIT"/>
    <s v="BOODSCH"/>
    <s v="boodschappen"/>
    <m/>
    <m/>
    <m/>
    <m/>
    <m/>
    <m/>
    <m/>
    <m/>
    <m/>
    <m/>
  </r>
  <r>
    <n v="619"/>
    <x v="3"/>
    <m/>
    <x v="1"/>
    <x v="48"/>
    <d v="2017-09-15T00:00:00"/>
    <d v="2017-09-15T00:00:00"/>
    <n v="-16.3"/>
    <n v="16.3"/>
    <m/>
    <s v="LIDL 3513             \ROMA         \"/>
    <s v="UIT"/>
    <s v="BOODSCH"/>
    <s v="boodschappen"/>
    <m/>
    <m/>
    <m/>
    <m/>
    <m/>
    <m/>
    <m/>
    <m/>
    <m/>
    <m/>
  </r>
  <r>
    <n v="622"/>
    <x v="3"/>
    <m/>
    <x v="1"/>
    <x v="48"/>
    <d v="2017-09-21T00:00:00"/>
    <d v="2017-09-21T00:00:00"/>
    <n v="-9.67"/>
    <n v="9.67"/>
    <m/>
    <s v="SUPERMERCATO IPER ROMA       RM ITA"/>
    <s v="UIT"/>
    <s v="BOODSCH"/>
    <s v="boodschappen"/>
    <m/>
    <m/>
    <m/>
    <m/>
    <m/>
    <m/>
    <m/>
    <m/>
    <m/>
    <m/>
  </r>
  <r>
    <n v="627"/>
    <x v="3"/>
    <m/>
    <x v="1"/>
    <x v="48"/>
    <d v="2017-09-27T00:00:00"/>
    <d v="2017-09-27T00:00:00"/>
    <n v="-5.68"/>
    <n v="5.68"/>
    <m/>
    <s v="SUPERMERCATO DUE P 201 ROMA ITA"/>
    <s v="UIT"/>
    <s v="BOODSCH"/>
    <s v="boodschappen"/>
    <m/>
    <m/>
    <m/>
    <m/>
    <m/>
    <m/>
    <m/>
    <m/>
    <m/>
    <m/>
  </r>
  <r>
    <n v="632"/>
    <x v="3"/>
    <m/>
    <x v="1"/>
    <x v="3"/>
    <d v="2017-10-06T00:00:00"/>
    <d v="2017-10-06T00:00:00"/>
    <n v="-9.99"/>
    <n v="9.99"/>
    <m/>
    <s v="Lidl 593 Musselkanaa MUSSELKANAAL"/>
    <s v="UIT"/>
    <s v="BOODSCH"/>
    <s v="boodschappen"/>
    <m/>
    <m/>
    <m/>
    <m/>
    <m/>
    <m/>
    <m/>
    <m/>
    <m/>
    <m/>
  </r>
  <r>
    <n v="636"/>
    <x v="3"/>
    <m/>
    <x v="1"/>
    <x v="3"/>
    <d v="2017-10-09T00:00:00"/>
    <d v="2017-10-09T00:00:00"/>
    <n v="-12.88"/>
    <n v="12.88"/>
    <m/>
    <s v="Supermarkt Houwer BV ARNHEM"/>
    <s v="UIT"/>
    <s v="BOODSCH"/>
    <s v="boodschappen"/>
    <m/>
    <m/>
    <m/>
    <m/>
    <m/>
    <m/>
    <m/>
    <m/>
    <m/>
    <m/>
  </r>
  <r>
    <n v="638"/>
    <x v="3"/>
    <m/>
    <x v="1"/>
    <x v="3"/>
    <d v="2017-10-10T00:00:00"/>
    <d v="2017-10-10T00:00:00"/>
    <n v="-7.43"/>
    <n v="7.43"/>
    <m/>
    <s v="Spar Arnhem ARNHEM"/>
    <s v="UIT"/>
    <s v="BOODSCH"/>
    <s v="boodschappen"/>
    <m/>
    <m/>
    <m/>
    <m/>
    <m/>
    <m/>
    <m/>
    <m/>
    <m/>
    <m/>
  </r>
  <r>
    <n v="640"/>
    <x v="3"/>
    <m/>
    <x v="1"/>
    <x v="3"/>
    <d v="2017-10-11T00:00:00"/>
    <d v="2017-10-11T00:00:00"/>
    <n v="-7.63"/>
    <n v="7.63"/>
    <m/>
    <s v="ALBERT HEIJN 1101 ARNHEM"/>
    <s v="UIT"/>
    <s v="BOODSCH"/>
    <s v="boodschappen"/>
    <m/>
    <m/>
    <m/>
    <m/>
    <m/>
    <m/>
    <m/>
    <m/>
    <m/>
    <m/>
  </r>
  <r>
    <n v="644"/>
    <x v="3"/>
    <m/>
    <x v="1"/>
    <x v="3"/>
    <d v="2017-10-12T00:00:00"/>
    <d v="2017-10-12T00:00:00"/>
    <n v="-6.79"/>
    <n v="6.79"/>
    <m/>
    <s v="ALBERT HEIJN 1101 ARNHEM"/>
    <s v="UIT"/>
    <s v="BOODSCH"/>
    <s v="boodschappen"/>
    <m/>
    <m/>
    <m/>
    <m/>
    <m/>
    <m/>
    <m/>
    <m/>
    <m/>
    <m/>
  </r>
  <r>
    <n v="646"/>
    <x v="3"/>
    <m/>
    <x v="1"/>
    <x v="3"/>
    <d v="2017-10-13T00:00:00"/>
    <d v="2017-10-13T00:00:00"/>
    <n v="-4.4000000000000004"/>
    <n v="4.4000000000000004"/>
    <m/>
    <s v="ALBERT HEIJN 1101 ARNHEM"/>
    <s v="UIT"/>
    <s v="BOODSCH"/>
    <s v="boodschappen"/>
    <m/>
    <m/>
    <m/>
    <m/>
    <m/>
    <m/>
    <m/>
    <m/>
    <m/>
    <m/>
  </r>
  <r>
    <n v="650"/>
    <x v="3"/>
    <m/>
    <x v="1"/>
    <x v="3"/>
    <d v="2017-10-14T00:00:00"/>
    <d v="2017-10-14T00:00:00"/>
    <n v="-4.4800000000000004"/>
    <n v="4.4800000000000004"/>
    <m/>
    <s v="Supermarkt Houwer BV ARNHEM"/>
    <s v="UIT"/>
    <s v="BOODSCH"/>
    <s v="boodschappen"/>
    <m/>
    <m/>
    <m/>
    <m/>
    <m/>
    <m/>
    <m/>
    <m/>
    <m/>
    <m/>
  </r>
  <r>
    <n v="653"/>
    <x v="3"/>
    <m/>
    <x v="1"/>
    <x v="3"/>
    <d v="2017-10-15T00:00:00"/>
    <d v="2017-10-15T00:00:00"/>
    <n v="-4.91"/>
    <n v="4.91"/>
    <m/>
    <s v="Supermarkt Houwer BV ARNHEM"/>
    <s v="UIT"/>
    <s v="BOODSCH"/>
    <s v="boodschappen"/>
    <m/>
    <m/>
    <m/>
    <m/>
    <m/>
    <m/>
    <m/>
    <m/>
    <m/>
    <m/>
  </r>
  <r>
    <n v="657"/>
    <x v="3"/>
    <m/>
    <x v="1"/>
    <x v="3"/>
    <d v="2017-10-17T00:00:00"/>
    <d v="2017-10-17T00:00:00"/>
    <n v="-3.88"/>
    <n v="3.88"/>
    <m/>
    <s v="ALBERT HEIJN 1101 ARNHEM"/>
    <s v="UIT"/>
    <s v="BOODSCH"/>
    <s v="boodschappen"/>
    <m/>
    <m/>
    <m/>
    <m/>
    <m/>
    <m/>
    <m/>
    <m/>
    <m/>
    <m/>
  </r>
  <r>
    <n v="670"/>
    <x v="3"/>
    <m/>
    <x v="1"/>
    <x v="3"/>
    <d v="2017-10-21T00:00:00"/>
    <d v="2017-10-21T00:00:00"/>
    <n v="-3.88"/>
    <n v="3.88"/>
    <m/>
    <s v="Supermarkt Houwer BV ARNHEM"/>
    <s v="UIT"/>
    <s v="BOODSCH"/>
    <s v="boodschappen"/>
    <m/>
    <m/>
    <m/>
    <m/>
    <m/>
    <m/>
    <m/>
    <m/>
    <m/>
    <m/>
  </r>
  <r>
    <n v="674"/>
    <x v="3"/>
    <m/>
    <x v="1"/>
    <x v="3"/>
    <d v="2017-10-22T00:00:00"/>
    <d v="2017-10-22T00:00:00"/>
    <n v="-1.49"/>
    <n v="1.49"/>
    <m/>
    <s v="ALBERT HEIJN 1101 ARNHEM"/>
    <s v="UIT"/>
    <s v="BOODSCH"/>
    <s v="boodschappen"/>
    <m/>
    <m/>
    <m/>
    <m/>
    <m/>
    <m/>
    <m/>
    <m/>
    <m/>
    <m/>
  </r>
  <r>
    <n v="678"/>
    <x v="3"/>
    <m/>
    <x v="1"/>
    <x v="3"/>
    <d v="2017-10-23T00:00:00"/>
    <d v="2017-10-23T00:00:00"/>
    <n v="-0.75"/>
    <n v="0.75"/>
    <m/>
    <s v="AH to go Zwolle 5828 ZWOLLE"/>
    <s v="UIT"/>
    <s v="BOODSCH"/>
    <s v="boodschappen"/>
    <m/>
    <m/>
    <m/>
    <m/>
    <m/>
    <m/>
    <m/>
    <m/>
    <m/>
    <m/>
  </r>
  <r>
    <n v="687"/>
    <x v="3"/>
    <m/>
    <x v="1"/>
    <x v="3"/>
    <d v="2017-10-27T00:00:00"/>
    <d v="2017-10-27T00:00:00"/>
    <n v="-0.75"/>
    <n v="0.75"/>
    <m/>
    <s v="Albert Heijn 1122 STADSKANAAL"/>
    <s v="UIT"/>
    <s v="BOODSCH"/>
    <s v="boodschappen"/>
    <m/>
    <m/>
    <m/>
    <m/>
    <m/>
    <m/>
    <m/>
    <m/>
    <m/>
    <m/>
  </r>
  <r>
    <n v="688"/>
    <x v="3"/>
    <m/>
    <x v="1"/>
    <x v="3"/>
    <d v="2017-10-28T00:00:00"/>
    <d v="2017-10-28T00:00:00"/>
    <n v="-1.75"/>
    <n v="1.75"/>
    <m/>
    <s v="Coop 2113 MUSSELKANAAL"/>
    <s v="UIT"/>
    <s v="BOODSCH"/>
    <s v="boodschappen"/>
    <m/>
    <m/>
    <m/>
    <m/>
    <m/>
    <m/>
    <m/>
    <m/>
    <m/>
    <m/>
  </r>
  <r>
    <n v="842"/>
    <x v="5"/>
    <m/>
    <x v="2"/>
    <x v="10"/>
    <d v="2018-03-09T00:00:00"/>
    <d v="2018-03-09T00:00:00"/>
    <n v="-0.39"/>
    <n v="0.39"/>
    <m/>
    <s v="zout"/>
    <s v="UIT"/>
    <s v="BOODSCH"/>
    <s v="boodschappen"/>
    <m/>
    <m/>
    <m/>
    <m/>
    <m/>
    <m/>
    <m/>
    <m/>
    <m/>
    <m/>
  </r>
  <r>
    <n v="847"/>
    <x v="5"/>
    <m/>
    <x v="2"/>
    <x v="10"/>
    <d v="2018-03-31T00:00:00"/>
    <d v="2018-03-31T00:00:00"/>
    <n v="-31"/>
    <n v="31"/>
    <m/>
    <s v="boodsch"/>
    <s v="UIT"/>
    <s v="BOODSCH"/>
    <s v="boodschappen"/>
    <m/>
    <m/>
    <m/>
    <m/>
    <m/>
    <m/>
    <m/>
    <m/>
    <m/>
    <m/>
  </r>
  <r>
    <n v="849"/>
    <x v="5"/>
    <m/>
    <x v="2"/>
    <x v="10"/>
    <d v="2018-03-31T00:00:00"/>
    <d v="2018-03-31T00:00:00"/>
    <n v="-19"/>
    <n v="19"/>
    <m/>
    <s v="boodsch"/>
    <s v="UIT"/>
    <s v="BOODSCH"/>
    <s v="boodschappen"/>
    <m/>
    <m/>
    <m/>
    <m/>
    <m/>
    <m/>
    <m/>
    <m/>
    <m/>
    <m/>
  </r>
  <r>
    <n v="857"/>
    <x v="5"/>
    <m/>
    <x v="2"/>
    <x v="49"/>
    <d v="2018-04-15T00:00:00"/>
    <d v="2018-04-15T00:00:00"/>
    <n v="-1.61"/>
    <n v="1.61"/>
    <m/>
    <s v="boodsch 4/4"/>
    <s v="UIT"/>
    <s v="BOODSCH"/>
    <s v="boodschappen"/>
    <m/>
    <m/>
    <m/>
    <m/>
    <m/>
    <m/>
    <m/>
    <m/>
    <m/>
    <m/>
  </r>
  <r>
    <n v="860"/>
    <x v="5"/>
    <m/>
    <x v="2"/>
    <x v="49"/>
    <d v="2018-04-15T00:00:00"/>
    <d v="2018-04-15T00:00:00"/>
    <n v="-1.7"/>
    <n v="1.7"/>
    <m/>
    <s v="boodsch 10/4"/>
    <s v="UIT"/>
    <s v="BOODSCH"/>
    <s v="boodschappen"/>
    <m/>
    <m/>
    <m/>
    <m/>
    <m/>
    <m/>
    <m/>
    <m/>
    <m/>
    <m/>
  </r>
  <r>
    <n v="861"/>
    <x v="5"/>
    <m/>
    <x v="2"/>
    <x v="49"/>
    <d v="2018-04-15T00:00:00"/>
    <d v="2018-04-15T00:00:00"/>
    <n v="-1"/>
    <n v="1"/>
    <m/>
    <s v="boodsc 7/4"/>
    <s v="UIT"/>
    <s v="BOODSCH"/>
    <s v="boodschappen"/>
    <m/>
    <m/>
    <m/>
    <m/>
    <m/>
    <m/>
    <m/>
    <m/>
    <m/>
    <m/>
  </r>
  <r>
    <n v="867"/>
    <x v="5"/>
    <m/>
    <x v="2"/>
    <x v="49"/>
    <d v="2018-04-15T00:00:00"/>
    <d v="2018-04-15T00:00:00"/>
    <n v="-2.1800000000000002"/>
    <n v="2.1800000000000002"/>
    <m/>
    <s v="boodsch 18/4"/>
    <s v="UIT"/>
    <s v="BOODSCH"/>
    <s v="boodschappen"/>
    <m/>
    <m/>
    <m/>
    <m/>
    <m/>
    <m/>
    <m/>
    <m/>
    <m/>
    <m/>
  </r>
  <r>
    <n v="869"/>
    <x v="5"/>
    <m/>
    <x v="2"/>
    <x v="49"/>
    <d v="2018-04-15T00:00:00"/>
    <d v="2018-04-15T00:00:00"/>
    <n v="-2"/>
    <n v="2"/>
    <m/>
    <s v="boodsch 13/4"/>
    <s v="UIT"/>
    <s v="BOODSCH"/>
    <s v="boodschappen"/>
    <m/>
    <m/>
    <m/>
    <m/>
    <m/>
    <m/>
    <m/>
    <m/>
    <m/>
    <m/>
  </r>
  <r>
    <n v="870"/>
    <x v="5"/>
    <m/>
    <x v="2"/>
    <x v="49"/>
    <d v="2018-04-15T00:00:00"/>
    <d v="2018-04-15T00:00:00"/>
    <n v="-2.56"/>
    <n v="2.56"/>
    <m/>
    <s v="boodsch 18/4"/>
    <s v="UIT"/>
    <s v="BOODSCH"/>
    <s v="boodschappen"/>
    <m/>
    <m/>
    <m/>
    <m/>
    <m/>
    <m/>
    <m/>
    <m/>
    <m/>
    <m/>
  </r>
  <r>
    <n v="873"/>
    <x v="5"/>
    <m/>
    <x v="2"/>
    <x v="49"/>
    <d v="2018-04-15T00:00:00"/>
    <d v="2018-04-15T00:00:00"/>
    <n v="-1.8"/>
    <n v="1.8"/>
    <m/>
    <s v="boodsch 17/4"/>
    <s v="UIT"/>
    <s v="BOODSCH"/>
    <s v="boodschappen"/>
    <m/>
    <m/>
    <m/>
    <m/>
    <m/>
    <m/>
    <m/>
    <m/>
    <m/>
    <m/>
  </r>
  <r>
    <n v="874"/>
    <x v="5"/>
    <m/>
    <x v="2"/>
    <x v="49"/>
    <d v="2018-04-15T00:00:00"/>
    <d v="2018-04-15T00:00:00"/>
    <n v="-1.8"/>
    <n v="1.8"/>
    <m/>
    <s v="boodsch 14/4"/>
    <s v="UIT"/>
    <s v="BOODSCH"/>
    <s v="boodschappen"/>
    <m/>
    <m/>
    <m/>
    <m/>
    <m/>
    <m/>
    <m/>
    <m/>
    <m/>
    <m/>
  </r>
  <r>
    <n v="883"/>
    <x v="5"/>
    <m/>
    <x v="2"/>
    <x v="49"/>
    <d v="2018-04-15T00:00:00"/>
    <d v="2018-04-15T00:00:00"/>
    <n v="-1.8"/>
    <n v="1.8"/>
    <m/>
    <s v="boodsch 20/4"/>
    <s v="UIT"/>
    <s v="BOODSCH"/>
    <s v="boodschappen"/>
    <m/>
    <m/>
    <m/>
    <m/>
    <m/>
    <m/>
    <m/>
    <m/>
    <m/>
    <m/>
  </r>
  <r>
    <n v="884"/>
    <x v="5"/>
    <m/>
    <x v="2"/>
    <x v="49"/>
    <d v="2018-04-15T00:00:00"/>
    <d v="2018-04-15T00:00:00"/>
    <n v="-0.35"/>
    <n v="0.35"/>
    <m/>
    <s v="boodsch 20/4"/>
    <s v="UIT"/>
    <s v="BOODSCH"/>
    <s v="boodschappen"/>
    <m/>
    <m/>
    <m/>
    <m/>
    <m/>
    <m/>
    <m/>
    <m/>
    <m/>
    <m/>
  </r>
  <r>
    <n v="893"/>
    <x v="5"/>
    <m/>
    <x v="2"/>
    <x v="49"/>
    <d v="2018-04-15T00:00:00"/>
    <d v="2018-04-15T00:00:00"/>
    <n v="-2.0499999999999998"/>
    <n v="2.0499999999999998"/>
    <m/>
    <s v="boodsch 21/4"/>
    <s v="UIT"/>
    <s v="BOODSCH"/>
    <s v="boodschappen"/>
    <m/>
    <m/>
    <m/>
    <m/>
    <m/>
    <m/>
    <m/>
    <m/>
    <m/>
    <m/>
  </r>
  <r>
    <n v="894"/>
    <x v="5"/>
    <m/>
    <x v="2"/>
    <x v="49"/>
    <d v="2018-04-15T00:00:00"/>
    <d v="2018-04-15T00:00:00"/>
    <n v="-1.93"/>
    <n v="1.93"/>
    <m/>
    <s v="boodsch 22/4"/>
    <s v="UIT"/>
    <s v="BOODSCH"/>
    <s v="boodschappen"/>
    <m/>
    <m/>
    <m/>
    <m/>
    <m/>
    <m/>
    <m/>
    <m/>
    <m/>
    <m/>
  </r>
  <r>
    <n v="896"/>
    <x v="5"/>
    <m/>
    <x v="2"/>
    <x v="49"/>
    <d v="2018-04-15T00:00:00"/>
    <d v="2018-04-15T00:00:00"/>
    <n v="-1.8"/>
    <n v="1.8"/>
    <m/>
    <s v="boodsch 26/4"/>
    <s v="UIT"/>
    <s v="BOODSCH"/>
    <s v="boodschappen"/>
    <m/>
    <m/>
    <m/>
    <m/>
    <m/>
    <m/>
    <m/>
    <m/>
    <m/>
    <m/>
  </r>
  <r>
    <n v="897"/>
    <x v="5"/>
    <m/>
    <x v="2"/>
    <x v="49"/>
    <d v="2018-04-15T00:00:00"/>
    <d v="2018-04-15T00:00:00"/>
    <n v="-2.5099999999999998"/>
    <n v="2.5099999999999998"/>
    <m/>
    <s v="boodsch 27/4"/>
    <s v="UIT"/>
    <s v="BOODSCH"/>
    <s v="boodschappen"/>
    <m/>
    <m/>
    <m/>
    <m/>
    <m/>
    <m/>
    <m/>
    <m/>
    <m/>
    <m/>
  </r>
  <r>
    <n v="902"/>
    <x v="5"/>
    <m/>
    <x v="2"/>
    <x v="50"/>
    <d v="2018-05-15T00:00:00"/>
    <d v="2018-05-15T00:00:00"/>
    <n v="-12.12"/>
    <n v="12.12"/>
    <m/>
    <s v="boodsch"/>
    <s v="UIT"/>
    <s v="BOODSCH"/>
    <s v="boodschappen"/>
    <m/>
    <m/>
    <m/>
    <m/>
    <m/>
    <m/>
    <m/>
    <m/>
    <m/>
    <m/>
  </r>
  <r>
    <n v="905"/>
    <x v="5"/>
    <m/>
    <x v="2"/>
    <x v="50"/>
    <d v="2018-05-15T00:00:00"/>
    <d v="2018-05-15T00:00:00"/>
    <n v="-10"/>
    <n v="10"/>
    <m/>
    <s v="boodsch"/>
    <s v="UIT"/>
    <s v="BOODSCH"/>
    <s v="boodschappen"/>
    <m/>
    <m/>
    <m/>
    <m/>
    <m/>
    <m/>
    <m/>
    <m/>
    <m/>
    <m/>
  </r>
  <r>
    <n v="906"/>
    <x v="5"/>
    <m/>
    <x v="2"/>
    <x v="50"/>
    <d v="2018-05-15T00:00:00"/>
    <d v="2018-05-15T00:00:00"/>
    <n v="-2.6"/>
    <n v="2.6"/>
    <m/>
    <s v="boodsch"/>
    <s v="UIT"/>
    <s v="BOODSCH"/>
    <s v="boodschappen"/>
    <m/>
    <m/>
    <m/>
    <m/>
    <m/>
    <m/>
    <m/>
    <m/>
    <m/>
    <m/>
  </r>
  <r>
    <n v="914"/>
    <x v="5"/>
    <m/>
    <x v="2"/>
    <x v="50"/>
    <d v="2018-05-15T00:00:00"/>
    <d v="2018-05-15T00:00:00"/>
    <n v="-1.1599999999999999"/>
    <n v="1.1599999999999999"/>
    <m/>
    <s v="boodsch"/>
    <s v="UIT"/>
    <s v="BOODSCH"/>
    <s v="boodschappen"/>
    <m/>
    <m/>
    <m/>
    <m/>
    <m/>
    <m/>
    <m/>
    <m/>
    <m/>
    <m/>
  </r>
  <r>
    <n v="915"/>
    <x v="5"/>
    <m/>
    <x v="2"/>
    <x v="50"/>
    <d v="2018-05-15T00:00:00"/>
    <d v="2018-05-15T00:00:00"/>
    <n v="1.1200000000000001"/>
    <n v="1.1200000000000001"/>
    <m/>
    <s v="boodsc 11/5"/>
    <s v="UIT"/>
    <s v="BOODSCH"/>
    <s v="boodschappen"/>
    <m/>
    <m/>
    <m/>
    <m/>
    <m/>
    <m/>
    <m/>
    <m/>
    <m/>
    <m/>
  </r>
  <r>
    <n v="918"/>
    <x v="5"/>
    <m/>
    <x v="2"/>
    <x v="50"/>
    <d v="2018-05-15T00:00:00"/>
    <d v="2018-05-15T00:00:00"/>
    <n v="-3.41"/>
    <n v="3.41"/>
    <m/>
    <s v="boodsch 13/5"/>
    <s v="UIT"/>
    <s v="BOODSCH"/>
    <s v="boodschappen"/>
    <m/>
    <m/>
    <m/>
    <m/>
    <m/>
    <m/>
    <m/>
    <m/>
    <m/>
    <m/>
  </r>
  <r>
    <n v="924"/>
    <x v="5"/>
    <m/>
    <x v="2"/>
    <x v="50"/>
    <d v="2018-05-15T00:00:00"/>
    <d v="2018-05-15T00:00:00"/>
    <n v="2"/>
    <n v="2"/>
    <m/>
    <s v="boodsch"/>
    <s v="UIT"/>
    <s v="BOODSCH"/>
    <s v="boodschappen"/>
    <m/>
    <m/>
    <m/>
    <m/>
    <m/>
    <m/>
    <m/>
    <m/>
    <m/>
    <m/>
  </r>
  <r>
    <n v="927"/>
    <x v="5"/>
    <m/>
    <x v="2"/>
    <x v="50"/>
    <d v="2018-05-15T00:00:00"/>
    <d v="2018-05-15T00:00:00"/>
    <n v="-4.37"/>
    <n v="4.37"/>
    <m/>
    <s v="booddch"/>
    <s v="UIT"/>
    <s v="BOODSCH"/>
    <s v="boodschappen"/>
    <m/>
    <m/>
    <m/>
    <m/>
    <m/>
    <m/>
    <m/>
    <m/>
    <m/>
    <m/>
  </r>
  <r>
    <n v="943"/>
    <x v="5"/>
    <m/>
    <x v="2"/>
    <x v="51"/>
    <d v="2018-06-03T00:00:00"/>
    <d v="2018-06-03T00:00:00"/>
    <n v="-1.7"/>
    <n v="1.7"/>
    <m/>
    <s v="boodsch 1/6"/>
    <s v="UIT"/>
    <s v="BOODSCH"/>
    <s v="boodschappen"/>
    <m/>
    <m/>
    <m/>
    <m/>
    <m/>
    <m/>
    <m/>
    <m/>
    <m/>
    <m/>
  </r>
  <r>
    <n v="953"/>
    <x v="5"/>
    <m/>
    <x v="2"/>
    <x v="51"/>
    <d v="2018-06-03T00:00:00"/>
    <d v="2018-06-03T00:00:00"/>
    <n v="-10"/>
    <n v="10"/>
    <m/>
    <s v="boodsch door rob"/>
    <s v="UIT"/>
    <s v="BOODSCH"/>
    <s v="boodschappen"/>
    <m/>
    <m/>
    <m/>
    <m/>
    <m/>
    <m/>
    <m/>
    <m/>
    <m/>
    <m/>
  </r>
  <r>
    <n v="955"/>
    <x v="5"/>
    <m/>
    <x v="2"/>
    <x v="51"/>
    <d v="2018-06-03T00:00:00"/>
    <d v="2018-06-03T00:00:00"/>
    <n v="-1.7"/>
    <n v="1.7"/>
    <m/>
    <s v="boodsch 11/6"/>
    <s v="UIT"/>
    <s v="BOODSCH"/>
    <s v="boodschappen"/>
    <m/>
    <m/>
    <m/>
    <m/>
    <m/>
    <m/>
    <m/>
    <m/>
    <m/>
    <m/>
  </r>
  <r>
    <n v="957"/>
    <x v="5"/>
    <m/>
    <x v="2"/>
    <x v="51"/>
    <d v="2018-06-03T00:00:00"/>
    <d v="2018-06-03T00:00:00"/>
    <n v="-1.86"/>
    <n v="1.86"/>
    <m/>
    <s v="boodsch 206/6"/>
    <s v="UIT"/>
    <s v="BOODSCH"/>
    <s v="boodschappen"/>
    <m/>
    <m/>
    <m/>
    <m/>
    <m/>
    <m/>
    <m/>
    <m/>
    <m/>
    <m/>
  </r>
  <r>
    <n v="963"/>
    <x v="5"/>
    <m/>
    <x v="2"/>
    <x v="51"/>
    <d v="2018-06-03T00:00:00"/>
    <d v="2018-06-03T00:00:00"/>
    <n v="-6.04"/>
    <n v="6.04"/>
    <m/>
    <s v="boodsch 30/6"/>
    <s v="UIT"/>
    <s v="BOODSCH"/>
    <s v="boodschappen"/>
    <m/>
    <m/>
    <m/>
    <m/>
    <m/>
    <m/>
    <m/>
    <m/>
    <m/>
    <m/>
  </r>
  <r>
    <n v="968"/>
    <x v="5"/>
    <m/>
    <x v="2"/>
    <x v="52"/>
    <d v="2018-07-03T00:00:00"/>
    <d v="2018-07-03T00:00:00"/>
    <n v="-1.43"/>
    <n v="1.43"/>
    <m/>
    <s v="boodsch 3/7"/>
    <s v="UIT"/>
    <s v="BOODSCH"/>
    <s v="boodschappen"/>
    <m/>
    <m/>
    <m/>
    <m/>
    <m/>
    <m/>
    <m/>
    <m/>
    <m/>
    <m/>
  </r>
  <r>
    <n v="969"/>
    <x v="5"/>
    <m/>
    <x v="2"/>
    <x v="52"/>
    <d v="2018-07-03T00:00:00"/>
    <d v="2018-07-03T00:00:00"/>
    <n v="-2.1800000000000002"/>
    <n v="2.1800000000000002"/>
    <m/>
    <s v="boodsch 1/7"/>
    <s v="UIT"/>
    <s v="BOODSCH"/>
    <s v="boodschappen"/>
    <m/>
    <m/>
    <m/>
    <m/>
    <m/>
    <m/>
    <m/>
    <m/>
    <m/>
    <m/>
  </r>
  <r>
    <n v="976"/>
    <x v="5"/>
    <m/>
    <x v="2"/>
    <x v="52"/>
    <d v="2018-07-03T00:00:00"/>
    <d v="2018-07-03T00:00:00"/>
    <n v="-1.8"/>
    <n v="1.8"/>
    <m/>
    <s v="boodshc 9/7"/>
    <s v="UIT"/>
    <s v="BOODSCH"/>
    <s v="boodschappen"/>
    <m/>
    <m/>
    <m/>
    <m/>
    <m/>
    <m/>
    <m/>
    <m/>
    <m/>
    <m/>
  </r>
  <r>
    <n v="980"/>
    <x v="5"/>
    <m/>
    <x v="2"/>
    <x v="52"/>
    <d v="2018-07-03T00:00:00"/>
    <d v="2018-07-03T00:00:00"/>
    <n v="-2.69"/>
    <n v="2.69"/>
    <m/>
    <s v="boodsch 4/7"/>
    <s v="UIT"/>
    <s v="BOODSCH"/>
    <s v="boodschappen"/>
    <m/>
    <m/>
    <m/>
    <m/>
    <m/>
    <m/>
    <m/>
    <m/>
    <m/>
    <m/>
  </r>
  <r>
    <n v="984"/>
    <x v="5"/>
    <m/>
    <x v="2"/>
    <x v="52"/>
    <d v="2018-07-03T00:00:00"/>
    <d v="2018-07-03T00:00:00"/>
    <n v="-3.6"/>
    <n v="3.6"/>
    <m/>
    <s v="boodsch 18/7 23/7"/>
    <s v="UIT"/>
    <s v="BOODSCH"/>
    <s v="boodschappen"/>
    <m/>
    <m/>
    <m/>
    <m/>
    <m/>
    <m/>
    <m/>
    <m/>
    <m/>
    <m/>
  </r>
  <r>
    <n v="988"/>
    <x v="5"/>
    <m/>
    <x v="2"/>
    <x v="52"/>
    <d v="2018-07-03T00:00:00"/>
    <d v="2018-07-03T00:00:00"/>
    <n v="-6.5"/>
    <n v="6.5"/>
    <m/>
    <s v="boodsch"/>
    <s v="UIT"/>
    <s v="BOODSCH"/>
    <s v="boodschappen"/>
    <m/>
    <m/>
    <m/>
    <m/>
    <m/>
    <m/>
    <m/>
    <m/>
    <m/>
    <m/>
  </r>
  <r>
    <n v="992"/>
    <x v="5"/>
    <m/>
    <x v="2"/>
    <x v="52"/>
    <d v="2018-07-03T00:00:00"/>
    <d v="2018-07-03T00:00:00"/>
    <n v="-8.11"/>
    <n v="8.11"/>
    <m/>
    <s v="boodscgìh 24/7"/>
    <s v="UIT"/>
    <s v="BOODSCH"/>
    <s v="boodschappen"/>
    <m/>
    <m/>
    <m/>
    <m/>
    <m/>
    <m/>
    <m/>
    <m/>
    <m/>
    <m/>
  </r>
  <r>
    <n v="993"/>
    <x v="5"/>
    <m/>
    <x v="2"/>
    <x v="52"/>
    <d v="2018-07-03T00:00:00"/>
    <d v="2018-07-03T00:00:00"/>
    <n v="-4.2"/>
    <n v="4.2"/>
    <m/>
    <s v="boodsch 31/7"/>
    <s v="UIT"/>
    <s v="BOODSCH"/>
    <s v="boodschappen"/>
    <m/>
    <m/>
    <m/>
    <m/>
    <m/>
    <m/>
    <m/>
    <m/>
    <m/>
    <m/>
  </r>
  <r>
    <n v="994"/>
    <x v="5"/>
    <m/>
    <x v="2"/>
    <x v="52"/>
    <d v="2018-07-03T00:00:00"/>
    <d v="2018-07-03T00:00:00"/>
    <n v="-0.99"/>
    <n v="0.99"/>
    <m/>
    <s v="boodsch 31/7"/>
    <s v="UIT"/>
    <s v="BOODSCH"/>
    <s v="boodschappen"/>
    <m/>
    <m/>
    <m/>
    <m/>
    <m/>
    <m/>
    <m/>
    <m/>
    <m/>
    <m/>
  </r>
  <r>
    <n v="998"/>
    <x v="5"/>
    <m/>
    <x v="2"/>
    <x v="37"/>
    <d v="2018-08-01T00:00:00"/>
    <d v="2018-08-01T00:00:00"/>
    <n v="-1.31"/>
    <n v="1.31"/>
    <m/>
    <s v="boodsch 2/8"/>
    <s v="UIT"/>
    <s v="BOODSCH"/>
    <s v="boodschappen"/>
    <m/>
    <m/>
    <m/>
    <m/>
    <m/>
    <m/>
    <m/>
    <m/>
    <m/>
    <m/>
  </r>
  <r>
    <n v="999"/>
    <x v="5"/>
    <m/>
    <x v="2"/>
    <x v="37"/>
    <d v="2018-08-01T00:00:00"/>
    <d v="2018-08-01T00:00:00"/>
    <n v="-1.08"/>
    <n v="1.08"/>
    <m/>
    <s v="boodsch 3/8"/>
    <s v="UIT"/>
    <s v="BOODSCH"/>
    <s v="boodschappen"/>
    <m/>
    <m/>
    <m/>
    <m/>
    <m/>
    <m/>
    <m/>
    <m/>
    <m/>
    <m/>
  </r>
  <r>
    <n v="1007"/>
    <x v="5"/>
    <m/>
    <x v="2"/>
    <x v="37"/>
    <d v="2018-08-01T00:00:00"/>
    <d v="2018-08-01T00:00:00"/>
    <n v="-2.8"/>
    <n v="2.8"/>
    <m/>
    <s v="boodsch 9/8"/>
    <s v="UIT"/>
    <s v="BOODSCH"/>
    <s v="boodschappen"/>
    <m/>
    <m/>
    <m/>
    <m/>
    <m/>
    <m/>
    <m/>
    <m/>
    <m/>
    <m/>
  </r>
  <r>
    <n v="1008"/>
    <x v="5"/>
    <m/>
    <x v="2"/>
    <x v="37"/>
    <d v="2018-08-01T00:00:00"/>
    <d v="2018-08-01T00:00:00"/>
    <n v="-0.96"/>
    <n v="0.96"/>
    <m/>
    <s v="boodsch 14/8"/>
    <s v="UIT"/>
    <s v="BOODSCH"/>
    <s v="boodschappen"/>
    <m/>
    <m/>
    <m/>
    <m/>
    <m/>
    <m/>
    <m/>
    <m/>
    <m/>
    <m/>
  </r>
  <r>
    <n v="1009"/>
    <x v="5"/>
    <m/>
    <x v="2"/>
    <x v="37"/>
    <d v="2018-08-01T00:00:00"/>
    <d v="2018-08-01T00:00:00"/>
    <n v="-1.8"/>
    <n v="1.8"/>
    <m/>
    <s v="boodsch 6/8"/>
    <s v="UIT"/>
    <s v="BOODSCH"/>
    <s v="boodschappen"/>
    <m/>
    <m/>
    <m/>
    <m/>
    <m/>
    <m/>
    <m/>
    <m/>
    <m/>
    <m/>
  </r>
  <r>
    <n v="1010"/>
    <x v="5"/>
    <m/>
    <x v="2"/>
    <x v="37"/>
    <d v="2018-08-01T00:00:00"/>
    <d v="2018-08-01T00:00:00"/>
    <n v="-3.73"/>
    <n v="3.73"/>
    <m/>
    <s v="boodsch 13/8"/>
    <s v="UIT"/>
    <s v="BOODSCH"/>
    <s v="boodschappen"/>
    <m/>
    <m/>
    <m/>
    <m/>
    <m/>
    <m/>
    <m/>
    <m/>
    <m/>
    <m/>
  </r>
  <r>
    <n v="1018"/>
    <x v="5"/>
    <m/>
    <x v="2"/>
    <x v="37"/>
    <d v="2018-08-01T00:00:00"/>
    <d v="2018-08-01T00:00:00"/>
    <n v="-1.1399999999999999"/>
    <n v="1.1399999999999999"/>
    <m/>
    <s v="boodsch 20/8"/>
    <s v="UIT"/>
    <s v="BOODSCH"/>
    <s v="boodschappen"/>
    <m/>
    <m/>
    <m/>
    <m/>
    <m/>
    <m/>
    <m/>
    <m/>
    <m/>
    <m/>
  </r>
  <r>
    <n v="1019"/>
    <x v="5"/>
    <m/>
    <x v="2"/>
    <x v="37"/>
    <d v="2018-08-01T00:00:00"/>
    <d v="2018-08-01T00:00:00"/>
    <n v="-8.51"/>
    <n v="8.51"/>
    <m/>
    <s v="boodsch 25/8"/>
    <s v="UIT"/>
    <s v="BOODSCH"/>
    <s v="boodschappen"/>
    <m/>
    <m/>
    <m/>
    <m/>
    <m/>
    <m/>
    <m/>
    <m/>
    <m/>
    <m/>
  </r>
  <r>
    <n v="1021"/>
    <x v="5"/>
    <m/>
    <x v="2"/>
    <x v="37"/>
    <d v="2018-08-01T00:00:00"/>
    <d v="2018-08-01T00:00:00"/>
    <n v="-1.8"/>
    <n v="1.8"/>
    <m/>
    <s v="boodsch 18/80"/>
    <s v="UIT"/>
    <s v="BOODSCH"/>
    <s v="boodschappen"/>
    <m/>
    <m/>
    <m/>
    <m/>
    <m/>
    <m/>
    <m/>
    <m/>
    <m/>
    <m/>
  </r>
  <r>
    <n v="1022"/>
    <x v="5"/>
    <m/>
    <x v="2"/>
    <x v="37"/>
    <d v="2018-08-01T00:00:00"/>
    <d v="2018-08-01T00:00:00"/>
    <n v="-1.8"/>
    <n v="1.8"/>
    <m/>
    <s v="boodsch 22/8"/>
    <s v="UIT"/>
    <s v="BOODSCH"/>
    <s v="boodschappen"/>
    <m/>
    <m/>
    <m/>
    <m/>
    <m/>
    <m/>
    <m/>
    <m/>
    <m/>
    <m/>
  </r>
  <r>
    <n v="1025"/>
    <x v="5"/>
    <m/>
    <x v="2"/>
    <x v="37"/>
    <d v="2018-08-01T00:00:00"/>
    <d v="2018-08-01T00:00:00"/>
    <n v="-0.35"/>
    <n v="0.35"/>
    <m/>
    <s v="boodsch 29/8"/>
    <s v="UIT"/>
    <s v="BOODSCH"/>
    <s v="boodschappen"/>
    <m/>
    <m/>
    <m/>
    <m/>
    <m/>
    <m/>
    <m/>
    <m/>
    <m/>
    <m/>
  </r>
  <r>
    <n v="1036"/>
    <x v="5"/>
    <m/>
    <x v="2"/>
    <x v="37"/>
    <d v="2018-08-01T00:00:00"/>
    <d v="2018-08-01T00:00:00"/>
    <n v="-4.5"/>
    <n v="4.5"/>
    <m/>
    <s v="avondeten rijst"/>
    <s v="UIT"/>
    <s v="BOODSCH"/>
    <s v="boodschappen"/>
    <m/>
    <m/>
    <m/>
    <m/>
    <m/>
    <m/>
    <m/>
    <m/>
    <m/>
    <m/>
  </r>
  <r>
    <n v="1040"/>
    <x v="5"/>
    <m/>
    <x v="2"/>
    <x v="12"/>
    <d v="2018-09-01T00:00:00"/>
    <d v="2018-09-01T00:00:00"/>
    <n v="-1.8"/>
    <n v="1.8"/>
    <m/>
    <s v="boodsch 1/9"/>
    <s v="UIT"/>
    <s v="BOODSCH"/>
    <s v="boodschappen"/>
    <m/>
    <m/>
    <m/>
    <m/>
    <m/>
    <m/>
    <m/>
    <m/>
    <m/>
    <m/>
  </r>
  <r>
    <n v="1045"/>
    <x v="5"/>
    <m/>
    <x v="2"/>
    <x v="12"/>
    <d v="2018-09-01T00:00:00"/>
    <d v="2018-09-01T00:00:00"/>
    <n v="-1.61"/>
    <n v="1.61"/>
    <m/>
    <s v="boodsch 3/9"/>
    <s v="UIT"/>
    <s v="BOODSCH"/>
    <s v="boodschappen"/>
    <m/>
    <m/>
    <m/>
    <m/>
    <m/>
    <m/>
    <m/>
    <m/>
    <m/>
    <m/>
  </r>
  <r>
    <n v="1047"/>
    <x v="5"/>
    <m/>
    <x v="2"/>
    <x v="12"/>
    <d v="2018-09-01T00:00:00"/>
    <d v="2018-09-01T00:00:00"/>
    <n v="-4"/>
    <n v="4"/>
    <m/>
    <s v="boodsch 13/9 fruit"/>
    <s v="UIT"/>
    <s v="BOODSCH"/>
    <s v="boodschappen"/>
    <m/>
    <m/>
    <m/>
    <m/>
    <m/>
    <m/>
    <m/>
    <m/>
    <m/>
    <m/>
  </r>
  <r>
    <n v="1050"/>
    <x v="5"/>
    <m/>
    <x v="2"/>
    <x v="12"/>
    <d v="2018-09-01T00:00:00"/>
    <d v="2018-09-01T00:00:00"/>
    <n v="-30"/>
    <n v="30"/>
    <m/>
    <s v="Boodsch 7/9"/>
    <s v="UIT"/>
    <s v="BOODSCH"/>
    <s v="boodschappen"/>
    <m/>
    <m/>
    <m/>
    <m/>
    <m/>
    <m/>
    <m/>
    <m/>
    <m/>
    <m/>
  </r>
  <r>
    <n v="1051"/>
    <x v="5"/>
    <m/>
    <x v="2"/>
    <x v="12"/>
    <d v="2018-09-01T00:00:00"/>
    <d v="2018-09-01T00:00:00"/>
    <n v="-4.0999999999999996"/>
    <n v="4.0999999999999996"/>
    <m/>
    <s v="Boodsch 6/9"/>
    <s v="UIT"/>
    <s v="BOODSCH"/>
    <s v="boodschappen"/>
    <m/>
    <m/>
    <m/>
    <m/>
    <m/>
    <m/>
    <m/>
    <m/>
    <m/>
    <m/>
  </r>
  <r>
    <n v="1054"/>
    <x v="5"/>
    <m/>
    <x v="2"/>
    <x v="12"/>
    <d v="2018-09-01T00:00:00"/>
    <d v="2018-09-01T00:00:00"/>
    <n v="-1.43"/>
    <n v="1.43"/>
    <m/>
    <s v="Boodsch 5/9"/>
    <s v="UIT"/>
    <s v="BOODSCH"/>
    <s v="boodschappen"/>
    <m/>
    <m/>
    <m/>
    <m/>
    <m/>
    <m/>
    <m/>
    <m/>
    <m/>
    <m/>
  </r>
  <r>
    <n v="1055"/>
    <x v="5"/>
    <m/>
    <x v="2"/>
    <x v="12"/>
    <d v="2018-09-01T00:00:00"/>
    <d v="2018-09-01T00:00:00"/>
    <n v="-1.8"/>
    <n v="1.8"/>
    <m/>
    <s v="Boodsch 7/9"/>
    <s v="UIT"/>
    <s v="BOODSCH"/>
    <s v="boodschappen"/>
    <m/>
    <m/>
    <m/>
    <m/>
    <m/>
    <m/>
    <m/>
    <m/>
    <m/>
    <m/>
  </r>
  <r>
    <n v="1062"/>
    <x v="5"/>
    <m/>
    <x v="2"/>
    <x v="12"/>
    <d v="2018-09-01T00:00:00"/>
    <d v="2018-09-01T00:00:00"/>
    <n v="-1.8"/>
    <n v="1.8"/>
    <m/>
    <s v="boodsch 14/9"/>
    <s v="UIT"/>
    <s v="BOODSCH"/>
    <s v="boodschappen"/>
    <m/>
    <m/>
    <m/>
    <m/>
    <m/>
    <m/>
    <m/>
    <m/>
    <m/>
    <m/>
  </r>
  <r>
    <n v="1071"/>
    <x v="5"/>
    <m/>
    <x v="2"/>
    <x v="12"/>
    <d v="2018-09-01T00:00:00"/>
    <d v="2018-09-01T00:00:00"/>
    <n v="-0.55000000000000004"/>
    <n v="0.55000000000000004"/>
    <m/>
    <s v="boodsch 27/9"/>
    <s v="UIT"/>
    <s v="BOODSCH"/>
    <s v="boodschappen"/>
    <m/>
    <m/>
    <m/>
    <m/>
    <m/>
    <m/>
    <m/>
    <m/>
    <m/>
    <m/>
  </r>
  <r>
    <n v="1072"/>
    <x v="5"/>
    <m/>
    <x v="2"/>
    <x v="12"/>
    <d v="2018-09-01T00:00:00"/>
    <d v="2018-09-01T00:00:00"/>
    <n v="-0.9"/>
    <n v="0.9"/>
    <m/>
    <s v="boodsch 29/9"/>
    <s v="UIT"/>
    <s v="BOODSCH"/>
    <s v="boodschappen"/>
    <m/>
    <m/>
    <m/>
    <m/>
    <m/>
    <m/>
    <m/>
    <m/>
    <m/>
    <m/>
  </r>
  <r>
    <n v="1075"/>
    <x v="5"/>
    <m/>
    <x v="2"/>
    <x v="12"/>
    <d v="2018-09-01T00:00:00"/>
    <d v="2018-09-01T00:00:00"/>
    <n v="-2.76"/>
    <n v="2.76"/>
    <m/>
    <s v="boodsch 24/9"/>
    <s v="UIT"/>
    <s v="BOODSCH"/>
    <s v="boodschappen"/>
    <m/>
    <m/>
    <m/>
    <m/>
    <m/>
    <m/>
    <m/>
    <m/>
    <m/>
    <m/>
  </r>
  <r>
    <n v="1090"/>
    <x v="5"/>
    <m/>
    <x v="2"/>
    <x v="11"/>
    <d v="2018-10-01T00:00:00"/>
    <d v="2018-10-01T00:00:00"/>
    <n v="-6.5"/>
    <n v="6.5"/>
    <m/>
    <s v="albert heijn (eigen boodsch)"/>
    <s v="UIT"/>
    <s v="BOODSCH"/>
    <s v="boodschappen"/>
    <m/>
    <m/>
    <m/>
    <m/>
    <m/>
    <m/>
    <m/>
    <m/>
    <m/>
    <m/>
  </r>
  <r>
    <n v="1110"/>
    <x v="5"/>
    <m/>
    <x v="2"/>
    <x v="11"/>
    <d v="2018-10-01T00:00:00"/>
    <d v="2018-10-01T00:00:00"/>
    <n v="-2.29"/>
    <n v="2.29"/>
    <m/>
    <s v="boodsch 23/10"/>
    <s v="UIT"/>
    <s v="BOODSCH"/>
    <s v="boodschappen"/>
    <m/>
    <m/>
    <m/>
    <m/>
    <m/>
    <m/>
    <m/>
    <m/>
    <m/>
    <m/>
  </r>
  <r>
    <n v="1138"/>
    <x v="3"/>
    <m/>
    <x v="2"/>
    <x v="9"/>
    <d v="2018-02-28T00:00:00"/>
    <d v="2018-02-28T00:00:00"/>
    <n v="-2.6"/>
    <n v="2.6"/>
    <m/>
    <s v="Plus Musiskwartier ARNHEM"/>
    <s v="UIT"/>
    <s v="BOODSCH"/>
    <s v="boodschappen"/>
    <m/>
    <m/>
    <m/>
    <m/>
    <m/>
    <m/>
    <m/>
    <m/>
    <m/>
    <m/>
  </r>
  <r>
    <n v="1139"/>
    <x v="3"/>
    <m/>
    <x v="2"/>
    <x v="10"/>
    <d v="2018-03-01T00:00:00"/>
    <d v="2018-03-01T00:00:00"/>
    <n v="-4.2300000000000004"/>
    <n v="4.2300000000000004"/>
    <m/>
    <s v="Spar Arnhem ARNHEM"/>
    <s v="UIT"/>
    <s v="BOODSCH"/>
    <s v="boodschappen"/>
    <m/>
    <m/>
    <m/>
    <m/>
    <m/>
    <m/>
    <m/>
    <m/>
    <m/>
    <m/>
  </r>
  <r>
    <n v="1140"/>
    <x v="3"/>
    <m/>
    <x v="2"/>
    <x v="10"/>
    <d v="2018-03-01T00:00:00"/>
    <d v="2018-03-01T00:00:00"/>
    <n v="-15.03"/>
    <n v="15.03"/>
    <m/>
    <s v="Spar Arnhem ARNHEM"/>
    <s v="UIT"/>
    <s v="BOODSCH"/>
    <s v="boodschappen"/>
    <m/>
    <m/>
    <m/>
    <m/>
    <m/>
    <m/>
    <m/>
    <m/>
    <m/>
    <m/>
  </r>
  <r>
    <n v="1141"/>
    <x v="3"/>
    <m/>
    <x v="2"/>
    <x v="10"/>
    <d v="2018-03-01T00:00:00"/>
    <d v="2018-03-01T00:00:00"/>
    <n v="-1.25"/>
    <n v="1.25"/>
    <m/>
    <s v="Spar Arnhem Centraal ARNHEM"/>
    <s v="UIT"/>
    <s v="BOODSCH"/>
    <s v="boodschappen"/>
    <m/>
    <m/>
    <m/>
    <m/>
    <m/>
    <m/>
    <m/>
    <m/>
    <m/>
    <m/>
  </r>
  <r>
    <n v="1149"/>
    <x v="3"/>
    <m/>
    <x v="2"/>
    <x v="10"/>
    <d v="2018-03-06T00:00:00"/>
    <d v="2018-03-06T00:00:00"/>
    <n v="-1.89"/>
    <n v="1.89"/>
    <m/>
    <s v="Spar Arnhem ARNHEM"/>
    <s v="UIT"/>
    <s v="BOODSCH"/>
    <s v="boodschappen"/>
    <m/>
    <m/>
    <m/>
    <m/>
    <m/>
    <m/>
    <m/>
    <m/>
    <m/>
    <m/>
  </r>
  <r>
    <n v="1151"/>
    <x v="3"/>
    <m/>
    <x v="2"/>
    <x v="10"/>
    <d v="2018-03-07T00:00:00"/>
    <d v="2018-03-07T00:00:00"/>
    <n v="-3.54"/>
    <n v="3.54"/>
    <m/>
    <s v="Spar Arnhem ARNHEM"/>
    <s v="UIT"/>
    <s v="BOODSCH"/>
    <s v="boodschappen"/>
    <m/>
    <m/>
    <m/>
    <m/>
    <m/>
    <m/>
    <m/>
    <m/>
    <m/>
    <m/>
  </r>
  <r>
    <n v="1161"/>
    <x v="3"/>
    <m/>
    <x v="2"/>
    <x v="10"/>
    <d v="2018-03-12T00:00:00"/>
    <d v="2018-03-12T00:00:00"/>
    <n v="-2.29"/>
    <n v="2.29"/>
    <m/>
    <s v="Spar Arnhem ARNHEM"/>
    <s v="UIT"/>
    <s v="BOODSCH"/>
    <s v="boodschappen"/>
    <m/>
    <m/>
    <m/>
    <m/>
    <m/>
    <m/>
    <m/>
    <m/>
    <m/>
    <m/>
  </r>
  <r>
    <n v="1163"/>
    <x v="3"/>
    <m/>
    <x v="2"/>
    <x v="10"/>
    <d v="2018-03-13T00:00:00"/>
    <d v="2018-03-13T00:00:00"/>
    <n v="-3.64"/>
    <n v="3.64"/>
    <m/>
    <s v="Spar Arnhem ARNHEM"/>
    <s v="UIT"/>
    <s v="BOODSCH"/>
    <s v="boodschappen"/>
    <m/>
    <m/>
    <m/>
    <m/>
    <m/>
    <m/>
    <m/>
    <m/>
    <m/>
    <m/>
  </r>
  <r>
    <n v="1169"/>
    <x v="3"/>
    <m/>
    <x v="2"/>
    <x v="10"/>
    <d v="2018-03-16T00:00:00"/>
    <d v="2018-03-16T00:00:00"/>
    <n v="-6.73"/>
    <n v="6.73"/>
    <m/>
    <s v="Spar Arnhem ARNHEM"/>
    <s v="UIT"/>
    <s v="BOODSCH"/>
    <s v="boodschappen"/>
    <m/>
    <m/>
    <m/>
    <m/>
    <m/>
    <m/>
    <m/>
    <m/>
    <m/>
    <m/>
  </r>
  <r>
    <n v="1180"/>
    <x v="3"/>
    <m/>
    <x v="2"/>
    <x v="10"/>
    <d v="2018-03-24T00:00:00"/>
    <d v="2018-03-24T00:00:00"/>
    <n v="-4.95"/>
    <n v="4.95"/>
    <m/>
    <s v="Coop 2113 MUSSELKANAAL"/>
    <s v="UIT"/>
    <s v="BOODSCH"/>
    <s v="boodschappen"/>
    <m/>
    <m/>
    <m/>
    <m/>
    <m/>
    <m/>
    <m/>
    <m/>
    <m/>
    <m/>
  </r>
  <r>
    <n v="1181"/>
    <x v="3"/>
    <m/>
    <x v="2"/>
    <x v="10"/>
    <d v="2018-03-24T00:00:00"/>
    <d v="2018-03-24T00:00:00"/>
    <n v="-3.45"/>
    <n v="3.45"/>
    <m/>
    <s v="Coop 2113 MUSSELKANAAL"/>
    <s v="UIT"/>
    <s v="BOODSCH"/>
    <s v="boodschappen"/>
    <m/>
    <m/>
    <m/>
    <m/>
    <m/>
    <m/>
    <m/>
    <m/>
    <m/>
    <m/>
  </r>
  <r>
    <n v="1185"/>
    <x v="3"/>
    <m/>
    <x v="2"/>
    <x v="10"/>
    <d v="2018-03-26T00:00:00"/>
    <d v="2018-03-26T00:00:00"/>
    <n v="-11.69"/>
    <n v="11.69"/>
    <m/>
    <s v="SUPERMERCATO DUE P 201 ROMA ITA"/>
    <s v="UIT"/>
    <s v="BOODSCH"/>
    <s v="boodschappen"/>
    <m/>
    <m/>
    <m/>
    <m/>
    <m/>
    <m/>
    <m/>
    <m/>
    <m/>
    <m/>
  </r>
  <r>
    <n v="1188"/>
    <x v="3"/>
    <m/>
    <x v="2"/>
    <x v="10"/>
    <d v="2018-03-27T00:00:00"/>
    <d v="2018-03-27T00:00:00"/>
    <n v="-43.59"/>
    <n v="43.59"/>
    <m/>
    <s v="SUPERMERCATO DUE P 201 ROMA ITA"/>
    <s v="UIT"/>
    <s v="BOODSCH"/>
    <s v="boodschappen"/>
    <m/>
    <m/>
    <m/>
    <m/>
    <m/>
    <m/>
    <m/>
    <m/>
    <m/>
    <m/>
  </r>
  <r>
    <n v="1191"/>
    <x v="3"/>
    <m/>
    <x v="2"/>
    <x v="49"/>
    <d v="2018-04-15T00:00:00"/>
    <d v="2018-04-15T00:00:00"/>
    <n v="-33.93"/>
    <n v="33.93"/>
    <m/>
    <s v="boodsch 6/4"/>
    <s v="UIT"/>
    <s v="BOODSCH"/>
    <s v="boodschappen"/>
    <m/>
    <m/>
    <m/>
    <m/>
    <m/>
    <m/>
    <m/>
    <m/>
    <m/>
    <m/>
  </r>
  <r>
    <n v="1192"/>
    <x v="3"/>
    <m/>
    <x v="2"/>
    <x v="49"/>
    <d v="2018-04-15T00:00:00"/>
    <d v="2018-04-15T00:00:00"/>
    <n v="-2.38"/>
    <n v="2.38"/>
    <m/>
    <s v="boodsch 11/4"/>
    <s v="UIT"/>
    <s v="BOODSCH"/>
    <s v="boodschappen"/>
    <m/>
    <m/>
    <m/>
    <m/>
    <m/>
    <m/>
    <m/>
    <m/>
    <m/>
    <m/>
  </r>
  <r>
    <n v="1194"/>
    <x v="3"/>
    <m/>
    <x v="2"/>
    <x v="49"/>
    <d v="2018-04-15T00:00:00"/>
    <d v="2018-04-15T00:00:00"/>
    <n v="-34.659999999999997"/>
    <n v="34.659999999999997"/>
    <m/>
    <s v="boodsch 23/4"/>
    <s v="UIT"/>
    <s v="BOODSCH"/>
    <s v="boodschappen"/>
    <m/>
    <m/>
    <m/>
    <m/>
    <m/>
    <m/>
    <m/>
    <m/>
    <m/>
    <m/>
  </r>
  <r>
    <n v="1204"/>
    <x v="3"/>
    <m/>
    <x v="2"/>
    <x v="50"/>
    <d v="2018-05-15T00:00:00"/>
    <d v="2018-05-15T00:00:00"/>
    <n v="-11.8"/>
    <n v="11.8"/>
    <m/>
    <s v="boodsch 2/5"/>
    <s v="UIT"/>
    <s v="BOODSCH"/>
    <s v="boodschappen"/>
    <m/>
    <m/>
    <m/>
    <m/>
    <m/>
    <m/>
    <m/>
    <m/>
    <m/>
    <m/>
  </r>
  <r>
    <n v="1206"/>
    <x v="3"/>
    <m/>
    <x v="2"/>
    <x v="50"/>
    <d v="2018-05-15T00:00:00"/>
    <d v="2018-05-15T00:00:00"/>
    <n v="-10.77"/>
    <n v="10.77"/>
    <m/>
    <s v="boodsc 11/5"/>
    <s v="UIT"/>
    <s v="BOODSCH"/>
    <s v="boodschappen"/>
    <m/>
    <m/>
    <m/>
    <m/>
    <m/>
    <m/>
    <m/>
    <m/>
    <m/>
    <m/>
  </r>
  <r>
    <n v="1208"/>
    <x v="3"/>
    <m/>
    <x v="2"/>
    <x v="50"/>
    <d v="2018-05-15T00:00:00"/>
    <d v="2018-05-15T00:00:00"/>
    <n v="-10.77"/>
    <n v="10.77"/>
    <m/>
    <s v="boodsch 11/5"/>
    <s v="UIT"/>
    <s v="BOODSCH"/>
    <s v="boodschappen"/>
    <m/>
    <m/>
    <m/>
    <m/>
    <m/>
    <m/>
    <m/>
    <m/>
    <m/>
    <m/>
  </r>
  <r>
    <n v="1210"/>
    <x v="3"/>
    <m/>
    <x v="2"/>
    <x v="50"/>
    <d v="2018-05-15T00:00:00"/>
    <d v="2018-05-15T00:00:00"/>
    <n v="-17.34"/>
    <n v="17.34"/>
    <m/>
    <s v="boodsch"/>
    <s v="UIT"/>
    <s v="BOODSCH"/>
    <s v="boodschappen"/>
    <m/>
    <m/>
    <m/>
    <m/>
    <m/>
    <m/>
    <m/>
    <m/>
    <m/>
    <m/>
  </r>
  <r>
    <n v="1211"/>
    <x v="3"/>
    <m/>
    <x v="2"/>
    <x v="50"/>
    <d v="2018-05-15T00:00:00"/>
    <d v="2018-05-15T00:00:00"/>
    <n v="-14"/>
    <n v="14"/>
    <m/>
    <s v="boodsch 16/5"/>
    <s v="UIT"/>
    <s v="BOODSCH"/>
    <s v="boodschappen"/>
    <m/>
    <m/>
    <m/>
    <m/>
    <m/>
    <m/>
    <m/>
    <m/>
    <m/>
    <m/>
  </r>
  <r>
    <n v="1212"/>
    <x v="3"/>
    <m/>
    <x v="2"/>
    <x v="50"/>
    <d v="2018-05-15T00:00:00"/>
    <d v="2018-05-15T00:00:00"/>
    <n v="-11.01"/>
    <n v="11.01"/>
    <m/>
    <s v="boodsch 26/"/>
    <s v="UIT"/>
    <s v="BOODSCH"/>
    <s v="boodschappen"/>
    <m/>
    <m/>
    <m/>
    <m/>
    <m/>
    <m/>
    <m/>
    <m/>
    <m/>
    <m/>
  </r>
  <r>
    <n v="1214"/>
    <x v="3"/>
    <m/>
    <x v="2"/>
    <x v="50"/>
    <d v="2018-05-15T00:00:00"/>
    <d v="2018-05-15T00:00:00"/>
    <n v="-6.34"/>
    <n v="6.34"/>
    <m/>
    <s v="boodsch20/5"/>
    <s v="UIT"/>
    <s v="BOODSCH"/>
    <s v="boodschappen"/>
    <m/>
    <m/>
    <m/>
    <m/>
    <m/>
    <m/>
    <m/>
    <m/>
    <m/>
    <m/>
  </r>
  <r>
    <n v="1216"/>
    <x v="3"/>
    <m/>
    <x v="2"/>
    <x v="50"/>
    <d v="2018-05-15T00:00:00"/>
    <d v="2018-05-15T00:00:00"/>
    <n v="-18.13"/>
    <n v="18.13"/>
    <m/>
    <s v="boodsch 30/5"/>
    <s v="UIT"/>
    <s v="BOODSCH"/>
    <s v="boodschappen"/>
    <m/>
    <m/>
    <m/>
    <m/>
    <m/>
    <m/>
    <m/>
    <m/>
    <m/>
    <m/>
  </r>
  <r>
    <n v="1227"/>
    <x v="3"/>
    <m/>
    <x v="2"/>
    <x v="51"/>
    <d v="2018-06-04T00:00:00"/>
    <d v="2018-06-04T00:00:00"/>
    <n v="-15.42"/>
    <n v="15.42"/>
    <m/>
    <s v="MA. &amp; GI. SRL ROMA ITA"/>
    <s v="UIT"/>
    <s v="BOODSCH"/>
    <s v="boodschappen"/>
    <m/>
    <m/>
    <m/>
    <m/>
    <m/>
    <m/>
    <m/>
    <m/>
    <m/>
    <m/>
  </r>
  <r>
    <n v="1229"/>
    <x v="3"/>
    <m/>
    <x v="2"/>
    <x v="51"/>
    <d v="2018-06-11T00:00:00"/>
    <d v="2018-06-11T00:00:00"/>
    <n v="-9.39"/>
    <n v="9.39"/>
    <m/>
    <s v="SUPERMERCATO DUE P 201 ROMA ITA"/>
    <s v="UIT"/>
    <s v="BOODSCH"/>
    <s v="boodschappen"/>
    <m/>
    <m/>
    <m/>
    <m/>
    <m/>
    <m/>
    <m/>
    <m/>
    <m/>
    <m/>
  </r>
  <r>
    <n v="1230"/>
    <x v="3"/>
    <m/>
    <x v="2"/>
    <x v="51"/>
    <d v="2018-06-13T00:00:00"/>
    <d v="2018-06-13T00:00:00"/>
    <n v="-14.06"/>
    <n v="14.06"/>
    <m/>
    <s v="SUPERMERCATO DUE P 201 ROMA ITA"/>
    <s v="UIT"/>
    <s v="BOODSCH"/>
    <s v="boodschappen"/>
    <m/>
    <m/>
    <m/>
    <m/>
    <m/>
    <m/>
    <m/>
    <m/>
    <m/>
    <m/>
  </r>
  <r>
    <n v="1234"/>
    <x v="3"/>
    <m/>
    <x v="2"/>
    <x v="51"/>
    <d v="2018-06-18T00:00:00"/>
    <d v="2018-06-18T00:00:00"/>
    <n v="-6.51"/>
    <n v="6.51"/>
    <m/>
    <s v="IPER ROMA EUR ROMA ITA"/>
    <s v="UIT"/>
    <s v="BOODSCH"/>
    <s v="boodschappen"/>
    <m/>
    <m/>
    <m/>
    <m/>
    <m/>
    <m/>
    <m/>
    <m/>
    <m/>
    <m/>
  </r>
  <r>
    <n v="1236"/>
    <x v="3"/>
    <m/>
    <x v="2"/>
    <x v="51"/>
    <d v="2018-06-22T00:00:00"/>
    <d v="2018-06-22T00:00:00"/>
    <n v="-15.52"/>
    <n v="15.52"/>
    <m/>
    <s v="MA. &amp; GI. SRL ROMA ITA"/>
    <s v="UIT"/>
    <s v="BOODSCH"/>
    <s v="boodschappen"/>
    <m/>
    <m/>
    <m/>
    <m/>
    <m/>
    <m/>
    <m/>
    <m/>
    <m/>
    <m/>
  </r>
  <r>
    <n v="1243"/>
    <x v="3"/>
    <m/>
    <x v="2"/>
    <x v="52"/>
    <d v="2018-07-03T00:00:00"/>
    <d v="2018-07-03T00:00:00"/>
    <n v="-15.16"/>
    <n v="15.16"/>
    <m/>
    <s v="SUPERMERCATO DUE P 201 ROMA ITA"/>
    <s v="UIT"/>
    <s v="BOODSCH"/>
    <s v="boodschappen"/>
    <m/>
    <m/>
    <m/>
    <m/>
    <m/>
    <m/>
    <m/>
    <m/>
    <m/>
    <m/>
  </r>
  <r>
    <n v="1248"/>
    <x v="3"/>
    <m/>
    <x v="2"/>
    <x v="52"/>
    <d v="2018-07-13T00:00:00"/>
    <d v="2018-07-13T00:00:00"/>
    <n v="-28.13"/>
    <n v="28.13"/>
    <m/>
    <s v="MA &amp; GI SRL ROMA ITA"/>
    <s v="UIT"/>
    <s v="BOODSCH"/>
    <s v="boodschappen"/>
    <m/>
    <m/>
    <m/>
    <m/>
    <m/>
    <m/>
    <m/>
    <m/>
    <m/>
    <m/>
  </r>
  <r>
    <n v="1250"/>
    <x v="3"/>
    <m/>
    <x v="2"/>
    <x v="52"/>
    <d v="2018-07-21T00:00:00"/>
    <d v="2018-07-21T00:00:00"/>
    <n v="-11.4"/>
    <n v="11.4"/>
    <m/>
    <s v="SUPERMERCATO DUE P 201 ROMA ITA"/>
    <s v="UIT"/>
    <s v="BOODSCH"/>
    <s v="boodschappen"/>
    <m/>
    <m/>
    <m/>
    <m/>
    <m/>
    <m/>
    <m/>
    <m/>
    <m/>
    <m/>
  </r>
  <r>
    <n v="1256"/>
    <x v="3"/>
    <m/>
    <x v="2"/>
    <x v="52"/>
    <d v="2018-07-31T00:00:00"/>
    <d v="2018-07-31T00:00:00"/>
    <n v="-27.14"/>
    <n v="27.14"/>
    <m/>
    <s v="SUPERMERCATO MA &amp; GI ROMA ITA"/>
    <s v="UIT"/>
    <s v="BOODSCH"/>
    <s v="boodschappen"/>
    <m/>
    <m/>
    <m/>
    <m/>
    <m/>
    <m/>
    <m/>
    <m/>
    <m/>
    <m/>
  </r>
  <r>
    <n v="1261"/>
    <x v="3"/>
    <m/>
    <x v="2"/>
    <x v="37"/>
    <d v="2018-08-06T00:00:00"/>
    <d v="2018-08-06T00:00:00"/>
    <n v="-7.95"/>
    <n v="7.95"/>
    <m/>
    <s v="SUPERMERCATO DUE P 201 ROMA ITA"/>
    <s v="UIT"/>
    <s v="BOODSCH"/>
    <s v="boodschappen"/>
    <m/>
    <m/>
    <m/>
    <m/>
    <m/>
    <m/>
    <m/>
    <m/>
    <m/>
    <m/>
  </r>
  <r>
    <n v="1262"/>
    <x v="3"/>
    <m/>
    <x v="2"/>
    <x v="37"/>
    <d v="2018-08-17T00:00:00"/>
    <d v="2018-08-17T00:00:00"/>
    <n v="-23.77"/>
    <n v="23.77"/>
    <m/>
    <s v="MA &amp; GI SRL ROMA ITA"/>
    <s v="UIT"/>
    <s v="BOODSCH"/>
    <s v="boodschappen"/>
    <m/>
    <m/>
    <m/>
    <m/>
    <m/>
    <m/>
    <m/>
    <m/>
    <m/>
    <m/>
  </r>
  <r>
    <n v="1266"/>
    <x v="3"/>
    <m/>
    <x v="2"/>
    <x v="37"/>
    <d v="2018-08-27T00:00:00"/>
    <d v="2018-08-27T00:00:00"/>
    <n v="-16.75"/>
    <n v="16.75"/>
    <m/>
    <s v="SUPERMERCATO DUE P 201 ROMA ITA"/>
    <s v="UIT"/>
    <s v="BOODSCH"/>
    <s v="boodschappen"/>
    <m/>
    <m/>
    <m/>
    <m/>
    <m/>
    <m/>
    <m/>
    <m/>
    <m/>
    <m/>
  </r>
  <r>
    <n v="1271"/>
    <x v="3"/>
    <m/>
    <x v="2"/>
    <x v="12"/>
    <d v="2018-09-11T00:00:00"/>
    <d v="2018-09-11T00:00:00"/>
    <n v="-10.25"/>
    <n v="10.25"/>
    <m/>
    <s v="SUPERMERCATO DUE P 201 ROMA ITA"/>
    <s v="UIT"/>
    <s v="BOODSCH"/>
    <s v="boodschappen"/>
    <m/>
    <m/>
    <m/>
    <m/>
    <m/>
    <m/>
    <m/>
    <m/>
    <m/>
    <m/>
  </r>
  <r>
    <n v="1274"/>
    <x v="3"/>
    <m/>
    <x v="2"/>
    <x v="12"/>
    <d v="2018-09-17T00:00:00"/>
    <d v="2018-09-17T00:00:00"/>
    <n v="-18.100000000000001"/>
    <n v="18.100000000000001"/>
    <m/>
    <s v="SUPERMERCATO DUE P 201 ROMA ITA"/>
    <s v="UIT"/>
    <s v="BOODSCH"/>
    <s v="boodschappen"/>
    <m/>
    <m/>
    <m/>
    <m/>
    <m/>
    <m/>
    <m/>
    <m/>
    <m/>
    <m/>
  </r>
  <r>
    <n v="1283"/>
    <x v="3"/>
    <m/>
    <x v="2"/>
    <x v="12"/>
    <d v="2018-09-29T00:00:00"/>
    <d v="2018-09-29T00:00:00"/>
    <n v="-0.9"/>
    <n v="0.9"/>
    <m/>
    <s v="ECV SHOPS SRL ROMA ITA"/>
    <s v="UIT"/>
    <s v="BOODSCH"/>
    <s v="boodschappen"/>
    <m/>
    <m/>
    <m/>
    <m/>
    <m/>
    <m/>
    <m/>
    <m/>
    <m/>
    <m/>
  </r>
  <r>
    <n v="1293"/>
    <x v="3"/>
    <m/>
    <x v="2"/>
    <x v="11"/>
    <d v="2018-10-05T00:00:00"/>
    <d v="2018-10-05T00:00:00"/>
    <n v="-2.59"/>
    <n v="2.59"/>
    <m/>
    <s v="Coop 2113 MUSSELKANAAL"/>
    <s v="UIT"/>
    <s v="BOODSCH"/>
    <s v="boodschappen"/>
    <m/>
    <m/>
    <m/>
    <m/>
    <m/>
    <m/>
    <m/>
    <m/>
    <m/>
    <m/>
  </r>
  <r>
    <n v="1294"/>
    <x v="3"/>
    <m/>
    <x v="2"/>
    <x v="11"/>
    <d v="2018-10-10T00:00:00"/>
    <d v="2018-10-10T00:00:00"/>
    <n v="-7.82"/>
    <n v="7.82"/>
    <m/>
    <s v="ALBERT HEIJN 1878 ARNHEM"/>
    <s v="UIT"/>
    <s v="BOODSCH"/>
    <s v="boodschappen"/>
    <m/>
    <m/>
    <m/>
    <m/>
    <m/>
    <m/>
    <m/>
    <m/>
    <m/>
    <m/>
  </r>
  <r>
    <n v="1296"/>
    <x v="3"/>
    <m/>
    <x v="2"/>
    <x v="11"/>
    <d v="2018-10-11T00:00:00"/>
    <d v="2018-10-11T00:00:00"/>
    <n v="-1.62"/>
    <n v="1.62"/>
    <m/>
    <s v="L. VAN GELDER BEHEER B ARNHEM"/>
    <s v="UIT"/>
    <s v="BOODSCH"/>
    <s v="boodschappen"/>
    <m/>
    <m/>
    <m/>
    <m/>
    <m/>
    <m/>
    <m/>
    <m/>
    <m/>
    <m/>
  </r>
  <r>
    <n v="1300"/>
    <x v="3"/>
    <m/>
    <x v="2"/>
    <x v="11"/>
    <d v="2018-10-12T00:00:00"/>
    <d v="2018-10-12T00:00:00"/>
    <n v="-39.26"/>
    <n v="39.26"/>
    <m/>
    <s v="ALBERT HEIJN 1878 ARNHEM"/>
    <s v="UIT"/>
    <s v="BOODSCH"/>
    <s v="boodschappen"/>
    <m/>
    <m/>
    <m/>
    <m/>
    <m/>
    <m/>
    <m/>
    <m/>
    <m/>
    <m/>
  </r>
  <r>
    <n v="1301"/>
    <x v="3"/>
    <m/>
    <x v="2"/>
    <x v="11"/>
    <d v="2018-10-12T00:00:00"/>
    <d v="2018-10-12T00:00:00"/>
    <n v="-1.0900000000000001"/>
    <n v="1.0900000000000001"/>
    <m/>
    <s v="ALBERT HEIJN 1878 ARNHEM"/>
    <s v="UIT"/>
    <s v="BOODSCH"/>
    <s v="boodschappen"/>
    <m/>
    <m/>
    <m/>
    <m/>
    <m/>
    <m/>
    <m/>
    <m/>
    <m/>
    <m/>
  </r>
  <r>
    <n v="1309"/>
    <x v="3"/>
    <m/>
    <x v="2"/>
    <x v="11"/>
    <d v="2018-10-16T00:00:00"/>
    <d v="2018-10-16T00:00:00"/>
    <n v="-2.15"/>
    <n v="2.15"/>
    <m/>
    <s v="ALBERT HEIJN 1878 ARNHEM"/>
    <s v="UIT"/>
    <s v="BOODSCH"/>
    <s v="boodschappen"/>
    <m/>
    <m/>
    <m/>
    <m/>
    <m/>
    <m/>
    <m/>
    <m/>
    <m/>
    <m/>
  </r>
  <r>
    <n v="1310"/>
    <x v="3"/>
    <m/>
    <x v="2"/>
    <x v="11"/>
    <d v="2018-10-16T00:00:00"/>
    <d v="2018-10-16T00:00:00"/>
    <n v="-1.99"/>
    <n v="1.99"/>
    <m/>
    <s v="ALBERT HEIJN 1878 ARNHEM"/>
    <s v="UIT"/>
    <s v="BOODSCH"/>
    <s v="boodschappen"/>
    <m/>
    <m/>
    <m/>
    <m/>
    <m/>
    <m/>
    <m/>
    <m/>
    <m/>
    <m/>
  </r>
  <r>
    <n v="1311"/>
    <x v="3"/>
    <m/>
    <x v="2"/>
    <x v="11"/>
    <d v="2018-10-18T00:00:00"/>
    <d v="2018-10-18T00:00:00"/>
    <n v="-3.74"/>
    <n v="3.74"/>
    <m/>
    <s v="ALBERT HEIJN 1878 ARNHEM"/>
    <s v="UIT"/>
    <s v="BOODSCH"/>
    <s v="boodschappen"/>
    <m/>
    <m/>
    <m/>
    <m/>
    <m/>
    <m/>
    <m/>
    <m/>
    <m/>
    <m/>
  </r>
  <r>
    <n v="1312"/>
    <x v="3"/>
    <m/>
    <x v="2"/>
    <x v="11"/>
    <d v="2018-10-18T00:00:00"/>
    <d v="2018-10-18T00:00:00"/>
    <n v="-1.47"/>
    <n v="1.47"/>
    <m/>
    <s v="ALBERT HEIJN 1878 ARNHEM"/>
    <s v="UIT"/>
    <s v="BOODSCH"/>
    <s v="boodschappen"/>
    <m/>
    <m/>
    <m/>
    <m/>
    <m/>
    <m/>
    <m/>
    <m/>
    <m/>
    <m/>
  </r>
  <r>
    <n v="1320"/>
    <x v="3"/>
    <m/>
    <x v="2"/>
    <x v="11"/>
    <d v="2018-10-20T00:00:00"/>
    <d v="2018-10-20T00:00:00"/>
    <n v="-2.1800000000000002"/>
    <n v="2.1800000000000002"/>
    <m/>
    <s v="ALBERT HEIJN 1878 ARNHEM"/>
    <s v="UIT"/>
    <s v="BOODSCH"/>
    <s v="boodschappen"/>
    <m/>
    <m/>
    <m/>
    <m/>
    <m/>
    <m/>
    <m/>
    <m/>
    <m/>
    <m/>
  </r>
  <r>
    <n v="1322"/>
    <x v="3"/>
    <m/>
    <x v="2"/>
    <x v="11"/>
    <d v="2018-10-21T00:00:00"/>
    <d v="2018-10-21T00:00:00"/>
    <n v="-3.23"/>
    <n v="3.23"/>
    <m/>
    <s v="ALBERT HEIJN 1878 ARNHEM"/>
    <s v="UIT"/>
    <s v="BOODSCH"/>
    <s v="boodschappen"/>
    <m/>
    <m/>
    <m/>
    <m/>
    <m/>
    <m/>
    <m/>
    <m/>
    <m/>
    <m/>
  </r>
  <r>
    <n v="1325"/>
    <x v="3"/>
    <m/>
    <x v="2"/>
    <x v="11"/>
    <d v="2018-10-22T00:00:00"/>
    <d v="2018-10-22T00:00:00"/>
    <n v="-1.69"/>
    <n v="1.69"/>
    <m/>
    <s v="L. VAN GELDER BEHEER B ARNHEM"/>
    <s v="UIT"/>
    <s v="BOODSCH"/>
    <s v="boodschappen"/>
    <m/>
    <m/>
    <m/>
    <m/>
    <m/>
    <m/>
    <m/>
    <m/>
    <m/>
    <m/>
  </r>
  <r>
    <n v="1326"/>
    <x v="3"/>
    <m/>
    <x v="2"/>
    <x v="11"/>
    <d v="2018-10-22T00:00:00"/>
    <d v="2018-10-22T00:00:00"/>
    <n v="-3.69"/>
    <n v="3.69"/>
    <m/>
    <s v="ALBERT HEIJN 1878 ARNHEM"/>
    <s v="UIT"/>
    <s v="BOODSCH"/>
    <s v="boodschappen"/>
    <m/>
    <m/>
    <m/>
    <m/>
    <m/>
    <m/>
    <m/>
    <m/>
    <m/>
    <m/>
  </r>
  <r>
    <n v="1337"/>
    <x v="3"/>
    <m/>
    <x v="2"/>
    <x v="11"/>
    <d v="2018-10-31T00:00:00"/>
    <d v="2018-10-31T00:00:00"/>
    <n v="-6.48"/>
    <n v="6.48"/>
    <m/>
    <s v="Albert Heijn 1122 STADSKANAAL"/>
    <s v="UIT"/>
    <s v="BOODSCH"/>
    <s v="boodschappen"/>
    <m/>
    <m/>
    <m/>
    <m/>
    <m/>
    <m/>
    <m/>
    <m/>
    <m/>
    <m/>
  </r>
  <r>
    <n v="1432"/>
    <x v="1"/>
    <m/>
    <x v="3"/>
    <x v="38"/>
    <d v="2019-07-09T00:00:00"/>
    <d v="2019-07-09T00:00:00"/>
    <n v="-21.89"/>
    <n v="21.89"/>
    <m/>
    <s v="PRLV SEPA PAYPAL EUROPE S.A.R.L. ET CIE S.C.A ECH/090719 ID EMETTEUR/LU96ZZZ0000000000000000058 MDT/5HBJ224MREGGA REF/1006047541013 PAYPAL VIREMENT LIB/1006047541013 PAYPAL"/>
    <s v="UIT"/>
    <s v="BOODSCH"/>
    <s v="proteinepoeder"/>
    <m/>
    <m/>
    <m/>
    <m/>
    <m/>
    <m/>
    <m/>
    <m/>
    <m/>
    <m/>
  </r>
  <r>
    <n v="1484"/>
    <x v="5"/>
    <m/>
    <x v="3"/>
    <x v="14"/>
    <d v="2019-03-01T00:00:00"/>
    <d v="2019-03-01T00:00:00"/>
    <n v="-2.97"/>
    <n v="2.97"/>
    <m/>
    <s v="AH"/>
    <s v="UIT"/>
    <s v="BOODSCH"/>
    <s v="boodschappen"/>
    <m/>
    <m/>
    <m/>
    <m/>
    <m/>
    <m/>
    <m/>
    <m/>
    <m/>
    <m/>
  </r>
  <r>
    <n v="1501"/>
    <x v="5"/>
    <m/>
    <x v="3"/>
    <x v="53"/>
    <d v="2019-04-01T00:00:00"/>
    <d v="2019-04-01T00:00:00"/>
    <n v="-6.25"/>
    <n v="6.25"/>
    <m/>
    <s v="boodsch campingwinkel"/>
    <s v="UIT"/>
    <s v="BOODSCH"/>
    <s v="boodschappen"/>
    <m/>
    <m/>
    <m/>
    <m/>
    <m/>
    <m/>
    <m/>
    <m/>
    <m/>
    <m/>
  </r>
  <r>
    <n v="1503"/>
    <x v="5"/>
    <m/>
    <x v="3"/>
    <x v="53"/>
    <d v="2019-04-01T00:00:00"/>
    <d v="2019-04-01T00:00:00"/>
    <n v="-10"/>
    <n v="10"/>
    <m/>
    <s v="boodshcappen"/>
    <s v="UIT"/>
    <s v="BOODSCH"/>
    <s v="boodschappen"/>
    <m/>
    <m/>
    <m/>
    <m/>
    <m/>
    <m/>
    <m/>
    <m/>
    <m/>
    <m/>
  </r>
  <r>
    <n v="1505"/>
    <x v="5"/>
    <m/>
    <x v="3"/>
    <x v="53"/>
    <d v="2019-04-01T00:00:00"/>
    <d v="2019-04-01T00:00:00"/>
    <n v="-1"/>
    <n v="1"/>
    <m/>
    <s v="bananen"/>
    <s v="UIT"/>
    <s v="BOODSCH"/>
    <s v="boodschappen"/>
    <m/>
    <m/>
    <m/>
    <m/>
    <m/>
    <m/>
    <m/>
    <m/>
    <m/>
    <m/>
  </r>
  <r>
    <n v="1511"/>
    <x v="5"/>
    <m/>
    <x v="3"/>
    <x v="53"/>
    <d v="2019-04-01T00:00:00"/>
    <d v="2019-04-01T00:00:00"/>
    <n v="-6.5"/>
    <n v="6.5"/>
    <m/>
    <s v="almercato 17/4"/>
    <s v="UIT"/>
    <s v="BOODSCH"/>
    <s v="boodschappen"/>
    <m/>
    <m/>
    <m/>
    <m/>
    <m/>
    <m/>
    <m/>
    <m/>
    <m/>
    <m/>
  </r>
  <r>
    <n v="1513"/>
    <x v="5"/>
    <m/>
    <x v="3"/>
    <x v="53"/>
    <d v="2019-04-01T00:00:00"/>
    <d v="2019-04-01T00:00:00"/>
    <n v="-2.9"/>
    <n v="2.9"/>
    <m/>
    <s v="fruit en groente"/>
    <s v="UIT"/>
    <s v="BOODSCH"/>
    <s v="boodschappen"/>
    <m/>
    <m/>
    <m/>
    <m/>
    <m/>
    <m/>
    <m/>
    <m/>
    <m/>
    <m/>
  </r>
  <r>
    <n v="1521"/>
    <x v="5"/>
    <m/>
    <x v="3"/>
    <x v="53"/>
    <d v="2019-04-01T00:00:00"/>
    <d v="2019-04-01T00:00:00"/>
    <n v="-3.1"/>
    <n v="3.1"/>
    <m/>
    <s v="kurkuma lijnzaad en pindas"/>
    <s v="UIT"/>
    <s v="BOODSCH"/>
    <s v="boodschappen"/>
    <m/>
    <m/>
    <m/>
    <m/>
    <m/>
    <m/>
    <m/>
    <m/>
    <m/>
    <m/>
  </r>
  <r>
    <n v="1532"/>
    <x v="5"/>
    <m/>
    <x v="3"/>
    <x v="54"/>
    <d v="2019-05-01T00:00:00"/>
    <d v="2019-05-01T00:00:00"/>
    <n v="-2.4"/>
    <n v="2.4"/>
    <m/>
    <s v="koekjes infopoint"/>
    <s v="UIT"/>
    <s v="BOODSCH"/>
    <s v="boodschappen"/>
    <m/>
    <m/>
    <m/>
    <m/>
    <m/>
    <m/>
    <m/>
    <m/>
    <m/>
    <m/>
  </r>
  <r>
    <n v="1533"/>
    <x v="5"/>
    <m/>
    <x v="3"/>
    <x v="54"/>
    <d v="2019-05-01T00:00:00"/>
    <d v="2019-05-01T00:00:00"/>
    <n v="-3"/>
    <n v="3"/>
    <m/>
    <s v="fruit en groente"/>
    <s v="UIT"/>
    <s v="BOODSCH"/>
    <s v="boodschappen"/>
    <m/>
    <m/>
    <m/>
    <m/>
    <m/>
    <m/>
    <m/>
    <m/>
    <m/>
    <m/>
  </r>
  <r>
    <n v="1534"/>
    <x v="5"/>
    <m/>
    <x v="3"/>
    <x v="54"/>
    <d v="2019-05-01T00:00:00"/>
    <d v="2019-05-01T00:00:00"/>
    <n v="-0.9"/>
    <n v="0.9"/>
    <m/>
    <s v="bananen"/>
    <s v="UIT"/>
    <s v="BOODSCH"/>
    <s v="boodschappen"/>
    <m/>
    <m/>
    <m/>
    <m/>
    <m/>
    <m/>
    <m/>
    <m/>
    <m/>
    <m/>
  </r>
  <r>
    <n v="1535"/>
    <x v="5"/>
    <m/>
    <x v="3"/>
    <x v="54"/>
    <d v="2019-05-01T00:00:00"/>
    <d v="2019-05-01T00:00:00"/>
    <n v="-5"/>
    <n v="5"/>
    <m/>
    <s v="fruit + groenten"/>
    <s v="UIT"/>
    <s v="BOODSCH"/>
    <s v="boodschappen"/>
    <m/>
    <m/>
    <m/>
    <m/>
    <m/>
    <m/>
    <m/>
    <m/>
    <m/>
    <m/>
  </r>
  <r>
    <n v="1547"/>
    <x v="5"/>
    <m/>
    <x v="3"/>
    <x v="54"/>
    <d v="2019-05-01T00:00:00"/>
    <d v="2019-05-01T00:00:00"/>
    <n v="-4.0999999999999996"/>
    <n v="4.0999999999999996"/>
    <m/>
    <s v="boodsch 16/5"/>
    <s v="UIT"/>
    <s v="BOODSCH"/>
    <s v="boodschappen"/>
    <m/>
    <m/>
    <m/>
    <m/>
    <m/>
    <m/>
    <m/>
    <m/>
    <m/>
    <m/>
  </r>
  <r>
    <n v="1550"/>
    <x v="5"/>
    <m/>
    <x v="3"/>
    <x v="54"/>
    <d v="2019-05-01T00:00:00"/>
    <d v="2019-05-01T00:00:00"/>
    <n v="-2"/>
    <n v="2"/>
    <m/>
    <s v="fruit 24/5"/>
    <s v="UIT"/>
    <s v="BOODSCH"/>
    <s v="boodschappen"/>
    <m/>
    <m/>
    <m/>
    <m/>
    <m/>
    <m/>
    <m/>
    <m/>
    <m/>
    <m/>
  </r>
  <r>
    <n v="1567"/>
    <x v="5"/>
    <m/>
    <x v="3"/>
    <x v="55"/>
    <d v="2019-06-01T00:00:00"/>
    <d v="2019-06-01T00:00:00"/>
    <n v="-1.5"/>
    <n v="1.5"/>
    <m/>
    <s v="fruit"/>
    <s v="UIT"/>
    <s v="BOODSCH"/>
    <s v="boodschappen"/>
    <m/>
    <m/>
    <m/>
    <m/>
    <m/>
    <m/>
    <m/>
    <m/>
    <m/>
    <m/>
  </r>
  <r>
    <n v="1582"/>
    <x v="5"/>
    <m/>
    <x v="3"/>
    <x v="38"/>
    <d v="2019-07-01T00:00:00"/>
    <d v="2019-07-01T00:00:00"/>
    <n v="-4"/>
    <n v="4"/>
    <m/>
    <s v="bananen en appels"/>
    <s v="UIT"/>
    <s v="BOODSCH"/>
    <s v="boodschappen"/>
    <m/>
    <m/>
    <m/>
    <m/>
    <m/>
    <m/>
    <m/>
    <m/>
    <m/>
    <m/>
  </r>
  <r>
    <n v="1591"/>
    <x v="5"/>
    <m/>
    <x v="3"/>
    <x v="38"/>
    <d v="2019-07-01T00:00:00"/>
    <d v="2019-07-01T00:00:00"/>
    <n v="-1.4"/>
    <n v="1.4"/>
    <m/>
    <s v="boodsch 30/7"/>
    <s v="UIT"/>
    <s v="BOODSCH"/>
    <s v="boodschappen"/>
    <m/>
    <m/>
    <m/>
    <m/>
    <m/>
    <m/>
    <m/>
    <m/>
    <m/>
    <m/>
  </r>
  <r>
    <n v="1605"/>
    <x v="5"/>
    <m/>
    <x v="3"/>
    <x v="41"/>
    <d v="2019-08-12T00:00:00"/>
    <d v="2019-08-12T00:00:00"/>
    <n v="-2.1"/>
    <n v="2.1"/>
    <m/>
    <s v="boodsh 15/8"/>
    <s v="UIT"/>
    <s v="BOODSCH"/>
    <s v="boodschappen"/>
    <m/>
    <m/>
    <m/>
    <m/>
    <m/>
    <m/>
    <m/>
    <m/>
    <m/>
    <m/>
  </r>
  <r>
    <n v="1606"/>
    <x v="5"/>
    <m/>
    <x v="3"/>
    <x v="41"/>
    <d v="2019-08-12T00:00:00"/>
    <d v="2019-08-12T00:00:00"/>
    <n v="-3.75"/>
    <n v="3.75"/>
    <m/>
    <s v="koekjes + croiss"/>
    <s v="UIT"/>
    <s v="BOODSCH"/>
    <s v="boodschappen"/>
    <m/>
    <m/>
    <m/>
    <m/>
    <m/>
    <m/>
    <m/>
    <m/>
    <m/>
    <m/>
  </r>
  <r>
    <n v="1610"/>
    <x v="5"/>
    <m/>
    <x v="3"/>
    <x v="41"/>
    <d v="2019-08-12T00:00:00"/>
    <d v="2019-08-12T00:00:00"/>
    <n v="-1.7"/>
    <n v="1.7"/>
    <m/>
    <s v="koekjes 25/8"/>
    <s v="UIT"/>
    <s v="BOODSCH"/>
    <s v="boodschappen"/>
    <m/>
    <m/>
    <m/>
    <m/>
    <m/>
    <m/>
    <m/>
    <m/>
    <m/>
    <m/>
  </r>
  <r>
    <n v="1612"/>
    <x v="5"/>
    <m/>
    <x v="3"/>
    <x v="18"/>
    <d v="2019-09-06T00:00:00"/>
    <d v="2019-09-06T00:00:00"/>
    <n v="-2.5"/>
    <n v="2.5"/>
    <m/>
    <s v="boodsch 1/9 koekjes"/>
    <s v="UIT"/>
    <s v="BOODSCH"/>
    <s v="boodschappen"/>
    <m/>
    <m/>
    <m/>
    <m/>
    <m/>
    <m/>
    <m/>
    <m/>
    <m/>
    <m/>
  </r>
  <r>
    <n v="1613"/>
    <x v="5"/>
    <m/>
    <x v="3"/>
    <x v="18"/>
    <d v="2019-09-06T00:00:00"/>
    <d v="2019-09-06T00:00:00"/>
    <n v="-1.65"/>
    <n v="1.65"/>
    <m/>
    <s v="boodsch 6/9"/>
    <s v="UIT"/>
    <s v="BOODSCH"/>
    <s v="boodschappen"/>
    <m/>
    <m/>
    <m/>
    <m/>
    <m/>
    <m/>
    <m/>
    <m/>
    <m/>
    <m/>
  </r>
  <r>
    <n v="1616"/>
    <x v="5"/>
    <m/>
    <x v="3"/>
    <x v="18"/>
    <d v="2019-09-06T00:00:00"/>
    <d v="2019-09-06T00:00:00"/>
    <n v="-2.5"/>
    <n v="2.5"/>
    <m/>
    <s v="koekjes 10/9"/>
    <s v="UIT"/>
    <s v="BOODSCH"/>
    <s v="boodschappen"/>
    <m/>
    <m/>
    <m/>
    <m/>
    <m/>
    <m/>
    <m/>
    <m/>
    <m/>
    <m/>
  </r>
  <r>
    <n v="1618"/>
    <x v="5"/>
    <m/>
    <x v="3"/>
    <x v="18"/>
    <d v="2019-09-06T00:00:00"/>
    <d v="2019-09-06T00:00:00"/>
    <n v="-1.7"/>
    <n v="1.7"/>
    <m/>
    <s v="koekjes 21/9"/>
    <s v="UIT"/>
    <s v="BOODSCH"/>
    <s v="boodschappen"/>
    <m/>
    <m/>
    <m/>
    <m/>
    <m/>
    <m/>
    <m/>
    <m/>
    <m/>
    <m/>
  </r>
  <r>
    <n v="1630"/>
    <x v="5"/>
    <m/>
    <x v="3"/>
    <x v="39"/>
    <d v="2019-10-31T00:00:00"/>
    <d v="2019-10-31T00:00:00"/>
    <n v="-5.88"/>
    <n v="5.88"/>
    <m/>
    <s v="boodsch 7/10"/>
    <s v="UIT"/>
    <s v="BOODSCH"/>
    <s v="boodschappen"/>
    <m/>
    <m/>
    <m/>
    <m/>
    <m/>
    <m/>
    <m/>
    <m/>
    <m/>
    <m/>
  </r>
  <r>
    <n v="1637"/>
    <x v="5"/>
    <m/>
    <x v="3"/>
    <x v="39"/>
    <d v="2019-10-31T00:00:00"/>
    <d v="2019-10-31T00:00:00"/>
    <n v="-1.5"/>
    <n v="1.5"/>
    <m/>
    <s v="noten"/>
    <s v="UIT"/>
    <s v="BOODSCH"/>
    <s v="boodschappen"/>
    <m/>
    <m/>
    <m/>
    <m/>
    <m/>
    <m/>
    <m/>
    <m/>
    <m/>
    <m/>
  </r>
  <r>
    <n v="1640"/>
    <x v="5"/>
    <m/>
    <x v="3"/>
    <x v="39"/>
    <d v="2019-10-31T00:00:00"/>
    <d v="2019-10-31T00:00:00"/>
    <n v="-5.03"/>
    <n v="5.03"/>
    <m/>
    <s v="Boodsch door Joost"/>
    <s v="UIT"/>
    <s v="BOODSCH"/>
    <s v="boodschappen"/>
    <m/>
    <m/>
    <m/>
    <m/>
    <m/>
    <m/>
    <m/>
    <m/>
    <m/>
    <m/>
  </r>
  <r>
    <n v="1652"/>
    <x v="2"/>
    <m/>
    <x v="3"/>
    <x v="39"/>
    <d v="2019-10-31T00:00:00"/>
    <d v="2019-10-31T00:00:00"/>
    <n v="67.63"/>
    <n v="67.63"/>
    <m/>
    <s v="boodsch josot"/>
    <s v="UIT"/>
    <s v="BOODSCH"/>
    <s v="boodschappen"/>
    <m/>
    <m/>
    <m/>
    <m/>
    <m/>
    <m/>
    <m/>
    <m/>
    <m/>
    <m/>
  </r>
  <r>
    <n v="1656"/>
    <x v="2"/>
    <m/>
    <x v="3"/>
    <x v="39"/>
    <d v="2019-10-31T00:00:00"/>
    <d v="2019-10-31T00:00:00"/>
    <n v="-7.02"/>
    <n v="7.02"/>
    <m/>
    <s v="Betaald door Joost boodsc"/>
    <s v="UIT"/>
    <s v="BOODSCH"/>
    <s v="boodschappen"/>
    <m/>
    <m/>
    <m/>
    <m/>
    <m/>
    <m/>
    <m/>
    <m/>
    <m/>
    <m/>
  </r>
  <r>
    <n v="1697"/>
    <x v="3"/>
    <m/>
    <x v="3"/>
    <x v="14"/>
    <d v="2019-03-05T00:00:00"/>
    <d v="2019-03-05T00:00:00"/>
    <n v="-1.1499999999999999"/>
    <n v="1.1499999999999999"/>
    <m/>
    <s v="ALBERT HEIJN 1653 SCHIPHOL"/>
    <s v="UIT"/>
    <s v="BOODSCH"/>
    <s v="boodschappen"/>
    <m/>
    <m/>
    <m/>
    <m/>
    <m/>
    <m/>
    <m/>
    <m/>
    <m/>
    <m/>
  </r>
  <r>
    <n v="1699"/>
    <x v="3"/>
    <m/>
    <x v="3"/>
    <x v="14"/>
    <d v="2019-03-05T00:00:00"/>
    <d v="2019-03-05T00:00:00"/>
    <n v="-2.75"/>
    <n v="2.75"/>
    <m/>
    <s v="Lidl 593 Musselkanaa MUSSELKANAAL"/>
    <s v="UIT"/>
    <s v="BOODSCH"/>
    <s v="boodschappen"/>
    <m/>
    <m/>
    <m/>
    <m/>
    <m/>
    <m/>
    <m/>
    <m/>
    <m/>
    <m/>
  </r>
  <r>
    <n v="1701"/>
    <x v="3"/>
    <m/>
    <x v="3"/>
    <x v="14"/>
    <d v="2019-03-06T00:00:00"/>
    <d v="2019-03-06T00:00:00"/>
    <n v="-10.64"/>
    <n v="10.64"/>
    <m/>
    <s v="Albert Heijn 1122 STADSKANAAL"/>
    <s v="UIT"/>
    <s v="BOODSCH"/>
    <s v="boodschappen"/>
    <m/>
    <m/>
    <m/>
    <m/>
    <m/>
    <m/>
    <m/>
    <m/>
    <m/>
    <m/>
  </r>
  <r>
    <n v="1704"/>
    <x v="3"/>
    <m/>
    <x v="3"/>
    <x v="14"/>
    <d v="2019-03-08T00:00:00"/>
    <d v="2019-03-08T00:00:00"/>
    <n v="0.28999999999999998"/>
    <n v="0.28999999999999998"/>
    <m/>
    <s v="Coop 2113 MUSSELKANAAL"/>
    <s v="UIT"/>
    <s v="BOODSCH"/>
    <s v="boodschappen"/>
    <m/>
    <m/>
    <m/>
    <m/>
    <m/>
    <m/>
    <m/>
    <m/>
    <m/>
    <m/>
  </r>
  <r>
    <n v="1705"/>
    <x v="3"/>
    <m/>
    <x v="3"/>
    <x v="14"/>
    <d v="2019-03-09T00:00:00"/>
    <d v="2019-03-09T00:00:00"/>
    <n v="-3.4"/>
    <n v="3.4"/>
    <m/>
    <s v="Albert Heijn 1122 STADSKANAAL"/>
    <s v="UIT"/>
    <s v="BOODSCH"/>
    <s v="boodschappen"/>
    <m/>
    <m/>
    <m/>
    <m/>
    <m/>
    <m/>
    <m/>
    <m/>
    <m/>
    <m/>
  </r>
  <r>
    <n v="1706"/>
    <x v="3"/>
    <m/>
    <x v="3"/>
    <x v="14"/>
    <d v="2019-03-12T00:00:00"/>
    <d v="2019-03-12T00:00:00"/>
    <n v="-12.95"/>
    <n v="12.95"/>
    <m/>
    <s v="ALBERT HEIJN 1878 ARNHEM"/>
    <s v="UIT"/>
    <s v="BOODSCH"/>
    <s v="boodschappen"/>
    <m/>
    <m/>
    <m/>
    <m/>
    <m/>
    <m/>
    <m/>
    <m/>
    <m/>
    <m/>
  </r>
  <r>
    <n v="1707"/>
    <x v="3"/>
    <m/>
    <x v="3"/>
    <x v="14"/>
    <d v="2019-03-13T00:00:00"/>
    <d v="2019-03-13T00:00:00"/>
    <n v="-2.39"/>
    <n v="2.39"/>
    <m/>
    <s v="Mimint ARNHEM"/>
    <s v="UIT"/>
    <s v="BOODSCH"/>
    <s v="boodschappen"/>
    <m/>
    <m/>
    <m/>
    <m/>
    <m/>
    <m/>
    <m/>
    <m/>
    <m/>
    <m/>
  </r>
  <r>
    <n v="1715"/>
    <x v="3"/>
    <m/>
    <x v="3"/>
    <x v="14"/>
    <d v="2019-03-14T00:00:00"/>
    <d v="2019-03-14T00:00:00"/>
    <n v="-4.22"/>
    <n v="4.22"/>
    <m/>
    <s v="ALBERT HEIJN 1101 ARNHEM"/>
    <s v="UIT"/>
    <s v="BOODSCH"/>
    <s v="boodschappen"/>
    <m/>
    <m/>
    <m/>
    <m/>
    <m/>
    <m/>
    <m/>
    <m/>
    <m/>
    <m/>
  </r>
  <r>
    <n v="1717"/>
    <x v="3"/>
    <m/>
    <x v="3"/>
    <x v="14"/>
    <d v="2019-03-15T00:00:00"/>
    <d v="2019-03-15T00:00:00"/>
    <n v="-2.7"/>
    <n v="2.7"/>
    <m/>
    <s v="Mimint ARNHEM"/>
    <s v="UIT"/>
    <s v="BOODSCH"/>
    <s v="boodschappen"/>
    <m/>
    <m/>
    <m/>
    <m/>
    <m/>
    <m/>
    <m/>
    <m/>
    <m/>
    <m/>
  </r>
  <r>
    <n v="1718"/>
    <x v="3"/>
    <m/>
    <x v="3"/>
    <x v="14"/>
    <d v="2019-03-16T00:00:00"/>
    <d v="2019-03-16T00:00:00"/>
    <n v="-4.53"/>
    <n v="4.53"/>
    <m/>
    <s v="ALBERT HEIJN 1878 ARNHEM"/>
    <s v="UIT"/>
    <s v="BOODSCH"/>
    <s v="boodschappen"/>
    <m/>
    <m/>
    <m/>
    <m/>
    <m/>
    <m/>
    <m/>
    <m/>
    <m/>
    <m/>
  </r>
  <r>
    <n v="1721"/>
    <x v="3"/>
    <m/>
    <x v="3"/>
    <x v="14"/>
    <d v="2019-03-17T00:00:00"/>
    <d v="2019-03-17T00:00:00"/>
    <n v="-10.76"/>
    <n v="10.76"/>
    <m/>
    <s v="Coop 2224 Arnhem"/>
    <s v="UIT"/>
    <s v="BOODSCH"/>
    <s v="boodschappen"/>
    <m/>
    <m/>
    <m/>
    <m/>
    <m/>
    <m/>
    <m/>
    <m/>
    <m/>
    <m/>
  </r>
  <r>
    <n v="1725"/>
    <x v="3"/>
    <m/>
    <x v="3"/>
    <x v="14"/>
    <d v="2019-03-18T00:00:00"/>
    <d v="2019-03-18T00:00:00"/>
    <n v="-6.83"/>
    <n v="6.83"/>
    <m/>
    <s v="ALBERT HEIJN 1878 ARNHEM"/>
    <s v="UIT"/>
    <s v="BOODSCH"/>
    <s v="boodschappen"/>
    <m/>
    <m/>
    <m/>
    <m/>
    <m/>
    <m/>
    <m/>
    <m/>
    <m/>
    <m/>
  </r>
  <r>
    <n v="1730"/>
    <x v="3"/>
    <m/>
    <x v="3"/>
    <x v="14"/>
    <d v="2019-03-19T00:00:00"/>
    <d v="2019-03-19T00:00:00"/>
    <n v="-2.65"/>
    <n v="2.65"/>
    <m/>
    <s v="Mimint ARNHEM"/>
    <s v="UIT"/>
    <s v="BOODSCH"/>
    <s v="boodschappen"/>
    <m/>
    <m/>
    <m/>
    <m/>
    <m/>
    <m/>
    <m/>
    <m/>
    <m/>
    <m/>
  </r>
  <r>
    <n v="1731"/>
    <x v="3"/>
    <m/>
    <x v="3"/>
    <x v="14"/>
    <d v="2019-03-19T00:00:00"/>
    <d v="2019-03-19T00:00:00"/>
    <n v="-1.21"/>
    <n v="1.21"/>
    <m/>
    <s v="ALBERT HEIJN 1878 ARNHEM"/>
    <s v="UIT"/>
    <s v="BOODSCH"/>
    <s v="boodschappen"/>
    <m/>
    <m/>
    <m/>
    <m/>
    <m/>
    <m/>
    <m/>
    <m/>
    <m/>
    <m/>
  </r>
  <r>
    <n v="1734"/>
    <x v="3"/>
    <m/>
    <x v="3"/>
    <x v="14"/>
    <d v="2019-03-20T00:00:00"/>
    <d v="2019-03-20T00:00:00"/>
    <n v="-3.87"/>
    <n v="3.87"/>
    <m/>
    <s v="ALBERT HEIJN 1878 ARNHEM"/>
    <s v="UIT"/>
    <s v="BOODSCH"/>
    <s v="boodschappen"/>
    <m/>
    <m/>
    <m/>
    <m/>
    <m/>
    <m/>
    <m/>
    <m/>
    <m/>
    <m/>
  </r>
  <r>
    <n v="1735"/>
    <x v="3"/>
    <m/>
    <x v="3"/>
    <x v="14"/>
    <d v="2019-03-20T00:00:00"/>
    <d v="2019-03-20T00:00:00"/>
    <n v="-4.6900000000000004"/>
    <n v="4.6900000000000004"/>
    <m/>
    <s v="Mimint ARNHEM"/>
    <s v="UIT"/>
    <s v="BOODSCH"/>
    <s v="boodschappen"/>
    <m/>
    <m/>
    <m/>
    <m/>
    <m/>
    <m/>
    <m/>
    <m/>
    <m/>
    <m/>
  </r>
  <r>
    <n v="1738"/>
    <x v="3"/>
    <m/>
    <x v="3"/>
    <x v="14"/>
    <d v="2019-03-21T00:00:00"/>
    <d v="2019-03-21T00:00:00"/>
    <n v="-2.6"/>
    <n v="2.6"/>
    <m/>
    <s v="ALBERT HEIJN 1878 ARNHEM"/>
    <s v="UIT"/>
    <s v="BOODSCH"/>
    <s v="boodschappen"/>
    <m/>
    <m/>
    <m/>
    <m/>
    <m/>
    <m/>
    <m/>
    <m/>
    <m/>
    <m/>
  </r>
  <r>
    <n v="1740"/>
    <x v="3"/>
    <m/>
    <x v="3"/>
    <x v="14"/>
    <d v="2019-03-22T00:00:00"/>
    <d v="2019-03-22T00:00:00"/>
    <n v="-1.8"/>
    <n v="1.8"/>
    <m/>
    <s v="Mimint ARNHEM"/>
    <s v="UIT"/>
    <s v="BOODSCH"/>
    <s v="boodschappen"/>
    <m/>
    <m/>
    <m/>
    <m/>
    <m/>
    <m/>
    <m/>
    <m/>
    <m/>
    <m/>
  </r>
  <r>
    <n v="1743"/>
    <x v="3"/>
    <m/>
    <x v="3"/>
    <x v="14"/>
    <d v="2019-03-23T00:00:00"/>
    <d v="2019-03-23T00:00:00"/>
    <n v="-3.79"/>
    <n v="3.79"/>
    <m/>
    <s v="Ekoplaza Velperplein ARNHEM"/>
    <s v="UIT"/>
    <s v="BOODSCH"/>
    <s v="boodschappen"/>
    <m/>
    <m/>
    <m/>
    <m/>
    <m/>
    <m/>
    <m/>
    <m/>
    <m/>
    <m/>
  </r>
  <r>
    <n v="1744"/>
    <x v="3"/>
    <m/>
    <x v="3"/>
    <x v="14"/>
    <d v="2019-03-23T00:00:00"/>
    <d v="2019-03-23T00:00:00"/>
    <n v="-5.29"/>
    <n v="5.29"/>
    <m/>
    <s v="ALBERT HEIJN 1878 ARNHEM"/>
    <s v="UIT"/>
    <s v="BOODSCH"/>
    <s v="boodschappen"/>
    <m/>
    <m/>
    <m/>
    <m/>
    <m/>
    <m/>
    <m/>
    <m/>
    <m/>
    <m/>
  </r>
  <r>
    <n v="1747"/>
    <x v="3"/>
    <m/>
    <x v="3"/>
    <x v="14"/>
    <d v="2019-03-24T00:00:00"/>
    <d v="2019-03-24T00:00:00"/>
    <n v="-2.86"/>
    <n v="2.86"/>
    <m/>
    <s v="ALBERT HEIJN 1878 ARNHEM"/>
    <s v="UIT"/>
    <s v="BOODSCH"/>
    <s v="boodschappen"/>
    <m/>
    <m/>
    <m/>
    <m/>
    <m/>
    <m/>
    <m/>
    <m/>
    <m/>
    <m/>
  </r>
  <r>
    <n v="1748"/>
    <x v="3"/>
    <m/>
    <x v="3"/>
    <x v="14"/>
    <d v="2019-03-25T00:00:00"/>
    <d v="2019-03-25T00:00:00"/>
    <n v="-1.1200000000000001"/>
    <n v="1.1200000000000001"/>
    <m/>
    <s v="ALBERT HEIJN 1878 ARNHEM"/>
    <s v="UIT"/>
    <s v="BOODSCH"/>
    <s v="boodschappen"/>
    <m/>
    <m/>
    <m/>
    <m/>
    <m/>
    <m/>
    <m/>
    <m/>
    <m/>
    <m/>
  </r>
  <r>
    <n v="1751"/>
    <x v="3"/>
    <m/>
    <x v="3"/>
    <x v="14"/>
    <d v="2019-03-26T00:00:00"/>
    <d v="2019-03-26T00:00:00"/>
    <n v="-1.43"/>
    <n v="1.43"/>
    <m/>
    <s v="ALBERT HEIJN 1878 ARNHEM"/>
    <s v="UIT"/>
    <s v="BOODSCH"/>
    <s v="boodschappen"/>
    <m/>
    <m/>
    <m/>
    <m/>
    <m/>
    <m/>
    <m/>
    <m/>
    <m/>
    <m/>
  </r>
  <r>
    <n v="1754"/>
    <x v="3"/>
    <m/>
    <x v="3"/>
    <x v="14"/>
    <d v="2019-03-26T00:00:00"/>
    <d v="2019-03-26T00:00:00"/>
    <n v="0.89"/>
    <n v="0.89"/>
    <m/>
    <s v="ALBERT HEIJN 1878 ARNHEM"/>
    <s v="UIT"/>
    <s v="BOODSCH"/>
    <s v="boodschappen"/>
    <m/>
    <m/>
    <m/>
    <m/>
    <m/>
    <m/>
    <m/>
    <m/>
    <m/>
    <m/>
  </r>
  <r>
    <n v="1766"/>
    <x v="3"/>
    <m/>
    <x v="3"/>
    <x v="14"/>
    <d v="2019-03-27T00:00:00"/>
    <d v="2019-03-27T00:00:00"/>
    <n v="-3.5"/>
    <n v="3.5"/>
    <m/>
    <s v="Mimint ARNHEM"/>
    <s v="UIT"/>
    <s v="BOODSCH"/>
    <s v="boodschappen"/>
    <m/>
    <m/>
    <m/>
    <m/>
    <m/>
    <m/>
    <m/>
    <m/>
    <m/>
    <m/>
  </r>
  <r>
    <n v="1768"/>
    <x v="3"/>
    <m/>
    <x v="3"/>
    <x v="14"/>
    <d v="2019-03-27T00:00:00"/>
    <d v="2019-03-27T00:00:00"/>
    <n v="-3.91"/>
    <n v="3.91"/>
    <m/>
    <s v="ALBERT HEIJN 1878 ARNHEM"/>
    <s v="UIT"/>
    <s v="BOODSCH"/>
    <s v="boodschappen"/>
    <m/>
    <m/>
    <m/>
    <m/>
    <m/>
    <m/>
    <m/>
    <m/>
    <m/>
    <m/>
  </r>
  <r>
    <n v="1772"/>
    <x v="3"/>
    <m/>
    <x v="3"/>
    <x v="14"/>
    <d v="2019-03-29T00:00:00"/>
    <d v="2019-03-29T00:00:00"/>
    <n v="-2.87"/>
    <n v="2.87"/>
    <m/>
    <s v="ALBERT HEIJN 1878 ARNHEM"/>
    <s v="UIT"/>
    <s v="BOODSCH"/>
    <s v="boodschappen"/>
    <m/>
    <m/>
    <m/>
    <m/>
    <m/>
    <m/>
    <m/>
    <m/>
    <m/>
    <m/>
  </r>
  <r>
    <n v="1773"/>
    <x v="3"/>
    <m/>
    <x v="3"/>
    <x v="14"/>
    <d v="2019-03-29T00:00:00"/>
    <d v="2019-03-29T00:00:00"/>
    <n v="-20"/>
    <n v="20"/>
    <m/>
    <s v="ALBERT HEIJN 1878 ARNHEM"/>
    <s v="UIT"/>
    <s v="BOODSCH"/>
    <s v="boodschappen"/>
    <m/>
    <m/>
    <m/>
    <m/>
    <m/>
    <m/>
    <m/>
    <m/>
    <m/>
    <m/>
  </r>
  <r>
    <n v="1774"/>
    <x v="3"/>
    <m/>
    <x v="3"/>
    <x v="14"/>
    <d v="2019-03-29T00:00:00"/>
    <d v="2019-03-29T00:00:00"/>
    <n v="0.89"/>
    <n v="0.89"/>
    <m/>
    <s v="ALBERT HEIJN 1878 ARNHEM"/>
    <s v="UIT"/>
    <s v="BOODSCH"/>
    <s v="boodschappen"/>
    <m/>
    <m/>
    <m/>
    <m/>
    <m/>
    <m/>
    <m/>
    <m/>
    <m/>
    <m/>
  </r>
  <r>
    <n v="1776"/>
    <x v="3"/>
    <m/>
    <x v="3"/>
    <x v="53"/>
    <d v="2019-04-01T00:00:00"/>
    <d v="2019-04-01T00:00:00"/>
    <n v="-4.32"/>
    <n v="4.32"/>
    <m/>
    <s v="Lidl 593 Musselkanaa MUSSELKANAAL"/>
    <s v="UIT"/>
    <s v="BOODSCH"/>
    <s v="boodschappen"/>
    <m/>
    <m/>
    <m/>
    <m/>
    <m/>
    <m/>
    <m/>
    <m/>
    <m/>
    <m/>
  </r>
  <r>
    <n v="1784"/>
    <x v="3"/>
    <m/>
    <x v="3"/>
    <x v="53"/>
    <d v="2019-04-04T00:00:00"/>
    <d v="2019-04-04T00:00:00"/>
    <n v="-3.48"/>
    <n v="3.48"/>
    <m/>
    <s v="Coop 2113 MUSSELKANAAL"/>
    <s v="UIT"/>
    <s v="BOODSCH"/>
    <s v="boodschappen"/>
    <m/>
    <m/>
    <m/>
    <m/>
    <m/>
    <m/>
    <m/>
    <m/>
    <m/>
    <m/>
  </r>
  <r>
    <n v="1786"/>
    <x v="3"/>
    <m/>
    <x v="3"/>
    <x v="53"/>
    <d v="2019-04-05T00:00:00"/>
    <d v="2019-04-05T00:00:00"/>
    <n v="0.37"/>
    <n v="0.37"/>
    <m/>
    <s v="Albert Heijn 1122 STADSKANAAL"/>
    <s v="UIT"/>
    <s v="BOODSCH"/>
    <s v="boodschappen"/>
    <m/>
    <m/>
    <m/>
    <m/>
    <m/>
    <m/>
    <m/>
    <m/>
    <m/>
    <m/>
  </r>
  <r>
    <n v="1787"/>
    <x v="3"/>
    <m/>
    <x v="3"/>
    <x v="53"/>
    <d v="2019-04-07T00:00:00"/>
    <d v="2019-04-07T00:00:00"/>
    <n v="-3.3"/>
    <n v="3.3"/>
    <m/>
    <s v="Lidl 593 Musselkanaa MUSSELKANAAL"/>
    <s v="UIT"/>
    <s v="BOODSCH"/>
    <s v="boodschappen"/>
    <m/>
    <m/>
    <m/>
    <m/>
    <m/>
    <m/>
    <m/>
    <m/>
    <m/>
    <m/>
  </r>
  <r>
    <n v="1790"/>
    <x v="3"/>
    <m/>
    <x v="3"/>
    <x v="53"/>
    <d v="2019-04-11T00:00:00"/>
    <d v="2019-04-11T00:00:00"/>
    <n v="-33.700000000000003"/>
    <n v="33.700000000000003"/>
    <m/>
    <s v="EUROSPIN ACILIA ROMA ITA"/>
    <s v="UIT"/>
    <s v="BOODSCH"/>
    <s v="boodschappen"/>
    <m/>
    <m/>
    <m/>
    <m/>
    <m/>
    <m/>
    <m/>
    <m/>
    <m/>
    <m/>
  </r>
  <r>
    <n v="1791"/>
    <x v="3"/>
    <m/>
    <x v="3"/>
    <x v="53"/>
    <d v="2019-04-11T00:00:00"/>
    <d v="2019-04-11T00:00:00"/>
    <n v="-17.45"/>
    <n v="17.45"/>
    <m/>
    <s v="SUPERMERCATO DUE P 201 ROMA ITA"/>
    <s v="UIT"/>
    <s v="BOODSCH"/>
    <s v="boodschappen"/>
    <m/>
    <m/>
    <m/>
    <m/>
    <m/>
    <m/>
    <m/>
    <m/>
    <m/>
    <m/>
  </r>
  <r>
    <n v="1793"/>
    <x v="3"/>
    <m/>
    <x v="3"/>
    <x v="53"/>
    <d v="2019-04-13T00:00:00"/>
    <d v="2019-04-13T00:00:00"/>
    <n v="-4.7"/>
    <n v="4.7"/>
    <m/>
    <s v="SUPERMERCATO DUE P 201 ROMA ITA"/>
    <s v="UIT"/>
    <s v="BOODSCH"/>
    <s v="boodschappen"/>
    <m/>
    <m/>
    <m/>
    <m/>
    <m/>
    <m/>
    <m/>
    <m/>
    <m/>
    <m/>
  </r>
  <r>
    <n v="1794"/>
    <x v="3"/>
    <m/>
    <x v="3"/>
    <x v="53"/>
    <d v="2019-04-15T00:00:00"/>
    <d v="2019-04-15T00:00:00"/>
    <n v="-24.25"/>
    <n v="24.25"/>
    <m/>
    <s v="SUPERMERCATO DUE P 201 ROMA ITA"/>
    <s v="UIT"/>
    <s v="BOODSCH"/>
    <s v="boodschappen"/>
    <m/>
    <m/>
    <m/>
    <m/>
    <m/>
    <m/>
    <m/>
    <m/>
    <m/>
    <m/>
  </r>
  <r>
    <n v="1797"/>
    <x v="3"/>
    <m/>
    <x v="3"/>
    <x v="53"/>
    <d v="2019-04-18T00:00:00"/>
    <d v="2019-04-18T00:00:00"/>
    <n v="-3.8"/>
    <n v="3.8"/>
    <m/>
    <s v="SUPERMERCATO CONAD ROMA ITA"/>
    <s v="UIT"/>
    <s v="BOODSCH"/>
    <s v="boodschappen"/>
    <m/>
    <m/>
    <m/>
    <m/>
    <m/>
    <m/>
    <m/>
    <m/>
    <m/>
    <m/>
  </r>
  <r>
    <n v="1798"/>
    <x v="3"/>
    <m/>
    <x v="3"/>
    <x v="53"/>
    <d v="2019-04-20T00:00:00"/>
    <d v="2019-04-20T00:00:00"/>
    <n v="-30.33"/>
    <n v="30.33"/>
    <m/>
    <s v="EUROSPIN ACILIA ROMA ITA"/>
    <s v="UIT"/>
    <s v="BOODSCH"/>
    <s v="boodschappen"/>
    <m/>
    <m/>
    <m/>
    <m/>
    <m/>
    <m/>
    <m/>
    <m/>
    <m/>
    <m/>
  </r>
  <r>
    <n v="1801"/>
    <x v="3"/>
    <m/>
    <x v="3"/>
    <x v="53"/>
    <d v="2019-04-23T00:00:00"/>
    <d v="2019-04-23T00:00:00"/>
    <n v="-15.51"/>
    <n v="15.51"/>
    <m/>
    <s v="PAM SUPERSTORE ACILIA ITA"/>
    <s v="UIT"/>
    <s v="BOODSCH"/>
    <s v="boodschappen"/>
    <m/>
    <m/>
    <m/>
    <m/>
    <m/>
    <m/>
    <m/>
    <m/>
    <m/>
    <m/>
  </r>
  <r>
    <n v="1802"/>
    <x v="3"/>
    <m/>
    <x v="3"/>
    <x v="53"/>
    <d v="2019-04-24T00:00:00"/>
    <d v="2019-04-24T00:00:00"/>
    <n v="-5.25"/>
    <n v="5.25"/>
    <m/>
    <s v="SUPERMERCATO DUE P 201 ROMA ITA"/>
    <s v="UIT"/>
    <s v="BOODSCH"/>
    <s v="boodschappen"/>
    <m/>
    <m/>
    <m/>
    <m/>
    <m/>
    <m/>
    <m/>
    <m/>
    <m/>
    <m/>
  </r>
  <r>
    <n v="1807"/>
    <x v="3"/>
    <m/>
    <x v="3"/>
    <x v="54"/>
    <d v="2019-05-01T00:00:00"/>
    <d v="2019-05-01T00:00:00"/>
    <n v="-5.95"/>
    <n v="5.95"/>
    <m/>
    <s v="SUPERMERCATO DUE P 201 ROMA ITA"/>
    <s v="UIT"/>
    <s v="BOODSCH"/>
    <s v="boodschappen"/>
    <m/>
    <m/>
    <m/>
    <m/>
    <m/>
    <m/>
    <m/>
    <m/>
    <m/>
    <m/>
  </r>
  <r>
    <n v="1808"/>
    <x v="3"/>
    <m/>
    <x v="3"/>
    <x v="54"/>
    <d v="2019-05-01T00:00:00"/>
    <d v="2019-05-01T00:00:00"/>
    <n v="-13.84"/>
    <n v="13.84"/>
    <m/>
    <s v="boodsch 22/5"/>
    <s v="UIT"/>
    <s v="BOODSCH"/>
    <s v="boodschappen"/>
    <m/>
    <m/>
    <m/>
    <m/>
    <m/>
    <m/>
    <m/>
    <m/>
    <m/>
    <m/>
  </r>
  <r>
    <n v="1815"/>
    <x v="3"/>
    <m/>
    <x v="3"/>
    <x v="54"/>
    <d v="2019-05-08T00:00:00"/>
    <d v="2019-05-08T00:00:00"/>
    <n v="-25.12"/>
    <n v="25.12"/>
    <m/>
    <s v="EUROSPIN ACILIA ROMA ITA"/>
    <s v="UIT"/>
    <s v="BOODSCH"/>
    <s v="boodschappen"/>
    <m/>
    <m/>
    <m/>
    <m/>
    <m/>
    <m/>
    <m/>
    <m/>
    <m/>
    <m/>
  </r>
  <r>
    <n v="1816"/>
    <x v="3"/>
    <m/>
    <x v="3"/>
    <x v="54"/>
    <d v="2019-05-10T00:00:00"/>
    <d v="2019-05-10T00:00:00"/>
    <n v="-10.8"/>
    <n v="10.8"/>
    <m/>
    <s v="SUPERMERCATO DUE P 201 ROMA ITA"/>
    <s v="UIT"/>
    <s v="BOODSCH"/>
    <s v="boodschappen"/>
    <m/>
    <m/>
    <m/>
    <m/>
    <m/>
    <m/>
    <m/>
    <m/>
    <m/>
    <m/>
  </r>
  <r>
    <n v="1817"/>
    <x v="3"/>
    <m/>
    <x v="3"/>
    <x v="54"/>
    <d v="2019-05-13T00:00:00"/>
    <d v="2019-05-13T00:00:00"/>
    <n v="-12.65"/>
    <n v="12.65"/>
    <m/>
    <s v="SUPERMERCATO DUE P 201 ROMA ITA"/>
    <s v="UIT"/>
    <s v="BOODSCH"/>
    <s v="boodschappen"/>
    <m/>
    <m/>
    <m/>
    <m/>
    <m/>
    <m/>
    <m/>
    <m/>
    <m/>
    <m/>
  </r>
  <r>
    <n v="1821"/>
    <x v="3"/>
    <m/>
    <x v="3"/>
    <x v="54"/>
    <d v="2019-05-18T00:00:00"/>
    <d v="2019-05-18T00:00:00"/>
    <n v="-12.2"/>
    <n v="12.2"/>
    <m/>
    <s v="SUPERMERCATO DUE P 201 ROMA ITA"/>
    <s v="UIT"/>
    <s v="BOODSCH"/>
    <s v="boodschappen"/>
    <m/>
    <m/>
    <m/>
    <m/>
    <m/>
    <m/>
    <m/>
    <m/>
    <m/>
    <m/>
  </r>
  <r>
    <n v="1823"/>
    <x v="3"/>
    <m/>
    <x v="3"/>
    <x v="54"/>
    <d v="2019-05-22T00:00:00"/>
    <d v="2019-05-22T00:00:00"/>
    <n v="-23.84"/>
    <n v="23.84"/>
    <m/>
    <s v="SUPERMERCATO MA &amp; GI ROMA ITA"/>
    <s v="UIT"/>
    <s v="BOODSCH"/>
    <s v="boodschappen"/>
    <m/>
    <m/>
    <m/>
    <m/>
    <m/>
    <m/>
    <m/>
    <m/>
    <m/>
    <m/>
  </r>
  <r>
    <n v="1825"/>
    <x v="3"/>
    <m/>
    <x v="3"/>
    <x v="54"/>
    <d v="2019-05-24T00:00:00"/>
    <d v="2019-05-24T00:00:00"/>
    <n v="-3.82"/>
    <n v="3.82"/>
    <m/>
    <s v="ECV SHOPS SRL ROMA ITA"/>
    <s v="UIT"/>
    <s v="BOODSCH"/>
    <s v="boodschappen"/>
    <m/>
    <m/>
    <m/>
    <m/>
    <m/>
    <m/>
    <m/>
    <m/>
    <m/>
    <m/>
  </r>
  <r>
    <n v="1826"/>
    <x v="3"/>
    <m/>
    <x v="3"/>
    <x v="54"/>
    <d v="2019-05-24T00:00:00"/>
    <d v="2019-05-24T00:00:00"/>
    <n v="-4.2"/>
    <n v="4.2"/>
    <m/>
    <s v="SUPERMERCATO DUE P 201 ROMA ITA"/>
    <s v="UIT"/>
    <s v="BOODSCH"/>
    <s v="boodschappen"/>
    <m/>
    <m/>
    <m/>
    <m/>
    <m/>
    <m/>
    <m/>
    <m/>
    <m/>
    <m/>
  </r>
  <r>
    <n v="1827"/>
    <x v="3"/>
    <m/>
    <x v="3"/>
    <x v="54"/>
    <d v="2019-05-28T00:00:00"/>
    <d v="2019-05-28T00:00:00"/>
    <n v="-6.8"/>
    <n v="6.8"/>
    <m/>
    <s v="SUPERMERCATO DUE P 201 ROMA ITA"/>
    <s v="UIT"/>
    <s v="BOODSCH"/>
    <s v="boodschappen"/>
    <m/>
    <m/>
    <m/>
    <m/>
    <m/>
    <m/>
    <m/>
    <m/>
    <m/>
    <m/>
  </r>
  <r>
    <n v="1829"/>
    <x v="3"/>
    <m/>
    <x v="3"/>
    <x v="54"/>
    <d v="2019-05-31T00:00:00"/>
    <d v="2019-05-31T00:00:00"/>
    <n v="-22.15"/>
    <n v="22.15"/>
    <m/>
    <s v="SUPERMERCATO DUE P 201 ROMA ITA"/>
    <s v="UIT"/>
    <s v="BOODSCH"/>
    <s v="boodschappen"/>
    <m/>
    <m/>
    <m/>
    <m/>
    <m/>
    <m/>
    <m/>
    <m/>
    <m/>
    <m/>
  </r>
  <r>
    <n v="1830"/>
    <x v="3"/>
    <m/>
    <x v="3"/>
    <x v="55"/>
    <d v="2019-06-01T00:00:00"/>
    <d v="2019-06-01T00:00:00"/>
    <n v="-13.65"/>
    <n v="13.65"/>
    <m/>
    <s v="boodsch 13/6"/>
    <s v="UIT"/>
    <s v="BOODSCH"/>
    <s v="boodschappen"/>
    <m/>
    <m/>
    <m/>
    <m/>
    <m/>
    <m/>
    <m/>
    <m/>
    <m/>
    <m/>
  </r>
  <r>
    <n v="1836"/>
    <x v="3"/>
    <m/>
    <x v="3"/>
    <x v="55"/>
    <d v="2019-06-05T00:00:00"/>
    <d v="2019-06-05T00:00:00"/>
    <n v="-19.72"/>
    <n v="19.72"/>
    <m/>
    <s v="EUROSPIN ACILIA ROMA ITA"/>
    <s v="UIT"/>
    <s v="BOODSCH"/>
    <s v="boodschappen"/>
    <m/>
    <m/>
    <m/>
    <m/>
    <m/>
    <m/>
    <m/>
    <m/>
    <m/>
    <m/>
  </r>
  <r>
    <n v="1838"/>
    <x v="3"/>
    <m/>
    <x v="3"/>
    <x v="55"/>
    <d v="2019-06-10T00:00:00"/>
    <d v="2019-06-10T00:00:00"/>
    <n v="-6.7"/>
    <n v="6.7"/>
    <m/>
    <s v="SUPERMERCATO DUE P 201 ROMA ITA"/>
    <s v="UIT"/>
    <s v="BOODSCH"/>
    <s v="boodschappen"/>
    <m/>
    <m/>
    <m/>
    <m/>
    <m/>
    <m/>
    <m/>
    <m/>
    <m/>
    <m/>
  </r>
  <r>
    <n v="1840"/>
    <x v="3"/>
    <m/>
    <x v="3"/>
    <x v="55"/>
    <d v="2019-06-13T00:00:00"/>
    <d v="2019-06-13T00:00:00"/>
    <n v="-13.65"/>
    <n v="13.65"/>
    <m/>
    <s v="SUPERMERCATO DUE P 201 ROMA ITA"/>
    <s v="UIT"/>
    <s v="BOODSCH"/>
    <s v="boodschappen"/>
    <m/>
    <m/>
    <m/>
    <m/>
    <m/>
    <m/>
    <m/>
    <m/>
    <m/>
    <m/>
  </r>
  <r>
    <n v="1843"/>
    <x v="3"/>
    <m/>
    <x v="3"/>
    <x v="55"/>
    <d v="2019-06-19T00:00:00"/>
    <d v="2019-06-19T00:00:00"/>
    <n v="-20.5"/>
    <n v="20.5"/>
    <m/>
    <s v="SUPERMERCATO DUE P 201 ROMA ITA"/>
    <s v="UIT"/>
    <s v="BOODSCH"/>
    <s v="boodschappen"/>
    <m/>
    <m/>
    <m/>
    <m/>
    <m/>
    <m/>
    <m/>
    <m/>
    <m/>
    <m/>
  </r>
  <r>
    <n v="1845"/>
    <x v="3"/>
    <m/>
    <x v="3"/>
    <x v="55"/>
    <d v="2019-06-24T00:00:00"/>
    <d v="2019-06-24T00:00:00"/>
    <n v="-17.7"/>
    <n v="17.7"/>
    <m/>
    <s v="SUPERMERCATO DUE P 201 ROMA ITA"/>
    <s v="UIT"/>
    <s v="BOODSCH"/>
    <s v="boodschappen"/>
    <m/>
    <m/>
    <m/>
    <m/>
    <m/>
    <m/>
    <m/>
    <m/>
    <m/>
    <m/>
  </r>
  <r>
    <n v="1846"/>
    <x v="3"/>
    <m/>
    <x v="3"/>
    <x v="38"/>
    <d v="2019-07-01T00:00:00"/>
    <d v="2019-07-01T00:00:00"/>
    <n v="-27.13"/>
    <n v="27.13"/>
    <m/>
    <s v="EUROSPIN ACILIA ROMA ITA"/>
    <s v="UIT"/>
    <s v="BOODSCH"/>
    <s v="boodschappen"/>
    <m/>
    <m/>
    <m/>
    <m/>
    <m/>
    <m/>
    <m/>
    <m/>
    <m/>
    <m/>
  </r>
  <r>
    <n v="1847"/>
    <x v="3"/>
    <m/>
    <x v="3"/>
    <x v="38"/>
    <d v="2019-07-01T00:00:00"/>
    <d v="2019-07-01T00:00:00"/>
    <n v="-10"/>
    <n v="10"/>
    <m/>
    <s v="SUPERMERCATO DUE P 201 ROMA ITA"/>
    <s v="UIT"/>
    <s v="BOODSCH"/>
    <s v="boodschappen"/>
    <m/>
    <m/>
    <m/>
    <m/>
    <m/>
    <m/>
    <m/>
    <m/>
    <m/>
    <m/>
  </r>
  <r>
    <n v="1848"/>
    <x v="3"/>
    <m/>
    <x v="3"/>
    <x v="38"/>
    <d v="2019-07-01T00:00:00"/>
    <d v="2019-07-01T00:00:00"/>
    <n v="-17.55"/>
    <n v="17.55"/>
    <m/>
    <s v="boodsch 31/7"/>
    <s v="UIT"/>
    <s v="BOODSCH"/>
    <s v="boodschappen"/>
    <m/>
    <m/>
    <m/>
    <m/>
    <m/>
    <m/>
    <m/>
    <m/>
    <m/>
    <m/>
  </r>
  <r>
    <n v="1851"/>
    <x v="3"/>
    <m/>
    <x v="3"/>
    <x v="38"/>
    <d v="2019-07-02T00:00:00"/>
    <d v="2019-07-02T00:00:00"/>
    <n v="-15.35"/>
    <n v="15.35"/>
    <m/>
    <s v="SUPERMERCATO DUE P 201 ROMA ITA"/>
    <s v="UIT"/>
    <s v="BOODSCH"/>
    <s v="boodschappen"/>
    <m/>
    <m/>
    <m/>
    <m/>
    <m/>
    <m/>
    <m/>
    <m/>
    <m/>
    <m/>
  </r>
  <r>
    <n v="1854"/>
    <x v="3"/>
    <m/>
    <x v="3"/>
    <x v="38"/>
    <d v="2019-07-05T00:00:00"/>
    <d v="2019-07-05T00:00:00"/>
    <n v="-1.72"/>
    <n v="1.72"/>
    <m/>
    <s v="PAM SUPERSTORE ACILIA ITA"/>
    <s v="UIT"/>
    <s v="BOODSCH"/>
    <s v="boodschappen"/>
    <m/>
    <m/>
    <m/>
    <m/>
    <m/>
    <m/>
    <m/>
    <m/>
    <m/>
    <m/>
  </r>
  <r>
    <n v="1855"/>
    <x v="3"/>
    <m/>
    <x v="3"/>
    <x v="38"/>
    <d v="2019-07-08T00:00:00"/>
    <d v="2019-07-08T00:00:00"/>
    <n v="-14.5"/>
    <n v="14.5"/>
    <m/>
    <s v="SUPERMERCATO DUE P 201 ROMA ITA"/>
    <s v="UIT"/>
    <s v="BOODSCH"/>
    <s v="boodschappen"/>
    <m/>
    <m/>
    <m/>
    <m/>
    <m/>
    <m/>
    <m/>
    <m/>
    <m/>
    <m/>
  </r>
  <r>
    <n v="1859"/>
    <x v="3"/>
    <m/>
    <x v="3"/>
    <x v="38"/>
    <d v="2019-07-17T00:00:00"/>
    <d v="2019-07-17T00:00:00"/>
    <n v="-27.1"/>
    <n v="27.1"/>
    <m/>
    <s v="EUROSPIN ACILIA ROMA ITA"/>
    <s v="UIT"/>
    <s v="BOODSCH"/>
    <s v="boodschappen"/>
    <m/>
    <m/>
    <m/>
    <m/>
    <m/>
    <m/>
    <m/>
    <m/>
    <m/>
    <m/>
  </r>
  <r>
    <n v="1861"/>
    <x v="3"/>
    <m/>
    <x v="3"/>
    <x v="38"/>
    <d v="2019-07-19T00:00:00"/>
    <d v="2019-07-19T00:00:00"/>
    <n v="-13.6"/>
    <n v="13.6"/>
    <m/>
    <s v="SUPERMERCATO DUE P 201 ROMA ITA"/>
    <s v="UIT"/>
    <s v="BOODSCH"/>
    <s v="boodschappen"/>
    <m/>
    <m/>
    <m/>
    <m/>
    <m/>
    <m/>
    <m/>
    <m/>
    <m/>
    <m/>
  </r>
  <r>
    <n v="1866"/>
    <x v="3"/>
    <m/>
    <x v="3"/>
    <x v="38"/>
    <d v="2019-07-25T00:00:00"/>
    <d v="2019-07-25T00:00:00"/>
    <n v="-13.8"/>
    <n v="13.8"/>
    <m/>
    <s v="SUPERMERCATO DUE P 201 ROMA ITA"/>
    <s v="UIT"/>
    <s v="BOODSCH"/>
    <s v="boodschappen"/>
    <m/>
    <m/>
    <m/>
    <m/>
    <m/>
    <m/>
    <m/>
    <m/>
    <m/>
    <m/>
  </r>
  <r>
    <n v="1867"/>
    <x v="3"/>
    <m/>
    <x v="3"/>
    <x v="38"/>
    <d v="2019-07-31T00:00:00"/>
    <d v="2019-07-31T00:00:00"/>
    <n v="-3.38"/>
    <n v="3.38"/>
    <m/>
    <s v="ABN AMRO Bank NV Riccardo boodsch"/>
    <s v="UIT"/>
    <s v="BOODSCH"/>
    <s v="boodschappen"/>
    <m/>
    <m/>
    <m/>
    <m/>
    <m/>
    <m/>
    <m/>
    <m/>
    <m/>
    <m/>
  </r>
  <r>
    <n v="1873"/>
    <x v="3"/>
    <m/>
    <x v="3"/>
    <x v="41"/>
    <d v="2019-08-05T00:00:00"/>
    <d v="2019-08-05T00:00:00"/>
    <n v="-16.350000000000001"/>
    <n v="16.350000000000001"/>
    <m/>
    <s v="SUPERMERCATO DUE P 201 ROMA ITA"/>
    <s v="UIT"/>
    <s v="BOODSCH"/>
    <s v="boodschappen"/>
    <m/>
    <m/>
    <m/>
    <m/>
    <m/>
    <m/>
    <m/>
    <m/>
    <m/>
    <m/>
  </r>
  <r>
    <n v="1876"/>
    <x v="3"/>
    <m/>
    <x v="3"/>
    <x v="41"/>
    <d v="2019-08-12T00:00:00"/>
    <d v="2019-08-12T00:00:00"/>
    <n v="-27.07"/>
    <n v="27.07"/>
    <m/>
    <s v="SUPERMERCATO MA &amp; GI ROMA ITA"/>
    <s v="UIT"/>
    <s v="BOODSCH"/>
    <s v="boodschappen"/>
    <m/>
    <m/>
    <m/>
    <m/>
    <m/>
    <m/>
    <m/>
    <m/>
    <m/>
    <m/>
  </r>
  <r>
    <n v="1877"/>
    <x v="3"/>
    <m/>
    <x v="3"/>
    <x v="41"/>
    <d v="2019-08-12T00:00:00"/>
    <d v="2019-08-12T00:00:00"/>
    <n v="-6.55"/>
    <n v="6.55"/>
    <m/>
    <s v="SUPERMERCATO DUE P 201 ROMA ITA"/>
    <s v="UIT"/>
    <s v="BOODSCH"/>
    <s v="boodschappen"/>
    <m/>
    <m/>
    <m/>
    <m/>
    <m/>
    <m/>
    <m/>
    <m/>
    <m/>
    <m/>
  </r>
  <r>
    <n v="1880"/>
    <x v="3"/>
    <m/>
    <x v="3"/>
    <x v="41"/>
    <d v="2019-08-17T00:00:00"/>
    <d v="2019-08-17T00:00:00"/>
    <n v="-20.8"/>
    <n v="20.8"/>
    <m/>
    <s v="SUPERMERCATO DUE P 201 ROMA ITA"/>
    <s v="UIT"/>
    <s v="BOODSCH"/>
    <s v="boodschappen"/>
    <m/>
    <m/>
    <m/>
    <m/>
    <m/>
    <m/>
    <m/>
    <m/>
    <m/>
    <m/>
  </r>
  <r>
    <n v="1883"/>
    <x v="3"/>
    <m/>
    <x v="3"/>
    <x v="41"/>
    <d v="2019-08-23T00:00:00"/>
    <d v="2019-08-23T00:00:00"/>
    <n v="-14.75"/>
    <n v="14.75"/>
    <m/>
    <s v="SUPERMERCATO DUE P 201 ROMA ITA"/>
    <s v="UIT"/>
    <s v="BOODSCH"/>
    <s v="boodschappen"/>
    <m/>
    <m/>
    <m/>
    <m/>
    <m/>
    <m/>
    <m/>
    <m/>
    <m/>
    <m/>
  </r>
  <r>
    <n v="1884"/>
    <x v="3"/>
    <m/>
    <x v="3"/>
    <x v="41"/>
    <d v="2019-08-29T00:00:00"/>
    <d v="2019-08-29T00:00:00"/>
    <n v="-18.3"/>
    <n v="18.3"/>
    <m/>
    <s v="SUPERMERCATO DUE P 201 ROMA ITA"/>
    <s v="UIT"/>
    <s v="BOODSCH"/>
    <s v="boodschappen"/>
    <m/>
    <m/>
    <m/>
    <m/>
    <m/>
    <m/>
    <m/>
    <m/>
    <m/>
    <m/>
  </r>
  <r>
    <n v="1885"/>
    <x v="3"/>
    <m/>
    <x v="3"/>
    <x v="41"/>
    <d v="2019-08-29T00:00:00"/>
    <d v="2019-08-29T00:00:00"/>
    <n v="-3.68"/>
    <n v="3.68"/>
    <m/>
    <s v="CARREFOUR MARKET ROMA ROMA ITA"/>
    <s v="UIT"/>
    <s v="BOODSCH"/>
    <s v="boodschappen"/>
    <m/>
    <m/>
    <m/>
    <m/>
    <m/>
    <m/>
    <m/>
    <m/>
    <m/>
    <m/>
  </r>
  <r>
    <n v="1890"/>
    <x v="3"/>
    <m/>
    <x v="3"/>
    <x v="18"/>
    <d v="2019-09-04T00:00:00"/>
    <d v="2019-09-04T00:00:00"/>
    <n v="-4.55"/>
    <n v="4.55"/>
    <m/>
    <s v="SUPERMERCATO DUE P 201 ROMA ITA"/>
    <s v="UIT"/>
    <s v="BOODSCH"/>
    <s v="boodschappen"/>
    <m/>
    <m/>
    <m/>
    <m/>
    <m/>
    <m/>
    <m/>
    <m/>
    <m/>
    <m/>
  </r>
  <r>
    <n v="1891"/>
    <x v="3"/>
    <m/>
    <x v="3"/>
    <x v="18"/>
    <d v="2019-09-07T00:00:00"/>
    <d v="2019-09-07T00:00:00"/>
    <n v="-37.15"/>
    <n v="37.15"/>
    <m/>
    <s v="MA &amp; GI SRL ROMA ITA"/>
    <s v="UIT"/>
    <s v="BOODSCH"/>
    <s v="boodschappen"/>
    <m/>
    <m/>
    <m/>
    <m/>
    <m/>
    <m/>
    <m/>
    <m/>
    <m/>
    <m/>
  </r>
  <r>
    <n v="1893"/>
    <x v="3"/>
    <m/>
    <x v="3"/>
    <x v="18"/>
    <d v="2019-09-12T00:00:00"/>
    <d v="2019-09-12T00:00:00"/>
    <n v="-11.9"/>
    <n v="11.9"/>
    <m/>
    <s v="SUPERMERCATO DUE P 201 ROMA ITA"/>
    <s v="UIT"/>
    <s v="BOODSCH"/>
    <s v="boodschappen"/>
    <m/>
    <m/>
    <m/>
    <m/>
    <m/>
    <m/>
    <m/>
    <m/>
    <m/>
    <m/>
  </r>
  <r>
    <n v="1895"/>
    <x v="3"/>
    <m/>
    <x v="3"/>
    <x v="18"/>
    <d v="2019-09-16T00:00:00"/>
    <d v="2019-09-16T00:00:00"/>
    <n v="-13.9"/>
    <n v="13.9"/>
    <m/>
    <s v="SUPERMERCATO DUE P 201 ROMA ITA"/>
    <s v="UIT"/>
    <s v="BOODSCH"/>
    <s v="boodschappen"/>
    <m/>
    <m/>
    <m/>
    <m/>
    <m/>
    <m/>
    <m/>
    <m/>
    <m/>
    <m/>
  </r>
  <r>
    <n v="1900"/>
    <x v="3"/>
    <m/>
    <x v="3"/>
    <x v="18"/>
    <d v="2019-09-22T00:00:00"/>
    <d v="2019-09-22T00:00:00"/>
    <n v="-3.35"/>
    <n v="3.35"/>
    <m/>
    <s v="SUPERMERCATO DUE P 201 ROMA ITA"/>
    <s v="UIT"/>
    <s v="BOODSCH"/>
    <s v="boodschappen"/>
    <m/>
    <m/>
    <m/>
    <m/>
    <m/>
    <m/>
    <m/>
    <m/>
    <m/>
    <m/>
  </r>
  <r>
    <n v="1902"/>
    <x v="3"/>
    <m/>
    <x v="3"/>
    <x v="18"/>
    <d v="2019-09-25T00:00:00"/>
    <d v="2019-09-25T00:00:00"/>
    <n v="-3.65"/>
    <n v="3.65"/>
    <m/>
    <s v="SUPERMERCATO DUE P 201 ROMA ITA"/>
    <s v="UIT"/>
    <s v="BOODSCH"/>
    <s v="boodschappen"/>
    <m/>
    <m/>
    <m/>
    <m/>
    <m/>
    <m/>
    <m/>
    <m/>
    <m/>
    <m/>
  </r>
  <r>
    <n v="1904"/>
    <x v="3"/>
    <m/>
    <x v="3"/>
    <x v="18"/>
    <d v="2019-09-28T00:00:00"/>
    <d v="2019-09-28T00:00:00"/>
    <n v="-3.95"/>
    <n v="3.95"/>
    <m/>
    <s v="SUPERMERCATO DUE P 201 ROMA ITA"/>
    <s v="UIT"/>
    <s v="BOODSCH"/>
    <s v="boodschappen"/>
    <m/>
    <m/>
    <m/>
    <m/>
    <m/>
    <m/>
    <m/>
    <m/>
    <m/>
    <m/>
  </r>
  <r>
    <n v="1911"/>
    <x v="3"/>
    <m/>
    <x v="3"/>
    <x v="39"/>
    <d v="2019-10-06T00:00:00"/>
    <d v="2019-10-06T00:00:00"/>
    <n v="-2.79"/>
    <n v="2.79"/>
    <m/>
    <s v="Coop 2113 MUSSELKANAAL"/>
    <s v="UIT"/>
    <s v="BOODSCH"/>
    <s v="boodschappen"/>
    <m/>
    <m/>
    <m/>
    <m/>
    <m/>
    <m/>
    <m/>
    <m/>
    <m/>
    <m/>
  </r>
  <r>
    <n v="1914"/>
    <x v="3"/>
    <m/>
    <x v="3"/>
    <x v="39"/>
    <d v="2019-10-09T00:00:00"/>
    <d v="2019-10-09T00:00:00"/>
    <n v="-6.42"/>
    <n v="6.42"/>
    <m/>
    <s v="Albert Heijn 1122 STADSKANAAL"/>
    <s v="UIT"/>
    <s v="BOODSCH"/>
    <s v="boodschappen"/>
    <m/>
    <m/>
    <m/>
    <m/>
    <m/>
    <m/>
    <m/>
    <m/>
    <m/>
    <m/>
  </r>
  <r>
    <n v="1915"/>
    <x v="3"/>
    <m/>
    <x v="3"/>
    <x v="39"/>
    <d v="2019-10-09T00:00:00"/>
    <d v="2019-10-09T00:00:00"/>
    <n v="-1.79"/>
    <n v="1.79"/>
    <m/>
    <s v="Jumbo Froukje Sloot STADSKANAAL"/>
    <s v="UIT"/>
    <s v="BOODSCH"/>
    <s v="boodschappen"/>
    <m/>
    <m/>
    <m/>
    <m/>
    <m/>
    <m/>
    <m/>
    <m/>
    <m/>
    <m/>
  </r>
  <r>
    <n v="1916"/>
    <x v="3"/>
    <m/>
    <x v="3"/>
    <x v="39"/>
    <d v="2019-10-11T00:00:00"/>
    <d v="2019-10-11T00:00:00"/>
    <n v="-4.5"/>
    <n v="4.5"/>
    <m/>
    <s v="Albert Heijn 1122 STADSKANAAL"/>
    <s v="UIT"/>
    <s v="BOODSCH"/>
    <s v="boodschappen"/>
    <m/>
    <m/>
    <m/>
    <m/>
    <m/>
    <m/>
    <m/>
    <m/>
    <m/>
    <m/>
  </r>
  <r>
    <n v="1917"/>
    <x v="3"/>
    <m/>
    <x v="3"/>
    <x v="39"/>
    <d v="2019-10-11T00:00:00"/>
    <d v="2019-10-11T00:00:00"/>
    <n v="-5.58"/>
    <n v="5.58"/>
    <m/>
    <s v="Lidl 593 Musselkanaa MUSSELKANAAL"/>
    <s v="UIT"/>
    <s v="BOODSCH"/>
    <s v="boodschappen"/>
    <m/>
    <m/>
    <m/>
    <m/>
    <m/>
    <m/>
    <m/>
    <m/>
    <m/>
    <m/>
  </r>
  <r>
    <n v="1919"/>
    <x v="3"/>
    <m/>
    <x v="3"/>
    <x v="39"/>
    <d v="2019-10-13T00:00:00"/>
    <d v="2019-10-13T00:00:00"/>
    <n v="-20.14"/>
    <n v="20.14"/>
    <m/>
    <s v="ALBERT HEIJN 1878 ARNHEM"/>
    <s v="UIT"/>
    <s v="BOODSCH"/>
    <s v="boodschappen"/>
    <m/>
    <m/>
    <m/>
    <m/>
    <m/>
    <m/>
    <m/>
    <m/>
    <m/>
    <m/>
  </r>
  <r>
    <n v="1920"/>
    <x v="3"/>
    <m/>
    <x v="3"/>
    <x v="39"/>
    <d v="2019-10-13T00:00:00"/>
    <d v="2019-10-13T00:00:00"/>
    <n v="-10.55"/>
    <n v="10.55"/>
    <m/>
    <s v="ALBERT HEIJN 1878 ARNHEM"/>
    <s v="UIT"/>
    <s v="BOODSCH"/>
    <s v="boodschappen"/>
    <m/>
    <m/>
    <m/>
    <m/>
    <m/>
    <m/>
    <m/>
    <m/>
    <m/>
    <m/>
  </r>
  <r>
    <n v="1923"/>
    <x v="3"/>
    <m/>
    <x v="3"/>
    <x v="39"/>
    <d v="2019-10-14T00:00:00"/>
    <d v="2019-10-14T00:00:00"/>
    <n v="-7.11"/>
    <n v="7.11"/>
    <m/>
    <s v="ALBERT HEIJN 1878 ARNHEM"/>
    <s v="UIT"/>
    <s v="BOODSCH"/>
    <s v="boodschappen"/>
    <m/>
    <m/>
    <m/>
    <m/>
    <m/>
    <m/>
    <m/>
    <m/>
    <m/>
    <m/>
  </r>
  <r>
    <n v="1925"/>
    <x v="3"/>
    <m/>
    <x v="3"/>
    <x v="39"/>
    <d v="2019-10-15T00:00:00"/>
    <d v="2019-10-15T00:00:00"/>
    <n v="-2.68"/>
    <n v="2.68"/>
    <m/>
    <s v="Plus Musiskwartier ARNHEM"/>
    <s v="UIT"/>
    <s v="BOODSCH"/>
    <s v="boodschappen"/>
    <m/>
    <m/>
    <m/>
    <m/>
    <m/>
    <m/>
    <m/>
    <m/>
    <m/>
    <m/>
  </r>
  <r>
    <n v="1926"/>
    <x v="3"/>
    <m/>
    <x v="3"/>
    <x v="39"/>
    <d v="2019-10-15T00:00:00"/>
    <d v="2019-10-15T00:00:00"/>
    <n v="-4.09"/>
    <n v="4.09"/>
    <m/>
    <s v="Holland &amp; Barrett ARNHEM"/>
    <s v="UIT"/>
    <s v="BOODSCH"/>
    <s v="boodschappen"/>
    <m/>
    <m/>
    <m/>
    <m/>
    <m/>
    <m/>
    <m/>
    <m/>
    <m/>
    <m/>
  </r>
  <r>
    <n v="1932"/>
    <x v="3"/>
    <m/>
    <x v="3"/>
    <x v="39"/>
    <d v="2019-10-17T00:00:00"/>
    <d v="2019-10-17T00:00:00"/>
    <n v="-3.87"/>
    <n v="3.87"/>
    <m/>
    <s v="ALBERT HEIJN 1878 ARNHEM"/>
    <s v="UIT"/>
    <s v="BOODSCH"/>
    <s v="boodschappen"/>
    <m/>
    <m/>
    <m/>
    <m/>
    <m/>
    <m/>
    <m/>
    <m/>
    <m/>
    <m/>
  </r>
  <r>
    <n v="1934"/>
    <x v="3"/>
    <m/>
    <x v="3"/>
    <x v="39"/>
    <d v="2019-10-18T00:00:00"/>
    <d v="2019-10-18T00:00:00"/>
    <n v="-13.23"/>
    <n v="13.23"/>
    <m/>
    <s v="ALBERT HEIJN 1878 ARNHEM"/>
    <s v="UIT"/>
    <s v="BOODSCH"/>
    <s v="boodschappen"/>
    <m/>
    <m/>
    <m/>
    <m/>
    <m/>
    <m/>
    <m/>
    <m/>
    <m/>
    <m/>
  </r>
  <r>
    <n v="1938"/>
    <x v="3"/>
    <m/>
    <x v="3"/>
    <x v="39"/>
    <d v="2019-10-20T00:00:00"/>
    <d v="2019-10-20T00:00:00"/>
    <n v="-2.36"/>
    <n v="2.36"/>
    <m/>
    <s v="ALBERT HEIJN 1878 ARNHEM"/>
    <s v="UIT"/>
    <s v="BOODSCH"/>
    <s v="boodschappen"/>
    <m/>
    <m/>
    <m/>
    <m/>
    <m/>
    <m/>
    <m/>
    <m/>
    <m/>
    <m/>
  </r>
  <r>
    <n v="1942"/>
    <x v="3"/>
    <m/>
    <x v="3"/>
    <x v="39"/>
    <d v="2019-10-21T00:00:00"/>
    <d v="2019-10-21T00:00:00"/>
    <n v="-2.7"/>
    <n v="2.7"/>
    <m/>
    <s v="Mimint ARNHEM"/>
    <s v="UIT"/>
    <s v="BOODSCH"/>
    <s v="boodschappen"/>
    <m/>
    <m/>
    <m/>
    <m/>
    <m/>
    <m/>
    <m/>
    <m/>
    <m/>
    <m/>
  </r>
  <r>
    <n v="1944"/>
    <x v="3"/>
    <m/>
    <x v="3"/>
    <x v="39"/>
    <d v="2019-10-21T00:00:00"/>
    <d v="2019-10-21T00:00:00"/>
    <n v="-9.43"/>
    <n v="9.43"/>
    <m/>
    <s v="ALBERT HEIJN 1878 ARNHEM"/>
    <s v="UIT"/>
    <s v="BOODSCH"/>
    <s v="boodschappen"/>
    <m/>
    <m/>
    <m/>
    <m/>
    <m/>
    <m/>
    <m/>
    <m/>
    <m/>
    <m/>
  </r>
  <r>
    <n v="1945"/>
    <x v="3"/>
    <m/>
    <x v="3"/>
    <x v="39"/>
    <d v="2019-10-21T00:00:00"/>
    <d v="2019-10-21T00:00:00"/>
    <n v="-1.77"/>
    <n v="1.77"/>
    <m/>
    <s v="ALBERT HEIJN 1878 ARNHEM"/>
    <s v="UIT"/>
    <s v="BOODSCH"/>
    <s v="boodschappen"/>
    <m/>
    <m/>
    <m/>
    <m/>
    <m/>
    <m/>
    <m/>
    <m/>
    <m/>
    <m/>
  </r>
  <r>
    <n v="1954"/>
    <x v="3"/>
    <m/>
    <x v="3"/>
    <x v="39"/>
    <d v="2019-10-23T00:00:00"/>
    <d v="2019-10-23T00:00:00"/>
    <n v="-3.29"/>
    <n v="3.29"/>
    <m/>
    <s v="ALBERT HEIJN 1101 ARNHEM"/>
    <s v="UIT"/>
    <s v="BOODSCH"/>
    <s v="boodschappen"/>
    <m/>
    <m/>
    <m/>
    <m/>
    <m/>
    <m/>
    <m/>
    <m/>
    <m/>
    <m/>
  </r>
  <r>
    <n v="1958"/>
    <x v="3"/>
    <m/>
    <x v="3"/>
    <x v="39"/>
    <d v="2019-10-24T00:00:00"/>
    <d v="2019-10-24T00:00:00"/>
    <n v="-3.25"/>
    <n v="3.25"/>
    <m/>
    <s v="Monti Bar ARNHEM"/>
    <s v="UIT"/>
    <s v="BOODSCH"/>
    <s v="boodschappen"/>
    <m/>
    <m/>
    <m/>
    <m/>
    <m/>
    <m/>
    <m/>
    <m/>
    <m/>
    <m/>
  </r>
  <r>
    <n v="1959"/>
    <x v="3"/>
    <m/>
    <x v="3"/>
    <x v="39"/>
    <d v="2019-10-24T00:00:00"/>
    <d v="2019-10-24T00:00:00"/>
    <n v="-8.52"/>
    <n v="8.52"/>
    <m/>
    <s v="ALBERT HEIJN 1878 ARNHEM"/>
    <s v="UIT"/>
    <s v="BOODSCH"/>
    <s v="boodschappen"/>
    <m/>
    <m/>
    <m/>
    <m/>
    <m/>
    <m/>
    <m/>
    <m/>
    <m/>
    <m/>
  </r>
  <r>
    <n v="1967"/>
    <x v="3"/>
    <m/>
    <x v="3"/>
    <x v="39"/>
    <d v="2019-10-26T00:00:00"/>
    <d v="2019-10-26T00:00:00"/>
    <n v="-4.9800000000000004"/>
    <n v="4.9800000000000004"/>
    <m/>
    <s v="ALBERT HEIJN 1878 ARNHEM"/>
    <s v="UIT"/>
    <s v="BOODSCH"/>
    <s v="boodschappen"/>
    <m/>
    <m/>
    <m/>
    <m/>
    <m/>
    <m/>
    <m/>
    <m/>
    <m/>
    <m/>
  </r>
  <r>
    <n v="1974"/>
    <x v="3"/>
    <m/>
    <x v="3"/>
    <x v="39"/>
    <d v="2019-10-29T00:00:00"/>
    <d v="2019-10-29T00:00:00"/>
    <n v="-3.09"/>
    <n v="3.09"/>
    <m/>
    <s v="Albert Heijn 1397 ARNHEM"/>
    <s v="UIT"/>
    <s v="BOODSCH"/>
    <s v="boodschappen"/>
    <m/>
    <m/>
    <m/>
    <m/>
    <m/>
    <m/>
    <m/>
    <m/>
    <m/>
    <m/>
  </r>
  <r>
    <n v="1975"/>
    <x v="3"/>
    <m/>
    <x v="3"/>
    <x v="39"/>
    <d v="2019-10-29T00:00:00"/>
    <d v="2019-10-29T00:00:00"/>
    <n v="-2.9"/>
    <n v="2.9"/>
    <m/>
    <s v="Mimint ARNHEM"/>
    <s v="UIT"/>
    <s v="BOODSCH"/>
    <s v="boodschappen"/>
    <m/>
    <m/>
    <m/>
    <m/>
    <m/>
    <m/>
    <m/>
    <m/>
    <m/>
    <m/>
  </r>
  <r>
    <n v="1976"/>
    <x v="3"/>
    <m/>
    <x v="3"/>
    <x v="39"/>
    <d v="2019-10-29T00:00:00"/>
    <d v="2019-10-29T00:00:00"/>
    <n v="-3.46"/>
    <n v="3.46"/>
    <m/>
    <s v="ALBERT HEIJN 1878 ARNHEM"/>
    <s v="UIT"/>
    <s v="BOODSCH"/>
    <s v="boodschappen"/>
    <m/>
    <m/>
    <m/>
    <m/>
    <m/>
    <m/>
    <m/>
    <m/>
    <m/>
    <m/>
  </r>
  <r>
    <n v="1981"/>
    <x v="3"/>
    <m/>
    <x v="3"/>
    <x v="39"/>
    <d v="2019-10-31T00:00:00"/>
    <d v="2019-10-31T00:00:00"/>
    <n v="-5.91"/>
    <n v="5.91"/>
    <m/>
    <s v="boodsch"/>
    <s v="UIT"/>
    <s v="BOODSCH"/>
    <s v="boodschappen"/>
    <m/>
    <m/>
    <m/>
    <m/>
    <m/>
    <m/>
    <m/>
    <m/>
    <m/>
    <m/>
  </r>
  <r>
    <n v="1982"/>
    <x v="3"/>
    <m/>
    <x v="3"/>
    <x v="39"/>
    <d v="2019-10-31T00:00:00"/>
    <d v="2019-10-31T00:00:00"/>
    <n v="-1.55"/>
    <n v="1.55"/>
    <m/>
    <s v="boodsch"/>
    <s v="UIT"/>
    <s v="BOODSCH"/>
    <s v="boodschappen"/>
    <m/>
    <m/>
    <m/>
    <m/>
    <m/>
    <m/>
    <m/>
    <m/>
    <m/>
    <m/>
  </r>
  <r>
    <n v="1984"/>
    <x v="3"/>
    <m/>
    <x v="3"/>
    <x v="16"/>
    <d v="2019-11-01T00:00:00"/>
    <d v="2019-11-01T00:00:00"/>
    <n v="-0.88"/>
    <n v="0.88"/>
    <m/>
    <s v="ALBERT HEIJN 1878 ARNHEM"/>
    <s v="UIT"/>
    <s v="BOODSCH"/>
    <s v="boodschappen"/>
    <m/>
    <m/>
    <m/>
    <m/>
    <m/>
    <m/>
    <m/>
    <m/>
    <m/>
    <m/>
  </r>
  <r>
    <n v="1995"/>
    <x v="3"/>
    <m/>
    <x v="3"/>
    <x v="16"/>
    <d v="2019-11-05T00:00:00"/>
    <d v="2019-11-05T00:00:00"/>
    <n v="-1.64"/>
    <n v="1.64"/>
    <m/>
    <s v="Albert Heijn 1122 STADSKANAAL"/>
    <s v="UIT"/>
    <s v="BOODSCH"/>
    <s v="boodschappen"/>
    <m/>
    <m/>
    <m/>
    <m/>
    <m/>
    <m/>
    <m/>
    <m/>
    <m/>
    <m/>
  </r>
  <r>
    <n v="1999"/>
    <x v="3"/>
    <m/>
    <x v="3"/>
    <x v="16"/>
    <d v="2019-11-08T00:00:00"/>
    <d v="2019-11-08T00:00:00"/>
    <n v="-0.88"/>
    <n v="0.88"/>
    <m/>
    <s v="Coop 2113 MUSSELKANAAL"/>
    <s v="UIT"/>
    <s v="BOODSCH"/>
    <s v="boodschappen"/>
    <m/>
    <m/>
    <m/>
    <m/>
    <m/>
    <m/>
    <m/>
    <m/>
    <m/>
    <m/>
  </r>
  <r>
    <n v="2002"/>
    <x v="3"/>
    <m/>
    <x v="3"/>
    <x v="16"/>
    <d v="2019-11-09T00:00:00"/>
    <d v="2019-11-09T00:00:00"/>
    <n v="-0.85"/>
    <n v="0.85"/>
    <m/>
    <s v="Albert Heijn 1122 STADSKANAAL"/>
    <s v="UIT"/>
    <s v="BOODSCH"/>
    <s v="boodschappen"/>
    <m/>
    <m/>
    <m/>
    <m/>
    <m/>
    <m/>
    <m/>
    <m/>
    <m/>
    <m/>
  </r>
  <r>
    <n v="2030"/>
    <x v="4"/>
    <m/>
    <x v="3"/>
    <x v="54"/>
    <d v="2019-05-04T00:00:00"/>
    <d v="2019-05-04T00:00:00"/>
    <n v="-20.64"/>
    <n v="20.64"/>
    <m/>
    <s v="PAGAMENTO ON LINE 04/05/2019 06.43 AMZN Mktp IT*MN4GV23Q4 800-279-6620 LUX N. 639782"/>
    <s v="UIT"/>
    <s v="BOODSCH"/>
    <s v="proteinepoeder"/>
    <m/>
    <m/>
    <m/>
    <m/>
    <m/>
    <m/>
    <m/>
    <m/>
    <m/>
    <m/>
  </r>
  <r>
    <n v="2137"/>
    <x v="2"/>
    <m/>
    <x v="4"/>
    <x v="56"/>
    <d v="2020-07-07T00:00:00"/>
    <d v="2020-07-07T00:00:00"/>
    <n v="17"/>
    <n v="17"/>
    <m/>
    <s v="electrische tandenborstel"/>
    <s v="UIT"/>
    <s v="BOODSCH"/>
    <s v="boodschappen"/>
    <m/>
    <m/>
    <m/>
    <m/>
    <m/>
    <m/>
    <m/>
    <m/>
    <m/>
    <m/>
  </r>
  <r>
    <n v="2138"/>
    <x v="2"/>
    <m/>
    <x v="4"/>
    <x v="57"/>
    <d v="2020-10-22T00:00:00"/>
    <d v="2020-10-22T00:00:00"/>
    <n v="8.19"/>
    <n v="8.19"/>
    <m/>
    <s v="correctie boodschappen"/>
    <s v="UIT"/>
    <s v="BOODSCH"/>
    <s v="boodschappen"/>
    <m/>
    <m/>
    <m/>
    <m/>
    <m/>
    <m/>
    <m/>
    <m/>
    <m/>
    <m/>
  </r>
  <r>
    <n v="2141"/>
    <x v="2"/>
    <m/>
    <x v="4"/>
    <x v="58"/>
    <d v="2020-10-22T00:00:00"/>
    <d v="2020-10-22T00:00:00"/>
    <n v="13"/>
    <n v="13"/>
    <m/>
    <s v="correctie boodschappen"/>
    <s v="UIT"/>
    <s v="BOODSCH"/>
    <s v="boodschappen"/>
    <m/>
    <m/>
    <m/>
    <m/>
    <m/>
    <m/>
    <m/>
    <m/>
    <m/>
    <m/>
  </r>
  <r>
    <n v="2143"/>
    <x v="2"/>
    <m/>
    <x v="4"/>
    <x v="59"/>
    <d v="2020-11-21T00:00:00"/>
    <d v="2020-11-21T00:00:00"/>
    <n v="30.86"/>
    <n v="30.86"/>
    <m/>
    <s v="correctie boodschappen"/>
    <s v="UIT"/>
    <s v="BOODSCH"/>
    <s v="boodschappen"/>
    <m/>
    <m/>
    <m/>
    <m/>
    <m/>
    <m/>
    <m/>
    <m/>
    <m/>
    <m/>
  </r>
  <r>
    <n v="2202"/>
    <x v="3"/>
    <m/>
    <x v="4"/>
    <x v="56"/>
    <d v="2020-07-01T00:00:00"/>
    <d v="2020-07-01T00:00:00"/>
    <n v="-2.09"/>
    <n v="2.09"/>
    <m/>
    <s v="Coop 2113 MUSSELKANAAL"/>
    <s v="UIT"/>
    <s v="BOODSCH"/>
    <s v="boodschappen"/>
    <m/>
    <s v="Betaalautomaat 16:57 pasnr. 011"/>
    <m/>
    <s v="bc"/>
    <m/>
    <m/>
    <m/>
    <m/>
    <m/>
    <m/>
  </r>
  <r>
    <n v="2209"/>
    <x v="3"/>
    <m/>
    <x v="4"/>
    <x v="56"/>
    <d v="2020-07-03T00:00:00"/>
    <d v="2020-07-03T00:00:00"/>
    <n v="-2.09"/>
    <n v="2.09"/>
    <m/>
    <s v="Jumbo Froukje Sloot STADSKANAAL"/>
    <s v="UIT"/>
    <s v="BOODSCH"/>
    <s v="boodschappen"/>
    <m/>
    <s v="Betaalautomaat 16:43 pasnr. 011"/>
    <m/>
    <s v="bc"/>
    <m/>
    <m/>
    <m/>
    <m/>
    <m/>
    <m/>
  </r>
  <r>
    <n v="2214"/>
    <x v="3"/>
    <m/>
    <x v="4"/>
    <x v="56"/>
    <d v="2020-07-08T00:00:00"/>
    <d v="2020-07-08T00:00:00"/>
    <n v="-13.01"/>
    <n v="13.01"/>
    <m/>
    <s v="ALBERT HEIJN 1878 ARNHEM"/>
    <s v="UIT"/>
    <s v="BOODSCH"/>
    <s v="boodschappen"/>
    <m/>
    <s v="Betaalautomaat 16:12 pasnr. 011"/>
    <m/>
    <s v="bc"/>
    <m/>
    <m/>
    <m/>
    <m/>
    <m/>
    <m/>
  </r>
  <r>
    <n v="2217"/>
    <x v="3"/>
    <m/>
    <x v="4"/>
    <x v="56"/>
    <d v="2020-07-09T00:00:00"/>
    <d v="2020-07-09T00:00:00"/>
    <n v="-7.36"/>
    <n v="7.36"/>
    <m/>
    <s v="Holland &amp; Barrett ARNHEM"/>
    <s v="UIT"/>
    <s v="BOODSCH"/>
    <s v="boodschappen"/>
    <m/>
    <s v="Betaalautomaat 16:46 pasnr. 011"/>
    <m/>
    <s v="bc"/>
    <m/>
    <m/>
    <m/>
    <m/>
    <m/>
    <m/>
  </r>
  <r>
    <n v="2218"/>
    <x v="3"/>
    <m/>
    <x v="4"/>
    <x v="56"/>
    <d v="2020-07-09T00:00:00"/>
    <d v="2020-07-09T00:00:00"/>
    <n v="-9.49"/>
    <n v="9.49"/>
    <m/>
    <s v="Kruidvat 7082 ARNHEM"/>
    <s v="UIT"/>
    <s v="BOODSCH"/>
    <s v="proteinepoeder"/>
    <m/>
    <s v="Betaalautomaat 16:52 pasnr. 011"/>
    <m/>
    <s v="bc"/>
    <m/>
    <m/>
    <m/>
    <m/>
    <m/>
    <m/>
  </r>
  <r>
    <n v="2219"/>
    <x v="3"/>
    <m/>
    <x v="4"/>
    <x v="56"/>
    <d v="2020-07-09T00:00:00"/>
    <d v="2020-07-09T00:00:00"/>
    <n v="-3.93"/>
    <n v="3.93"/>
    <m/>
    <s v="ALBERT HEIJN 1878 ARNHEM"/>
    <s v="UIT"/>
    <s v="BOODSCH"/>
    <s v="boodschappen"/>
    <m/>
    <s v="Betaalautomaat 17:46 pasnr. 011"/>
    <m/>
    <s v="bc"/>
    <m/>
    <m/>
    <m/>
    <m/>
    <m/>
    <m/>
  </r>
  <r>
    <n v="2222"/>
    <x v="3"/>
    <m/>
    <x v="4"/>
    <x v="56"/>
    <d v="2020-07-11T00:00:00"/>
    <d v="2020-07-11T00:00:00"/>
    <n v="-0.88"/>
    <n v="0.88"/>
    <m/>
    <s v="ALBERT HEIJN 1878 ARNHEM"/>
    <s v="UIT"/>
    <s v="BOODSCH"/>
    <s v="boodschappen"/>
    <m/>
    <s v="Betaalautomaat 17:16 pasnr. 011"/>
    <m/>
    <s v="bc"/>
    <m/>
    <m/>
    <m/>
    <m/>
    <m/>
    <m/>
  </r>
  <r>
    <n v="2225"/>
    <x v="3"/>
    <m/>
    <x v="4"/>
    <x v="56"/>
    <d v="2020-07-12T00:00:00"/>
    <d v="2020-07-12T00:00:00"/>
    <n v="-14.62"/>
    <n v="14.62"/>
    <m/>
    <s v="Coop 2224 Arnhem"/>
    <s v="UIT"/>
    <s v="BOODSCH"/>
    <s v="boodschappen"/>
    <m/>
    <s v="Betaalautomaat 18:41 pasnr. 011"/>
    <m/>
    <s v="bc"/>
    <m/>
    <m/>
    <m/>
    <m/>
    <m/>
    <m/>
  </r>
  <r>
    <n v="2229"/>
    <x v="3"/>
    <m/>
    <x v="4"/>
    <x v="56"/>
    <d v="2020-07-13T00:00:00"/>
    <d v="2020-07-13T00:00:00"/>
    <n v="-5.66"/>
    <n v="5.66"/>
    <m/>
    <s v="ALBERT HEIJN 1878 ARNHEM"/>
    <s v="UIT"/>
    <s v="BOODSCH"/>
    <s v="boodschappen"/>
    <m/>
    <s v="Betaalautomaat 18:07 pasnr. 011"/>
    <m/>
    <s v="bc"/>
    <m/>
    <m/>
    <m/>
    <m/>
    <m/>
    <m/>
  </r>
  <r>
    <n v="2231"/>
    <x v="3"/>
    <m/>
    <x v="4"/>
    <x v="56"/>
    <d v="2020-07-14T00:00:00"/>
    <d v="2020-07-14T00:00:00"/>
    <n v="-2.0699999999999998"/>
    <n v="2.0699999999999998"/>
    <m/>
    <s v="ALBERT HEIJN 1878 ARNHEM"/>
    <s v="UIT"/>
    <s v="BOODSCH"/>
    <s v="boodschappen"/>
    <m/>
    <s v="Betaalautomaat 17:29 pasnr. 011"/>
    <m/>
    <s v="bc"/>
    <m/>
    <m/>
    <m/>
    <m/>
    <m/>
    <m/>
  </r>
  <r>
    <n v="2242"/>
    <x v="3"/>
    <m/>
    <x v="4"/>
    <x v="56"/>
    <d v="2020-07-18T00:00:00"/>
    <d v="2020-07-18T00:00:00"/>
    <n v="-12.07"/>
    <n v="12.07"/>
    <m/>
    <s v="ALBERT HEIJN 1878 ARNHEM"/>
    <s v="UIT"/>
    <s v="BOODSCH"/>
    <s v="boodschappen"/>
    <m/>
    <s v="Betaalautomaat 19:21 pasnr. 011"/>
    <m/>
    <s v="bc"/>
    <m/>
    <m/>
    <m/>
    <m/>
    <m/>
    <m/>
  </r>
  <r>
    <n v="2245"/>
    <x v="3"/>
    <m/>
    <x v="4"/>
    <x v="56"/>
    <d v="2020-07-19T00:00:00"/>
    <d v="2020-07-19T00:00:00"/>
    <n v="-7.05"/>
    <n v="7.05"/>
    <m/>
    <s v="ALBERT HEIJN 1878 ARNHEM"/>
    <s v="UIT"/>
    <s v="BOODSCH"/>
    <s v="boodschappen"/>
    <m/>
    <s v="Betaalautomaat 19:11 pasnr. 011"/>
    <m/>
    <s v="bc"/>
    <m/>
    <m/>
    <m/>
    <m/>
    <m/>
    <m/>
  </r>
  <r>
    <n v="2248"/>
    <x v="3"/>
    <m/>
    <x v="4"/>
    <x v="56"/>
    <d v="2020-07-20T00:00:00"/>
    <d v="2020-07-20T00:00:00"/>
    <n v="-20.91"/>
    <n v="20.91"/>
    <m/>
    <s v="ALDI 022 WINTERSWIJK"/>
    <s v="UIT"/>
    <s v="BOODSCH"/>
    <s v="boodschappen"/>
    <m/>
    <s v="Betaalautomaat 11:05 pasnr. 011"/>
    <m/>
    <s v="bc"/>
    <m/>
    <m/>
    <m/>
    <m/>
    <m/>
    <m/>
  </r>
  <r>
    <n v="2249"/>
    <x v="3"/>
    <m/>
    <x v="4"/>
    <x v="56"/>
    <d v="2020-07-21T00:00:00"/>
    <d v="2020-07-21T00:00:00"/>
    <n v="-0.73"/>
    <n v="0.73"/>
    <m/>
    <s v="Supermarkt DTB WINTERSWIJK M"/>
    <s v="UIT"/>
    <s v="BOODSCH"/>
    <s v="boodschappen"/>
    <m/>
    <s v="Betaalautomaat 11:14 pasnr. 011"/>
    <m/>
    <s v="bc"/>
    <m/>
    <m/>
    <m/>
    <m/>
    <m/>
    <s v="Betaalautomaat 16:19 pasnr. 011"/>
  </r>
  <r>
    <n v="2250"/>
    <x v="3"/>
    <m/>
    <x v="4"/>
    <x v="56"/>
    <d v="2020-07-21T00:00:00"/>
    <d v="2020-07-21T00:00:00"/>
    <n v="-3.94"/>
    <n v="3.94"/>
    <m/>
    <s v="Lidl 550 Winterswijk WINTERSWIJK"/>
    <s v="UIT"/>
    <s v="BOODSCH"/>
    <s v="boodschappen"/>
    <m/>
    <s v="Betaalautomaat 14:07 pasnr. 011"/>
    <m/>
    <s v="bc"/>
    <m/>
    <m/>
    <m/>
    <m/>
    <m/>
    <s v="Betaalautomaat 19:21 pasnr. 011"/>
  </r>
  <r>
    <n v="2258"/>
    <x v="3"/>
    <m/>
    <x v="4"/>
    <x v="56"/>
    <d v="2020-07-22T00:00:00"/>
    <d v="2020-07-22T00:00:00"/>
    <n v="-1.65"/>
    <n v="1.65"/>
    <m/>
    <s v="Supermarkt DTB WINTERSWIJK M"/>
    <s v="UIT"/>
    <s v="BOODSCH"/>
    <s v="boodschappen"/>
    <m/>
    <s v="Betaalautomaat 12:30 pasnr. 011"/>
    <m/>
    <s v="bc"/>
    <m/>
    <m/>
    <m/>
    <m/>
    <m/>
    <s v="Betaalautomaat 11:14 pasnr. 011"/>
  </r>
  <r>
    <n v="2259"/>
    <x v="3"/>
    <m/>
    <x v="4"/>
    <x v="56"/>
    <d v="2020-07-23T00:00:00"/>
    <d v="2020-07-23T00:00:00"/>
    <n v="-11.5"/>
    <n v="11.5"/>
    <m/>
    <s v="Jumbo Aalten AALTEN"/>
    <s v="UIT"/>
    <s v="BOODSCH"/>
    <s v="boodschappen"/>
    <m/>
    <s v="Betaalautomaat 13:33 pasnr. 011"/>
    <m/>
    <s v="bc"/>
    <m/>
    <m/>
    <m/>
    <m/>
    <m/>
    <s v="Betaalautomaat 14:07 pasnr. 011"/>
  </r>
  <r>
    <n v="2261"/>
    <x v="3"/>
    <m/>
    <x v="4"/>
    <x v="56"/>
    <d v="2020-07-24T00:00:00"/>
    <d v="2020-07-24T00:00:00"/>
    <n v="-3.04"/>
    <n v="3.04"/>
    <m/>
    <s v="Spar Bredevoort AALTEN"/>
    <s v="UIT"/>
    <s v="BOODSCH"/>
    <s v="boodschappen"/>
    <m/>
    <s v="Betaalautomaat 14:25 pasnr. 011"/>
    <m/>
    <s v="bc"/>
    <m/>
    <m/>
    <m/>
    <m/>
    <m/>
    <s v="Betaalautomaat 14:58 pasnr. 011"/>
  </r>
  <r>
    <n v="2262"/>
    <x v="3"/>
    <m/>
    <x v="4"/>
    <x v="56"/>
    <d v="2020-07-24T00:00:00"/>
    <d v="2020-07-24T00:00:00"/>
    <n v="-1.96"/>
    <n v="1.96"/>
    <m/>
    <s v="Spar Bredevoort AALTEN"/>
    <s v="UIT"/>
    <s v="BOODSCH"/>
    <s v="boodschappen"/>
    <m/>
    <s v="Betaalautomaat 14:25 pasnr. 011"/>
    <m/>
    <s v="bc"/>
    <m/>
    <m/>
    <m/>
    <m/>
    <m/>
    <s v="Betaalautomaat 15:20 pasnr. 011"/>
  </r>
  <r>
    <n v="2263"/>
    <x v="3"/>
    <m/>
    <x v="4"/>
    <x v="56"/>
    <d v="2020-07-25T00:00:00"/>
    <d v="2020-07-25T00:00:00"/>
    <n v="-1.65"/>
    <n v="1.65"/>
    <m/>
    <s v="Supermarkt DTB WINTERSWIJK M"/>
    <s v="UIT"/>
    <s v="BOODSCH"/>
    <s v="boodschappen"/>
    <m/>
    <s v="Betaalautomaat 10:02 pasnr. 022"/>
    <m/>
    <s v="bc"/>
    <m/>
    <m/>
    <m/>
    <m/>
    <m/>
    <s v="Betaalautomaat 15:56 pasnr. 011"/>
  </r>
  <r>
    <n v="2265"/>
    <x v="3"/>
    <m/>
    <x v="4"/>
    <x v="56"/>
    <d v="2020-07-26T00:00:00"/>
    <d v="2020-07-26T00:00:00"/>
    <n v="-1.29"/>
    <n v="1.29"/>
    <m/>
    <s v="Supermarkt DTB WINTERSWIJK M"/>
    <s v="UIT"/>
    <s v="BOODSCH"/>
    <s v="boodschappen"/>
    <m/>
    <s v="Betaalautomaat 16:07 pasnr. 022"/>
    <m/>
    <s v="bc"/>
    <m/>
    <m/>
    <s v="APWBQB4QWWPHQ2CV"/>
    <s v="NL13ZZZ587241090000"/>
    <m/>
    <s v="BLENDLE"/>
  </r>
  <r>
    <n v="2266"/>
    <x v="3"/>
    <m/>
    <x v="4"/>
    <x v="56"/>
    <d v="2020-07-27T00:00:00"/>
    <d v="2020-07-27T00:00:00"/>
    <n v="-1.65"/>
    <n v="1.65"/>
    <m/>
    <s v="Supermarkt DTB WINTERSWIJK M"/>
    <s v="UIT"/>
    <s v="BOODSCH"/>
    <s v="boodschappen"/>
    <m/>
    <s v="Betaalautomaat 10:38 pasnr. 022"/>
    <m/>
    <s v="bc"/>
    <m/>
    <m/>
    <m/>
    <m/>
    <m/>
    <s v="Betaalautomaat 10:52 pasnr. 011"/>
  </r>
  <r>
    <n v="2270"/>
    <x v="3"/>
    <m/>
    <x v="4"/>
    <x v="56"/>
    <d v="2020-07-28T00:00:00"/>
    <d v="2020-07-28T00:00:00"/>
    <n v="-39.96"/>
    <n v="39.96"/>
    <m/>
    <s v="Aldi 037 Aalten AALTEN"/>
    <s v="UIT"/>
    <s v="BOODSCH"/>
    <s v="boodschappen"/>
    <m/>
    <s v="Betaalautomaat 15:15 pasnr. 022"/>
    <m/>
    <s v="bc"/>
    <m/>
    <m/>
    <m/>
    <m/>
    <m/>
    <s v="Betaalautomaat 14:25 pasnr. 011"/>
  </r>
  <r>
    <n v="2272"/>
    <x v="3"/>
    <m/>
    <x v="4"/>
    <x v="56"/>
    <d v="2020-07-29T00:00:00"/>
    <d v="2020-07-29T00:00:00"/>
    <n v="-2.19"/>
    <n v="2.19"/>
    <m/>
    <s v="Spar Bredevoort AALTEN"/>
    <s v="UIT"/>
    <s v="BOODSCH"/>
    <s v="boodschappen"/>
    <m/>
    <s v="Betaalautomaat 15:57 pasnr. 022"/>
    <m/>
    <s v="bc"/>
    <m/>
    <m/>
    <m/>
    <m/>
    <m/>
    <s v="Betaalautomaat 10:02 pasnr. 022"/>
  </r>
  <r>
    <n v="2274"/>
    <x v="3"/>
    <m/>
    <x v="4"/>
    <x v="56"/>
    <d v="2020-07-31T00:00:00"/>
    <d v="2020-07-31T00:00:00"/>
    <n v="-1.65"/>
    <n v="1.65"/>
    <m/>
    <s v="Supermarkt DTB WINTERSWIJK M"/>
    <s v="UIT"/>
    <s v="BOODSCH"/>
    <s v="boodschappen"/>
    <m/>
    <s v="Betaalautomaat 10:32 pasnr. 022"/>
    <m/>
    <s v="bc"/>
    <m/>
    <m/>
    <m/>
    <m/>
    <m/>
    <s v="Betaalautomaat 16:07 pasnr. 022"/>
  </r>
  <r>
    <n v="2276"/>
    <x v="3"/>
    <m/>
    <x v="4"/>
    <x v="56"/>
    <d v="2020-07-31T00:00:00"/>
    <d v="2020-07-31T00:00:00"/>
    <n v="-16.850000000000001"/>
    <n v="16.850000000000001"/>
    <m/>
    <s v="Lidl 550 Winterswijk WINTERSWIJK"/>
    <s v="UIT"/>
    <s v="BOODSCH"/>
    <s v="boodschappen"/>
    <m/>
    <s v="Betaalautomaat 16:06 pasnr. 022"/>
    <m/>
    <s v="bc"/>
    <m/>
    <m/>
    <m/>
    <m/>
    <m/>
    <s v="Betaalautomaat 14:13 pasnr. 022"/>
  </r>
  <r>
    <n v="2282"/>
    <x v="3"/>
    <m/>
    <x v="4"/>
    <x v="60"/>
    <d v="2020-08-02T00:00:00"/>
    <d v="2020-08-02T00:00:00"/>
    <n v="-1.65"/>
    <n v="1.65"/>
    <m/>
    <s v="Supermarkt DTB WINTERSWIJK M"/>
    <s v="UIT"/>
    <s v="BOODSCH"/>
    <s v="boodschappen"/>
    <m/>
    <s v="Betaalautomaat 10:09 pasnr. 022"/>
    <m/>
    <s v="bc"/>
    <m/>
    <m/>
    <m/>
    <m/>
    <m/>
    <s v="Betaalautomaat 14:31 pasnr. 022"/>
  </r>
  <r>
    <n v="2283"/>
    <x v="3"/>
    <m/>
    <x v="4"/>
    <x v="60"/>
    <d v="2020-08-02T00:00:00"/>
    <d v="2020-08-02T00:00:00"/>
    <n v="-6.8"/>
    <n v="6.8"/>
    <m/>
    <s v="Spar Bredevoort AALTEN"/>
    <s v="UIT"/>
    <s v="BOODSCH"/>
    <s v="boodschappen"/>
    <m/>
    <s v="Betaalautomaat 11:42 pasnr. 022"/>
    <m/>
    <s v="bc"/>
    <m/>
    <m/>
    <m/>
    <m/>
    <m/>
    <s v="Betaalautomaat 15:15 pasnr. 022"/>
  </r>
  <r>
    <n v="2288"/>
    <x v="3"/>
    <m/>
    <x v="4"/>
    <x v="60"/>
    <d v="2020-08-03T00:00:00"/>
    <d v="2020-08-03T00:00:00"/>
    <n v="-1.89"/>
    <n v="1.89"/>
    <m/>
    <s v="ALBERT HEIJN 1878 ARNHEM"/>
    <s v="UIT"/>
    <s v="BOODSCH"/>
    <s v="boodschappen"/>
    <m/>
    <s v="Betaalautomaat 18:05 pasnr. 022"/>
    <m/>
    <s v="bc"/>
    <m/>
    <m/>
    <m/>
    <m/>
    <m/>
    <s v="Betaalautomaat 14:40 pasnr. 022"/>
  </r>
  <r>
    <n v="2294"/>
    <x v="3"/>
    <m/>
    <x v="4"/>
    <x v="60"/>
    <d v="2020-08-05T00:00:00"/>
    <d v="2020-08-05T00:00:00"/>
    <n v="-4.8499999999999996"/>
    <n v="4.8499999999999996"/>
    <m/>
    <s v="Spar Bredevoort AALTEN"/>
    <s v="UIT"/>
    <s v="BOODSCH"/>
    <s v="boodschappen"/>
    <m/>
    <s v="Betaalautomaat 14:00 pasnr. 022"/>
    <m/>
    <s v="bc"/>
    <m/>
    <m/>
    <m/>
    <m/>
    <m/>
    <s v="Betaalautomaat 22:18 pasnr. 022"/>
  </r>
  <r>
    <n v="2298"/>
    <x v="3"/>
    <m/>
    <x v="4"/>
    <x v="60"/>
    <d v="2020-08-07T00:00:00"/>
    <d v="2020-08-07T00:00:00"/>
    <n v="-2.89"/>
    <n v="2.89"/>
    <m/>
    <s v="Supermarkt DTB WINTERSWIJK M"/>
    <s v="UIT"/>
    <s v="BOODSCH"/>
    <s v="boodschappen"/>
    <m/>
    <s v="Betaalautomaat 17:03 pasnr. 022"/>
    <m/>
    <s v="bc"/>
    <m/>
    <m/>
    <m/>
    <m/>
    <m/>
    <s v="Rabo TotaalPakket                  Periode 01-08-2020 t/m 31-08-2020"/>
  </r>
  <r>
    <n v="2299"/>
    <x v="3"/>
    <m/>
    <x v="4"/>
    <x v="60"/>
    <d v="2020-08-08T00:00:00"/>
    <d v="2020-08-08T00:00:00"/>
    <n v="-1.59"/>
    <n v="1.59"/>
    <m/>
    <s v="Spar Bredevoort AALTEN"/>
    <s v="UIT"/>
    <s v="BOODSCH"/>
    <s v="boodschappen"/>
    <m/>
    <s v="Betaalautomaat 13:20 pasnr. 011"/>
    <m/>
    <s v="bc"/>
    <m/>
    <m/>
    <m/>
    <m/>
    <m/>
    <s v="Tikkie ID 000226537421, Rivella+ sauv. blanc, Van Mw RE Kuipers, NL83INGB0008576333"/>
  </r>
  <r>
    <n v="2300"/>
    <x v="3"/>
    <m/>
    <x v="4"/>
    <x v="60"/>
    <d v="2020-08-08T00:00:00"/>
    <d v="2020-08-08T00:00:00"/>
    <n v="-11.1"/>
    <n v="11.1"/>
    <m/>
    <s v="Spar Bredevoort AALTEN"/>
    <s v="UIT"/>
    <s v="BOODSCH"/>
    <s v="boodschappen"/>
    <m/>
    <s v="Betaalautomaat 13:20 pasnr. 011"/>
    <m/>
    <s v="bc"/>
    <m/>
    <m/>
    <m/>
    <m/>
    <m/>
    <s v="Betaalautomaat 12:13 pasnr. 022"/>
  </r>
  <r>
    <n v="2302"/>
    <x v="3"/>
    <m/>
    <x v="4"/>
    <x v="60"/>
    <d v="2020-08-09T00:00:00"/>
    <d v="2020-08-09T00:00:00"/>
    <n v="-1.45"/>
    <n v="1.45"/>
    <m/>
    <s v="Supermarkt DTB WINTERSWIJK M"/>
    <s v="UIT"/>
    <s v="BOODSCH"/>
    <s v="boodschappen"/>
    <m/>
    <m/>
    <m/>
    <m/>
    <m/>
    <m/>
    <m/>
    <m/>
    <m/>
    <m/>
  </r>
  <r>
    <n v="2304"/>
    <x v="3"/>
    <m/>
    <x v="4"/>
    <x v="60"/>
    <d v="2020-08-10T00:00:00"/>
    <d v="2020-08-10T00:00:00"/>
    <n v="-2.4"/>
    <n v="2.4"/>
    <m/>
    <s v="Supermarkt DTB WINTERSWIJK M"/>
    <s v="UIT"/>
    <s v="BOODSCH"/>
    <s v="boodschappen"/>
    <m/>
    <m/>
    <m/>
    <m/>
    <m/>
    <m/>
    <m/>
    <m/>
    <m/>
    <m/>
  </r>
  <r>
    <n v="2305"/>
    <x v="3"/>
    <m/>
    <x v="4"/>
    <x v="60"/>
    <d v="2020-08-10T00:00:00"/>
    <d v="2020-08-10T00:00:00"/>
    <n v="-9.94"/>
    <n v="9.94"/>
    <m/>
    <s v="Nettorama WINTERSWIJK"/>
    <s v="UIT"/>
    <s v="BOODSCH"/>
    <s v="boodschappen"/>
    <m/>
    <m/>
    <m/>
    <m/>
    <m/>
    <m/>
    <m/>
    <m/>
    <m/>
    <m/>
  </r>
  <r>
    <n v="2308"/>
    <x v="3"/>
    <m/>
    <x v="4"/>
    <x v="60"/>
    <d v="2020-08-11T00:00:00"/>
    <d v="2020-08-11T00:00:00"/>
    <n v="-11.48"/>
    <n v="11.48"/>
    <m/>
    <s v="Kruidvat 7301 LICHTENVOORDE"/>
    <s v="UIT"/>
    <s v="BOODSCH"/>
    <s v="proteinepoeder"/>
    <m/>
    <m/>
    <m/>
    <m/>
    <m/>
    <m/>
    <m/>
    <m/>
    <m/>
    <m/>
  </r>
  <r>
    <n v="2317"/>
    <x v="3"/>
    <m/>
    <x v="4"/>
    <x v="60"/>
    <d v="2020-08-13T00:00:00"/>
    <d v="2020-08-13T00:00:00"/>
    <n v="-8.19"/>
    <n v="8.19"/>
    <m/>
    <s v="Spar Bredevoort AALTEN"/>
    <s v="UIT"/>
    <s v="BOODSCH"/>
    <s v="boodschappen"/>
    <m/>
    <m/>
    <m/>
    <m/>
    <m/>
    <m/>
    <m/>
    <m/>
    <m/>
    <m/>
  </r>
  <r>
    <n v="2321"/>
    <x v="3"/>
    <m/>
    <x v="4"/>
    <x v="60"/>
    <d v="2020-08-14T00:00:00"/>
    <d v="2020-08-14T00:00:00"/>
    <n v="-10.69"/>
    <n v="10.69"/>
    <m/>
    <s v="Lidl 550 Winterswijk WINTERSWIJK"/>
    <s v="UIT"/>
    <s v="BOODSCH"/>
    <s v="boodschappen"/>
    <m/>
    <m/>
    <m/>
    <m/>
    <m/>
    <m/>
    <m/>
    <m/>
    <m/>
    <m/>
  </r>
  <r>
    <n v="2322"/>
    <x v="3"/>
    <m/>
    <x v="4"/>
    <x v="60"/>
    <d v="2020-08-15T00:00:00"/>
    <d v="2020-08-15T00:00:00"/>
    <n v="-5.05"/>
    <n v="5.05"/>
    <m/>
    <s v="Spar Bredevoort AALTEN"/>
    <s v="UIT"/>
    <s v="BOODSCH"/>
    <s v="boodschappen"/>
    <m/>
    <m/>
    <m/>
    <m/>
    <m/>
    <m/>
    <m/>
    <m/>
    <m/>
    <m/>
  </r>
  <r>
    <n v="2324"/>
    <x v="3"/>
    <m/>
    <x v="4"/>
    <x v="60"/>
    <d v="2020-08-18T00:00:00"/>
    <d v="2020-08-18T00:00:00"/>
    <n v="-3.25"/>
    <n v="3.25"/>
    <m/>
    <s v="Supermarkt DTB WINTERSWIJK M"/>
    <s v="UIT"/>
    <s v="BOODSCH"/>
    <s v="boodschappen"/>
    <m/>
    <m/>
    <m/>
    <m/>
    <m/>
    <m/>
    <m/>
    <m/>
    <m/>
    <m/>
  </r>
  <r>
    <n v="2328"/>
    <x v="3"/>
    <m/>
    <x v="4"/>
    <x v="60"/>
    <d v="2020-08-18T00:00:00"/>
    <d v="2020-08-18T00:00:00"/>
    <n v="-5.16"/>
    <n v="5.16"/>
    <m/>
    <s v="ALBERT HEIJN 1878 ARNHEM"/>
    <s v="UIT"/>
    <s v="BOODSCH"/>
    <s v="boodschappen"/>
    <m/>
    <m/>
    <m/>
    <m/>
    <m/>
    <m/>
    <m/>
    <m/>
    <m/>
    <m/>
  </r>
  <r>
    <n v="2336"/>
    <x v="3"/>
    <m/>
    <x v="4"/>
    <x v="60"/>
    <d v="2020-08-20T00:00:00"/>
    <d v="2020-08-20T00:00:00"/>
    <n v="-6.46"/>
    <n v="6.46"/>
    <m/>
    <s v="Spar Bredevoort AALTEN"/>
    <s v="UIT"/>
    <s v="BOODSCH"/>
    <s v="boodschappen"/>
    <m/>
    <m/>
    <m/>
    <m/>
    <m/>
    <m/>
    <m/>
    <m/>
    <m/>
    <m/>
  </r>
  <r>
    <n v="2339"/>
    <x v="3"/>
    <m/>
    <x v="4"/>
    <x v="60"/>
    <d v="2020-08-22T00:00:00"/>
    <d v="2020-08-22T00:00:00"/>
    <n v="-1.65"/>
    <n v="1.65"/>
    <m/>
    <s v="Supermarkt DTB WINTERSWIJK M"/>
    <s v="UIT"/>
    <s v="BOODSCH"/>
    <s v="boodschappen"/>
    <m/>
    <m/>
    <m/>
    <m/>
    <m/>
    <m/>
    <m/>
    <m/>
    <m/>
    <m/>
  </r>
  <r>
    <n v="2340"/>
    <x v="3"/>
    <m/>
    <x v="4"/>
    <x v="60"/>
    <d v="2020-08-22T00:00:00"/>
    <d v="2020-08-22T00:00:00"/>
    <n v="-2.58"/>
    <n v="2.58"/>
    <m/>
    <s v="Lidl 550 Winterswijk WINTERSWIJK"/>
    <s v="UIT"/>
    <s v="BOODSCH"/>
    <s v="boodschappen"/>
    <m/>
    <m/>
    <m/>
    <m/>
    <m/>
    <m/>
    <m/>
    <m/>
    <m/>
    <m/>
  </r>
  <r>
    <n v="2344"/>
    <x v="3"/>
    <m/>
    <x v="4"/>
    <x v="60"/>
    <d v="2020-08-22T00:00:00"/>
    <d v="2020-08-22T00:00:00"/>
    <n v="-1.2"/>
    <n v="1.2"/>
    <m/>
    <s v="Jumbo 236587 WINTERSWIJK (was 4,80)"/>
    <s v="UIT"/>
    <s v="BOODSCH"/>
    <s v="boodschappen"/>
    <m/>
    <m/>
    <m/>
    <m/>
    <m/>
    <m/>
    <m/>
    <m/>
    <m/>
    <m/>
  </r>
  <r>
    <n v="2346"/>
    <x v="3"/>
    <m/>
    <x v="4"/>
    <x v="60"/>
    <d v="2020-08-23T00:00:00"/>
    <d v="2020-08-23T00:00:00"/>
    <n v="-1.3"/>
    <n v="1.3"/>
    <m/>
    <s v="Supermarkt DTB WINTERSWIJK M"/>
    <s v="UIT"/>
    <s v="BOODSCH"/>
    <s v="boodschappen"/>
    <m/>
    <m/>
    <m/>
    <m/>
    <m/>
    <m/>
    <m/>
    <m/>
    <m/>
    <m/>
  </r>
  <r>
    <n v="2349"/>
    <x v="3"/>
    <m/>
    <x v="4"/>
    <x v="60"/>
    <d v="2020-08-24T00:00:00"/>
    <d v="2020-08-24T00:00:00"/>
    <n v="-1.68"/>
    <n v="1.68"/>
    <m/>
    <s v="Supermarkt DTB WINTERSWIJK M"/>
    <s v="UIT"/>
    <s v="BOODSCH"/>
    <s v="boodschappen"/>
    <m/>
    <m/>
    <m/>
    <m/>
    <m/>
    <m/>
    <m/>
    <m/>
    <m/>
    <m/>
  </r>
  <r>
    <n v="2350"/>
    <x v="3"/>
    <m/>
    <x v="4"/>
    <x v="60"/>
    <d v="2020-08-25T00:00:00"/>
    <d v="2020-08-25T00:00:00"/>
    <n v="-1.8"/>
    <n v="1.8"/>
    <m/>
    <s v="Supermarkt DTB WINTERSWIJK M"/>
    <s v="UIT"/>
    <s v="BOODSCH"/>
    <s v="boodschappen"/>
    <m/>
    <m/>
    <m/>
    <m/>
    <m/>
    <m/>
    <m/>
    <m/>
    <m/>
    <m/>
  </r>
  <r>
    <n v="2351"/>
    <x v="3"/>
    <m/>
    <x v="4"/>
    <x v="60"/>
    <d v="2020-08-25T00:00:00"/>
    <d v="2020-08-25T00:00:00"/>
    <n v="-1.45"/>
    <n v="1.45"/>
    <m/>
    <s v="Supermarkt DTB WINTERSWIJK M"/>
    <s v="UIT"/>
    <s v="BOODSCH"/>
    <s v="boodschappen"/>
    <m/>
    <m/>
    <m/>
    <m/>
    <m/>
    <m/>
    <m/>
    <m/>
    <m/>
    <m/>
  </r>
  <r>
    <n v="2353"/>
    <x v="3"/>
    <m/>
    <x v="4"/>
    <x v="60"/>
    <d v="2020-08-25T00:00:00"/>
    <d v="2020-08-25T00:00:00"/>
    <n v="-1.89"/>
    <n v="1.89"/>
    <m/>
    <s v="ALBERT HEIJN 1878 ARNHEM"/>
    <s v="UIT"/>
    <s v="BOODSCH"/>
    <s v="boodschappen"/>
    <m/>
    <m/>
    <m/>
    <m/>
    <m/>
    <m/>
    <m/>
    <m/>
    <m/>
    <m/>
  </r>
  <r>
    <n v="2356"/>
    <x v="3"/>
    <m/>
    <x v="4"/>
    <x v="60"/>
    <d v="2020-08-26T00:00:00"/>
    <d v="2020-08-26T00:00:00"/>
    <n v="-2.94"/>
    <n v="2.94"/>
    <m/>
    <s v="ALBERT HEIJN 1878 ARNHEM"/>
    <s v="UIT"/>
    <s v="BOODSCH"/>
    <s v="boodschappen"/>
    <m/>
    <m/>
    <m/>
    <m/>
    <m/>
    <m/>
    <m/>
    <m/>
    <m/>
    <m/>
  </r>
  <r>
    <n v="2359"/>
    <x v="3"/>
    <m/>
    <x v="4"/>
    <x v="60"/>
    <d v="2020-08-27T00:00:00"/>
    <d v="2020-08-27T00:00:00"/>
    <n v="-3.52"/>
    <n v="3.52"/>
    <m/>
    <s v="Spar Bredevoort AALTEN"/>
    <s v="UIT"/>
    <s v="BOODSCH"/>
    <s v="boodschappen"/>
    <m/>
    <m/>
    <m/>
    <m/>
    <m/>
    <m/>
    <m/>
    <m/>
    <m/>
    <m/>
  </r>
  <r>
    <n v="2361"/>
    <x v="3"/>
    <m/>
    <x v="4"/>
    <x v="60"/>
    <d v="2020-08-28T00:00:00"/>
    <d v="2020-08-28T00:00:00"/>
    <n v="-12.29"/>
    <n v="12.29"/>
    <m/>
    <s v="ALDI 022 WINTERSWIJK"/>
    <s v="UIT"/>
    <s v="BOODSCH"/>
    <s v="boodschappen"/>
    <m/>
    <m/>
    <m/>
    <m/>
    <m/>
    <m/>
    <m/>
    <m/>
    <m/>
    <m/>
  </r>
  <r>
    <n v="2362"/>
    <x v="3"/>
    <m/>
    <x v="4"/>
    <x v="60"/>
    <d v="2020-08-28T00:00:00"/>
    <d v="2020-08-28T00:00:00"/>
    <n v="-4.9800000000000004"/>
    <n v="4.9800000000000004"/>
    <m/>
    <s v="Jumbo 236587 WINTERSWIJK"/>
    <s v="UIT"/>
    <s v="BOODSCH"/>
    <s v="boodschappen"/>
    <m/>
    <m/>
    <m/>
    <m/>
    <m/>
    <m/>
    <m/>
    <m/>
    <m/>
    <m/>
  </r>
  <r>
    <n v="2363"/>
    <x v="3"/>
    <m/>
    <x v="4"/>
    <x v="60"/>
    <d v="2020-08-28T00:00:00"/>
    <d v="2020-08-28T00:00:00"/>
    <n v="-2.94"/>
    <n v="2.94"/>
    <m/>
    <s v="Supermarkt DTB WINTERSWIJK M"/>
    <s v="UIT"/>
    <s v="BOODSCH"/>
    <s v="boodschappen"/>
    <m/>
    <m/>
    <m/>
    <m/>
    <m/>
    <m/>
    <m/>
    <m/>
    <m/>
    <m/>
  </r>
  <r>
    <n v="2365"/>
    <x v="3"/>
    <m/>
    <x v="4"/>
    <x v="60"/>
    <d v="2020-08-29T00:00:00"/>
    <d v="2020-08-29T00:00:00"/>
    <n v="-1.89"/>
    <n v="1.89"/>
    <m/>
    <s v="AH Supermarkt Kruip LICHTENVOORDE"/>
    <s v="UIT"/>
    <s v="BOODSCH"/>
    <s v="boodschappen"/>
    <m/>
    <m/>
    <m/>
    <m/>
    <m/>
    <m/>
    <m/>
    <m/>
    <m/>
    <m/>
  </r>
  <r>
    <n v="2368"/>
    <x v="3"/>
    <m/>
    <x v="4"/>
    <x v="60"/>
    <d v="2020-08-31T00:00:00"/>
    <d v="2020-08-31T00:00:00"/>
    <n v="-4.3899999999999997"/>
    <n v="4.3899999999999997"/>
    <m/>
    <s v="Spar Bredevoort AALTEN"/>
    <s v="UIT"/>
    <s v="BOODSCH"/>
    <s v="boodschappen"/>
    <m/>
    <m/>
    <m/>
    <m/>
    <m/>
    <m/>
    <m/>
    <m/>
    <m/>
    <m/>
  </r>
  <r>
    <n v="2370"/>
    <x v="3"/>
    <m/>
    <x v="4"/>
    <x v="61"/>
    <d v="2020-09-01T00:00:00"/>
    <d v="2020-09-01T00:00:00"/>
    <n v="-33.97"/>
    <n v="33.97"/>
    <m/>
    <s v="Lidl 475 Panningen PANNINGEN"/>
    <s v="UIT"/>
    <s v="BOODSCH"/>
    <s v="boodschappen"/>
    <m/>
    <m/>
    <m/>
    <m/>
    <m/>
    <m/>
    <m/>
    <m/>
    <m/>
    <m/>
  </r>
  <r>
    <n v="2371"/>
    <x v="3"/>
    <m/>
    <x v="4"/>
    <x v="61"/>
    <d v="2020-09-01T00:00:00"/>
    <d v="2020-09-01T00:00:00"/>
    <n v="-7.17"/>
    <n v="7.17"/>
    <m/>
    <s v="JanLinders Panningen PANNINGEN"/>
    <s v="UIT"/>
    <s v="BOODSCH"/>
    <s v="boodschappen"/>
    <m/>
    <m/>
    <m/>
    <m/>
    <m/>
    <m/>
    <m/>
    <m/>
    <m/>
    <m/>
  </r>
  <r>
    <n v="2373"/>
    <x v="3"/>
    <m/>
    <x v="4"/>
    <x v="61"/>
    <d v="2020-09-01T00:00:00"/>
    <d v="2020-09-01T00:00:00"/>
    <n v="-1.55"/>
    <n v="1.55"/>
    <m/>
    <s v="Spar Enjoy Schatberg SEVENUM"/>
    <s v="UIT"/>
    <s v="BOODSCH"/>
    <s v="boodschappen"/>
    <m/>
    <m/>
    <m/>
    <m/>
    <m/>
    <m/>
    <m/>
    <m/>
    <m/>
    <m/>
  </r>
  <r>
    <n v="2378"/>
    <x v="3"/>
    <m/>
    <x v="4"/>
    <x v="61"/>
    <d v="2020-09-04T00:00:00"/>
    <d v="2020-09-04T00:00:00"/>
    <n v="-1.45"/>
    <n v="1.45"/>
    <m/>
    <s v="Spar Enjoy Schatberg SEVENUM"/>
    <s v="UIT"/>
    <s v="BOODSCH"/>
    <s v="boodschappen"/>
    <m/>
    <m/>
    <m/>
    <m/>
    <m/>
    <m/>
    <m/>
    <m/>
    <m/>
    <m/>
  </r>
  <r>
    <n v="2379"/>
    <x v="3"/>
    <m/>
    <x v="4"/>
    <x v="61"/>
    <d v="2020-09-05T00:00:00"/>
    <d v="2020-09-05T00:00:00"/>
    <n v="-1.7"/>
    <n v="1.7"/>
    <m/>
    <s v="Holland &amp; Barrett VENLO"/>
    <s v="UIT"/>
    <s v="BOODSCH"/>
    <s v="boodschappen"/>
    <m/>
    <m/>
    <m/>
    <m/>
    <m/>
    <m/>
    <m/>
    <m/>
    <m/>
    <m/>
  </r>
  <r>
    <n v="2381"/>
    <x v="3"/>
    <m/>
    <x v="4"/>
    <x v="61"/>
    <d v="2020-09-05T00:00:00"/>
    <d v="2020-09-05T00:00:00"/>
    <n v="-4.4400000000000004"/>
    <n v="4.4400000000000004"/>
    <m/>
    <s v="Jumbo Venlo VENLO"/>
    <s v="UIT"/>
    <s v="BOODSCH"/>
    <s v="boodschappen"/>
    <m/>
    <m/>
    <m/>
    <m/>
    <m/>
    <m/>
    <m/>
    <m/>
    <m/>
    <m/>
  </r>
  <r>
    <n v="2384"/>
    <x v="3"/>
    <m/>
    <x v="4"/>
    <x v="61"/>
    <d v="2020-09-07T00:00:00"/>
    <d v="2020-09-07T00:00:00"/>
    <n v="-3.45"/>
    <n v="3.45"/>
    <m/>
    <s v="Spar Enjoy Schatberg SEVENUM"/>
    <s v="UIT"/>
    <s v="BOODSCH"/>
    <s v="boodschappen"/>
    <m/>
    <m/>
    <m/>
    <m/>
    <m/>
    <m/>
    <m/>
    <m/>
    <m/>
    <m/>
  </r>
  <r>
    <n v="2386"/>
    <x v="3"/>
    <m/>
    <x v="4"/>
    <x v="61"/>
    <d v="2020-09-08T00:00:00"/>
    <d v="2020-09-08T00:00:00"/>
    <n v="-25.73"/>
    <n v="25.73"/>
    <m/>
    <s v="JanLinders Panningen PANNINGEN"/>
    <s v="UIT"/>
    <s v="BOODSCH"/>
    <s v="boodschappen"/>
    <m/>
    <m/>
    <m/>
    <m/>
    <m/>
    <m/>
    <m/>
    <m/>
    <m/>
    <m/>
  </r>
  <r>
    <n v="2387"/>
    <x v="3"/>
    <m/>
    <x v="4"/>
    <x v="61"/>
    <d v="2020-09-08T00:00:00"/>
    <d v="2020-09-08T00:00:00"/>
    <n v="-1.39"/>
    <n v="1.39"/>
    <m/>
    <s v="JL Panningen PANNINGEN"/>
    <s v="UIT"/>
    <s v="BOODSCH"/>
    <s v="boodschappen"/>
    <m/>
    <m/>
    <m/>
    <m/>
    <m/>
    <m/>
    <m/>
    <m/>
    <m/>
    <m/>
  </r>
  <r>
    <n v="2388"/>
    <x v="3"/>
    <m/>
    <x v="4"/>
    <x v="61"/>
    <d v="2020-09-09T00:00:00"/>
    <d v="2020-09-09T00:00:00"/>
    <n v="-0.99"/>
    <n v="0.99"/>
    <m/>
    <s v="Spar Enjoy Schatberg SEVENUM"/>
    <s v="UIT"/>
    <s v="BOODSCH"/>
    <s v="boodschappen"/>
    <m/>
    <m/>
    <m/>
    <m/>
    <m/>
    <m/>
    <m/>
    <m/>
    <m/>
    <m/>
  </r>
  <r>
    <n v="2389"/>
    <x v="3"/>
    <m/>
    <x v="4"/>
    <x v="61"/>
    <d v="2020-09-10T00:00:00"/>
    <d v="2020-09-10T00:00:00"/>
    <n v="-1.05"/>
    <n v="1.05"/>
    <m/>
    <s v="Spar Enjoy Schatberg SEVENUM"/>
    <s v="UIT"/>
    <s v="BOODSCH"/>
    <s v="boodschappen"/>
    <m/>
    <m/>
    <m/>
    <m/>
    <m/>
    <m/>
    <m/>
    <m/>
    <m/>
    <m/>
  </r>
  <r>
    <n v="2390"/>
    <x v="3"/>
    <m/>
    <x v="4"/>
    <x v="61"/>
    <d v="2020-09-12T00:00:00"/>
    <d v="2020-09-12T00:00:00"/>
    <n v="-9.49"/>
    <n v="9.49"/>
    <m/>
    <s v="Kruidvat 1899 HELMOND"/>
    <s v="UIT"/>
    <s v="BOODSCH"/>
    <s v="proteinepoeder"/>
    <m/>
    <m/>
    <m/>
    <m/>
    <m/>
    <m/>
    <m/>
    <m/>
    <m/>
    <m/>
  </r>
  <r>
    <n v="2391"/>
    <x v="3"/>
    <m/>
    <x v="4"/>
    <x v="61"/>
    <d v="2020-09-12T00:00:00"/>
    <d v="2020-09-12T00:00:00"/>
    <n v="-1.99"/>
    <n v="1.99"/>
    <m/>
    <s v="CCV*Zapolski Helmond B HELMOND"/>
    <s v="UIT"/>
    <s v="BOODSCH"/>
    <s v="boodschappen"/>
    <m/>
    <m/>
    <m/>
    <m/>
    <m/>
    <m/>
    <m/>
    <m/>
    <m/>
    <m/>
  </r>
  <r>
    <n v="2392"/>
    <x v="3"/>
    <m/>
    <x v="4"/>
    <x v="61"/>
    <d v="2020-09-12T00:00:00"/>
    <d v="2020-09-12T00:00:00"/>
    <n v="-8.4"/>
    <n v="8.4"/>
    <m/>
    <s v="Jumbo PhicoopSevenum SEVENUM"/>
    <s v="UIT"/>
    <s v="BOODSCH"/>
    <s v="boodschappen"/>
    <m/>
    <m/>
    <m/>
    <m/>
    <m/>
    <m/>
    <m/>
    <m/>
    <m/>
    <m/>
  </r>
  <r>
    <n v="2395"/>
    <x v="3"/>
    <m/>
    <x v="4"/>
    <x v="61"/>
    <d v="2020-09-14T00:00:00"/>
    <d v="2020-09-14T00:00:00"/>
    <n v="-3.39"/>
    <n v="3.39"/>
    <m/>
    <s v="Spar Enjoy Schatberg SEVENUM"/>
    <s v="UIT"/>
    <s v="BOODSCH"/>
    <s v="boodschappen"/>
    <m/>
    <m/>
    <m/>
    <m/>
    <m/>
    <m/>
    <m/>
    <m/>
    <m/>
    <m/>
  </r>
  <r>
    <n v="2396"/>
    <x v="3"/>
    <m/>
    <x v="4"/>
    <x v="61"/>
    <d v="2020-09-14T00:00:00"/>
    <d v="2020-09-14T00:00:00"/>
    <n v="-1.85"/>
    <n v="1.85"/>
    <m/>
    <s v="Spar Enjoy Schatberg SEVENUM"/>
    <s v="UIT"/>
    <s v="BOODSCH"/>
    <s v="boodschappen"/>
    <m/>
    <m/>
    <m/>
    <m/>
    <m/>
    <m/>
    <m/>
    <m/>
    <m/>
    <m/>
  </r>
  <r>
    <n v="2397"/>
    <x v="3"/>
    <m/>
    <x v="4"/>
    <x v="61"/>
    <d v="2020-09-15T00:00:00"/>
    <d v="2020-09-15T00:00:00"/>
    <n v="-2.14"/>
    <n v="2.14"/>
    <m/>
    <s v="Spar Enjoy Schatberg SEVENUM"/>
    <s v="UIT"/>
    <s v="BOODSCH"/>
    <s v="boodschappen"/>
    <m/>
    <m/>
    <m/>
    <m/>
    <m/>
    <m/>
    <m/>
    <m/>
    <m/>
    <m/>
  </r>
  <r>
    <n v="2402"/>
    <x v="3"/>
    <m/>
    <x v="4"/>
    <x v="61"/>
    <d v="2020-09-16T00:00:00"/>
    <d v="2020-09-16T00:00:00"/>
    <n v="-2.84"/>
    <n v="2.84"/>
    <m/>
    <s v="Spar Enjoy Schatberg SEVENUM"/>
    <s v="UIT"/>
    <s v="BOODSCH"/>
    <s v="boodschappen"/>
    <m/>
    <m/>
    <m/>
    <m/>
    <m/>
    <m/>
    <m/>
    <m/>
    <m/>
    <m/>
  </r>
  <r>
    <n v="2404"/>
    <x v="3"/>
    <m/>
    <x v="4"/>
    <x v="61"/>
    <d v="2020-09-17T00:00:00"/>
    <d v="2020-09-17T00:00:00"/>
    <n v="-21.25"/>
    <n v="21.25"/>
    <m/>
    <s v="ALDI 022 SEVENUM"/>
    <s v="UIT"/>
    <s v="BOODSCH"/>
    <s v="boodschappen"/>
    <m/>
    <m/>
    <m/>
    <m/>
    <m/>
    <m/>
    <m/>
    <m/>
    <m/>
    <m/>
  </r>
  <r>
    <n v="2405"/>
    <x v="3"/>
    <m/>
    <x v="4"/>
    <x v="61"/>
    <d v="2020-09-17T00:00:00"/>
    <d v="2020-09-17T00:00:00"/>
    <n v="-6.09"/>
    <n v="6.09"/>
    <m/>
    <s v="Jan Linders Sevenum SEVENUM"/>
    <s v="UIT"/>
    <s v="BOODSCH"/>
    <s v="boodschappen"/>
    <m/>
    <m/>
    <m/>
    <m/>
    <m/>
    <m/>
    <m/>
    <m/>
    <m/>
    <m/>
  </r>
  <r>
    <n v="2407"/>
    <x v="3"/>
    <m/>
    <x v="4"/>
    <x v="61"/>
    <d v="2020-09-20T00:00:00"/>
    <d v="2020-09-20T00:00:00"/>
    <n v="-2.64"/>
    <n v="2.64"/>
    <m/>
    <s v="Spar Enjoy Schatberg SEVENUM"/>
    <s v="UIT"/>
    <s v="BOODSCH"/>
    <s v="boodschappen"/>
    <m/>
    <m/>
    <m/>
    <m/>
    <m/>
    <m/>
    <m/>
    <m/>
    <m/>
    <m/>
  </r>
  <r>
    <n v="2410"/>
    <x v="3"/>
    <m/>
    <x v="4"/>
    <x v="61"/>
    <d v="2020-09-22T00:00:00"/>
    <d v="2020-09-22T00:00:00"/>
    <n v="-4.99"/>
    <n v="4.99"/>
    <m/>
    <s v="Spar Enjoy Schatberg SEVENUM"/>
    <s v="UIT"/>
    <s v="BOODSCH"/>
    <s v="boodschappen"/>
    <m/>
    <m/>
    <m/>
    <m/>
    <m/>
    <m/>
    <m/>
    <m/>
    <m/>
    <m/>
  </r>
  <r>
    <n v="2414"/>
    <x v="3"/>
    <m/>
    <x v="4"/>
    <x v="61"/>
    <d v="2020-09-24T00:00:00"/>
    <d v="2020-09-24T00:00:00"/>
    <n v="-2.21"/>
    <n v="2.21"/>
    <m/>
    <s v="ALBERT HEIJN 1878 ARNHEM"/>
    <s v="UIT"/>
    <s v="BOODSCH"/>
    <s v="boodschappen"/>
    <m/>
    <m/>
    <m/>
    <m/>
    <m/>
    <m/>
    <m/>
    <m/>
    <m/>
    <m/>
  </r>
  <r>
    <n v="2417"/>
    <x v="3"/>
    <m/>
    <x v="4"/>
    <x v="61"/>
    <d v="2020-09-25T00:00:00"/>
    <d v="2020-09-25T00:00:00"/>
    <n v="-0.99"/>
    <n v="0.99"/>
    <m/>
    <s v="Spar Enjoy Schatberg SEVENUM"/>
    <s v="UIT"/>
    <s v="BOODSCH"/>
    <s v="boodschappen"/>
    <m/>
    <m/>
    <m/>
    <m/>
    <m/>
    <m/>
    <m/>
    <m/>
    <m/>
    <m/>
  </r>
  <r>
    <n v="2418"/>
    <x v="3"/>
    <m/>
    <x v="4"/>
    <x v="61"/>
    <d v="2020-09-27T00:00:00"/>
    <d v="2020-09-27T00:00:00"/>
    <n v="-3.64"/>
    <n v="3.64"/>
    <m/>
    <s v="Spar Enjoy Schatberg SEVENUM"/>
    <s v="UIT"/>
    <s v="BOODSCH"/>
    <s v="boodschappen"/>
    <m/>
    <m/>
    <m/>
    <m/>
    <m/>
    <m/>
    <m/>
    <m/>
    <m/>
    <m/>
  </r>
  <r>
    <n v="2422"/>
    <x v="3"/>
    <m/>
    <x v="4"/>
    <x v="61"/>
    <d v="2020-09-29T00:00:00"/>
    <d v="2020-09-29T00:00:00"/>
    <n v="-1.0900000000000001"/>
    <n v="1.0900000000000001"/>
    <m/>
    <s v="ALDI 022 SEVENUM"/>
    <s v="UIT"/>
    <s v="BOODSCH"/>
    <s v="boodschappen"/>
    <m/>
    <m/>
    <m/>
    <m/>
    <m/>
    <m/>
    <m/>
    <m/>
    <m/>
    <m/>
  </r>
  <r>
    <n v="2423"/>
    <x v="3"/>
    <m/>
    <x v="4"/>
    <x v="61"/>
    <d v="2020-09-30T00:00:00"/>
    <d v="2020-09-30T00:00:00"/>
    <n v="-1.29"/>
    <n v="1.29"/>
    <m/>
    <s v="Spar Enjoy Schatberg SEVENUM"/>
    <s v="UIT"/>
    <s v="BOODSCH"/>
    <s v="boodschappen"/>
    <m/>
    <m/>
    <m/>
    <m/>
    <m/>
    <m/>
    <m/>
    <m/>
    <m/>
    <m/>
  </r>
  <r>
    <n v="2428"/>
    <x v="3"/>
    <m/>
    <x v="4"/>
    <x v="57"/>
    <d v="2020-10-01T00:00:00"/>
    <d v="2020-10-01T00:00:00"/>
    <n v="-0.99"/>
    <n v="0.99"/>
    <m/>
    <s v="Coop 2113 MUSSELKANAAL"/>
    <s v="UIT"/>
    <s v="BOODSCH"/>
    <s v="boodschappen"/>
    <m/>
    <m/>
    <m/>
    <m/>
    <m/>
    <m/>
    <m/>
    <m/>
    <m/>
    <m/>
  </r>
  <r>
    <n v="2437"/>
    <x v="3"/>
    <m/>
    <x v="4"/>
    <x v="57"/>
    <d v="2020-10-10T00:00:00"/>
    <d v="2020-10-10T00:00:00"/>
    <n v="-2.0699999999999998"/>
    <n v="2.0699999999999998"/>
    <m/>
    <s v="ALBERT HEIJN 1878 ARNHEM"/>
    <s v="UIT"/>
    <s v="BOODSCH"/>
    <s v="boodschappen"/>
    <m/>
    <m/>
    <m/>
    <m/>
    <m/>
    <m/>
    <m/>
    <m/>
    <m/>
    <m/>
  </r>
  <r>
    <n v="2444"/>
    <x v="3"/>
    <m/>
    <x v="4"/>
    <x v="57"/>
    <d v="2020-10-12T00:00:00"/>
    <d v="2020-10-12T00:00:00"/>
    <n v="-6.87"/>
    <n v="6.87"/>
    <m/>
    <s v="ALBERT HEIJN 1878 ARNHEM"/>
    <s v="UIT"/>
    <s v="BOODSCH"/>
    <s v="boodschappen"/>
    <m/>
    <m/>
    <m/>
    <m/>
    <m/>
    <m/>
    <m/>
    <m/>
    <m/>
    <m/>
  </r>
  <r>
    <n v="2447"/>
    <x v="3"/>
    <m/>
    <x v="4"/>
    <x v="57"/>
    <d v="2020-10-13T00:00:00"/>
    <d v="2020-10-13T00:00:00"/>
    <n v="-9.75"/>
    <n v="9.75"/>
    <m/>
    <s v="ALBERT HEIJN 1878 ARNHEM"/>
    <s v="UIT"/>
    <s v="BOODSCH"/>
    <s v="boodschappen"/>
    <m/>
    <m/>
    <m/>
    <m/>
    <m/>
    <m/>
    <m/>
    <m/>
    <m/>
    <m/>
  </r>
  <r>
    <n v="2450"/>
    <x v="3"/>
    <m/>
    <x v="4"/>
    <x v="57"/>
    <d v="2020-10-14T00:00:00"/>
    <d v="2020-10-14T00:00:00"/>
    <n v="-5.68"/>
    <n v="5.68"/>
    <m/>
    <s v="Xenos Arnhem 0018 ARNHEM"/>
    <s v="UIT"/>
    <s v="BOODSCH"/>
    <s v="boodschappen"/>
    <m/>
    <m/>
    <m/>
    <m/>
    <m/>
    <m/>
    <m/>
    <m/>
    <m/>
    <m/>
  </r>
  <r>
    <n v="2451"/>
    <x v="3"/>
    <m/>
    <x v="4"/>
    <x v="57"/>
    <d v="2020-10-14T00:00:00"/>
    <d v="2020-10-14T00:00:00"/>
    <n v="-2.88"/>
    <n v="2.88"/>
    <m/>
    <s v="ALBERT HEIJN 1878 ARNHEM"/>
    <s v="UIT"/>
    <s v="BOODSCH"/>
    <s v="boodschappen"/>
    <m/>
    <m/>
    <m/>
    <m/>
    <m/>
    <m/>
    <m/>
    <m/>
    <m/>
    <m/>
  </r>
  <r>
    <n v="2454"/>
    <x v="3"/>
    <m/>
    <x v="4"/>
    <x v="57"/>
    <d v="2020-10-15T00:00:00"/>
    <d v="2020-10-15T00:00:00"/>
    <n v="-3.07"/>
    <n v="3.07"/>
    <m/>
    <s v="ALBERT HEIJN 1878 ARNHEM"/>
    <s v="UIT"/>
    <s v="BOODSCH"/>
    <s v="boodschappen"/>
    <m/>
    <m/>
    <m/>
    <m/>
    <m/>
    <m/>
    <m/>
    <m/>
    <m/>
    <m/>
  </r>
  <r>
    <n v="2458"/>
    <x v="3"/>
    <m/>
    <x v="4"/>
    <x v="57"/>
    <d v="2020-10-17T00:00:00"/>
    <d v="2020-10-17T00:00:00"/>
    <n v="-5.58"/>
    <n v="5.58"/>
    <m/>
    <s v="Plus Musiskwartier ARNHEM"/>
    <s v="UIT"/>
    <s v="BOODSCH"/>
    <s v="boodschappen"/>
    <m/>
    <m/>
    <m/>
    <m/>
    <m/>
    <m/>
    <m/>
    <m/>
    <m/>
    <m/>
  </r>
  <r>
    <n v="2459"/>
    <x v="3"/>
    <m/>
    <x v="4"/>
    <x v="57"/>
    <d v="2020-10-17T00:00:00"/>
    <d v="2020-10-17T00:00:00"/>
    <n v="-2.57"/>
    <n v="2.57"/>
    <m/>
    <s v="Ekoplaza Velperplein ARNHEM"/>
    <s v="UIT"/>
    <s v="BOODSCH"/>
    <s v="boodschappen"/>
    <m/>
    <m/>
    <m/>
    <m/>
    <m/>
    <m/>
    <m/>
    <m/>
    <m/>
    <m/>
  </r>
  <r>
    <n v="2460"/>
    <x v="3"/>
    <m/>
    <x v="4"/>
    <x v="57"/>
    <d v="2020-10-18T00:00:00"/>
    <d v="2020-10-18T00:00:00"/>
    <n v="-5.01"/>
    <n v="5.01"/>
    <m/>
    <s v="ALBERT HEIJN 1878 ARNHEM"/>
    <s v="UIT"/>
    <s v="BOODSCH"/>
    <s v="boodschappen"/>
    <m/>
    <m/>
    <m/>
    <m/>
    <m/>
    <m/>
    <m/>
    <m/>
    <m/>
    <m/>
  </r>
  <r>
    <n v="2461"/>
    <x v="3"/>
    <m/>
    <x v="4"/>
    <x v="57"/>
    <d v="2020-10-18T00:00:00"/>
    <d v="2020-10-18T00:00:00"/>
    <n v="-5.38"/>
    <n v="5.38"/>
    <m/>
    <s v="ALBERT HEIJN 1878 ARNHEM"/>
    <s v="UIT"/>
    <s v="BOODSCH"/>
    <s v="boodschappen"/>
    <m/>
    <m/>
    <m/>
    <m/>
    <m/>
    <m/>
    <m/>
    <m/>
    <m/>
    <m/>
  </r>
  <r>
    <n v="2463"/>
    <x v="3"/>
    <m/>
    <x v="4"/>
    <x v="57"/>
    <d v="2020-10-19T00:00:00"/>
    <d v="2020-10-19T00:00:00"/>
    <n v="-6.72"/>
    <n v="6.72"/>
    <m/>
    <s v="ALBERT HEIJN 1878 ARNHEM"/>
    <s v="UIT"/>
    <s v="BOODSCH"/>
    <s v="boodschappen"/>
    <m/>
    <m/>
    <m/>
    <m/>
    <m/>
    <m/>
    <m/>
    <m/>
    <m/>
    <m/>
  </r>
  <r>
    <n v="2467"/>
    <x v="3"/>
    <m/>
    <x v="4"/>
    <x v="57"/>
    <d v="2020-10-20T00:00:00"/>
    <d v="2020-10-20T00:00:00"/>
    <n v="-10.99"/>
    <n v="10.99"/>
    <m/>
    <s v="Holland &amp; Barrett ARNHEM"/>
    <s v="UIT"/>
    <s v="BOODSCH"/>
    <s v="proteinepoeder"/>
    <m/>
    <m/>
    <m/>
    <m/>
    <m/>
    <m/>
    <m/>
    <m/>
    <m/>
    <m/>
  </r>
  <r>
    <n v="2468"/>
    <x v="3"/>
    <m/>
    <x v="4"/>
    <x v="57"/>
    <d v="2020-10-20T00:00:00"/>
    <d v="2020-10-20T00:00:00"/>
    <n v="-2.69"/>
    <n v="2.69"/>
    <m/>
    <s v="ALBERT HEIJN 1878 ARNHEM"/>
    <s v="UIT"/>
    <s v="BOODSCH"/>
    <s v="boodschappen"/>
    <m/>
    <m/>
    <m/>
    <m/>
    <m/>
    <m/>
    <m/>
    <m/>
    <m/>
    <m/>
  </r>
  <r>
    <n v="2475"/>
    <x v="3"/>
    <m/>
    <x v="4"/>
    <x v="57"/>
    <d v="2020-10-22T00:00:00"/>
    <d v="2020-10-22T00:00:00"/>
    <n v="-2.77"/>
    <n v="2.77"/>
    <m/>
    <s v="ALBERT HEIJN 1878 ARNHEM"/>
    <s v="UIT"/>
    <s v="BOODSCH"/>
    <s v="boodschappen"/>
    <m/>
    <m/>
    <m/>
    <m/>
    <m/>
    <m/>
    <m/>
    <m/>
    <m/>
    <m/>
  </r>
  <r>
    <n v="2479"/>
    <x v="3"/>
    <m/>
    <x v="4"/>
    <x v="57"/>
    <d v="2020-10-24T00:00:00"/>
    <d v="2020-10-24T00:00:00"/>
    <n v="-4.92"/>
    <n v="4.92"/>
    <m/>
    <s v="ALBERT HEIJN 1878 ARNHEM"/>
    <s v="UIT"/>
    <s v="BOODSCH"/>
    <s v="boodschappen"/>
    <s v="NIEUW"/>
    <m/>
    <m/>
    <m/>
    <m/>
    <m/>
    <m/>
    <m/>
    <m/>
    <m/>
  </r>
  <r>
    <n v="2480"/>
    <x v="3"/>
    <m/>
    <x v="4"/>
    <x v="57"/>
    <d v="2020-10-25T00:00:00"/>
    <d v="2020-10-25T00:00:00"/>
    <n v="-9.49"/>
    <n v="9.49"/>
    <m/>
    <s v="Kruidvat 0256 ARNHEM"/>
    <s v="UIT"/>
    <s v="BOODSCH"/>
    <s v="proteinepoeder"/>
    <s v="NIEUW"/>
    <m/>
    <m/>
    <m/>
    <m/>
    <m/>
    <m/>
    <m/>
    <m/>
    <m/>
  </r>
  <r>
    <n v="2484"/>
    <x v="3"/>
    <m/>
    <x v="4"/>
    <x v="57"/>
    <d v="2020-10-31T00:00:00"/>
    <d v="2020-10-31T00:00:00"/>
    <n v="-8.67"/>
    <n v="8.67"/>
    <m/>
    <s v="Coop 2113 MUSSELKANAAL"/>
    <s v="UIT"/>
    <s v="BOODSCH"/>
    <s v="boodschappen"/>
    <s v="NIEUW"/>
    <m/>
    <m/>
    <m/>
    <m/>
    <m/>
    <m/>
    <m/>
    <m/>
    <m/>
  </r>
  <r>
    <n v="2485"/>
    <x v="3"/>
    <m/>
    <x v="4"/>
    <x v="59"/>
    <d v="2020-11-01T00:00:00"/>
    <d v="2020-11-01T00:00:00"/>
    <n v="5"/>
    <n v="5"/>
    <s v="NL10RBRB0948370114"/>
    <s v="SMIT W en/of SMIT-BRANDS W R F"/>
    <s v="UIT"/>
    <s v="BOODSCH"/>
    <s v="boodschappen"/>
    <s v="NIEUW"/>
    <m/>
    <m/>
    <m/>
    <m/>
    <m/>
    <m/>
    <m/>
    <m/>
    <m/>
  </r>
  <r>
    <n v="2490"/>
    <x v="3"/>
    <m/>
    <x v="4"/>
    <x v="59"/>
    <d v="2020-11-03T00:00:00"/>
    <d v="2020-11-03T00:00:00"/>
    <n v="-1.98"/>
    <n v="1.98"/>
    <m/>
    <s v="Action 1072 Stadskanaal"/>
    <s v="UIT"/>
    <s v="BOODSCH"/>
    <s v="boodschappen"/>
    <s v="NIEUW"/>
    <m/>
    <m/>
    <m/>
    <m/>
    <m/>
    <m/>
    <m/>
    <m/>
    <m/>
  </r>
  <r>
    <n v="2493"/>
    <x v="3"/>
    <m/>
    <x v="4"/>
    <x v="59"/>
    <d v="2020-11-03T00:00:00"/>
    <d v="2020-11-03T00:00:00"/>
    <n v="-4.28"/>
    <n v="4.28"/>
    <m/>
    <s v="Albert Heijn 1122 STADSKANAAL"/>
    <s v="UIT"/>
    <s v="BOODSCH"/>
    <s v="boodschappen"/>
    <s v="NIEUW"/>
    <m/>
    <m/>
    <m/>
    <m/>
    <m/>
    <m/>
    <m/>
    <m/>
    <m/>
  </r>
  <r>
    <n v="2495"/>
    <x v="3"/>
    <m/>
    <x v="4"/>
    <x v="59"/>
    <d v="2020-11-06T00:00:00"/>
    <d v="2020-11-06T00:00:00"/>
    <n v="-3.76"/>
    <n v="3.76"/>
    <m/>
    <s v="ALBERT HEIJN 1878 ARNHEM"/>
    <s v="UIT"/>
    <s v="BOODSCH"/>
    <s v="boodschappen"/>
    <s v="NIEUW"/>
    <m/>
    <m/>
    <m/>
    <m/>
    <m/>
    <m/>
    <m/>
    <m/>
    <m/>
  </r>
  <r>
    <n v="2497"/>
    <x v="3"/>
    <m/>
    <x v="4"/>
    <x v="59"/>
    <d v="2020-11-07T00:00:00"/>
    <d v="2020-11-07T00:00:00"/>
    <n v="-12.48"/>
    <n v="12.48"/>
    <m/>
    <s v="Kruidvat 0256 ARNHEM"/>
    <s v="UIT"/>
    <s v="BOODSCH"/>
    <s v="proteinepoeder"/>
    <s v="NIEUW"/>
    <m/>
    <m/>
    <m/>
    <m/>
    <m/>
    <m/>
    <m/>
    <m/>
    <m/>
  </r>
  <r>
    <n v="2498"/>
    <x v="3"/>
    <m/>
    <x v="4"/>
    <x v="59"/>
    <d v="2020-11-08T00:00:00"/>
    <d v="2020-11-08T00:00:00"/>
    <n v="-6.77"/>
    <n v="6.77"/>
    <m/>
    <s v="Plus Musiskwartier ARNHEM"/>
    <s v="UIT"/>
    <s v="BOODSCH"/>
    <s v="boodschappen"/>
    <s v="NIEUW"/>
    <m/>
    <m/>
    <m/>
    <m/>
    <m/>
    <m/>
    <m/>
    <m/>
    <m/>
  </r>
  <r>
    <n v="2499"/>
    <x v="3"/>
    <m/>
    <x v="4"/>
    <x v="59"/>
    <d v="2020-11-09T00:00:00"/>
    <d v="2020-11-09T00:00:00"/>
    <n v="-8.66"/>
    <n v="8.66"/>
    <m/>
    <s v="ALBERT HEIJN 1878 ARNHEM"/>
    <s v="UIT"/>
    <s v="BOODSCH"/>
    <s v="boodschappen"/>
    <s v="NIEUW"/>
    <m/>
    <m/>
    <m/>
    <m/>
    <m/>
    <m/>
    <m/>
    <m/>
    <m/>
  </r>
  <r>
    <n v="2500"/>
    <x v="3"/>
    <m/>
    <x v="4"/>
    <x v="59"/>
    <d v="2020-11-09T00:00:00"/>
    <d v="2020-11-09T00:00:00"/>
    <n v="-2.5"/>
    <n v="2.5"/>
    <m/>
    <s v="CCV*VOF HERMSEN PA PLU ARNHEM"/>
    <s v="UIT"/>
    <s v="BOODSCH"/>
    <s v="boodschappen"/>
    <s v="NIEUW"/>
    <m/>
    <m/>
    <m/>
    <m/>
    <m/>
    <m/>
    <m/>
    <m/>
    <m/>
  </r>
  <r>
    <n v="2502"/>
    <x v="3"/>
    <m/>
    <x v="4"/>
    <x v="59"/>
    <d v="2020-11-09T00:00:00"/>
    <d v="2020-11-09T00:00:00"/>
    <n v="-1.87"/>
    <n v="1.87"/>
    <m/>
    <s v="ALBERT HEIJN 1878 ARNHEM"/>
    <s v="UIT"/>
    <s v="BOODSCH"/>
    <s v="boodschappen"/>
    <s v="NIEUW"/>
    <m/>
    <m/>
    <m/>
    <m/>
    <m/>
    <m/>
    <m/>
    <m/>
    <m/>
  </r>
  <r>
    <n v="2503"/>
    <x v="3"/>
    <m/>
    <x v="4"/>
    <x v="59"/>
    <d v="2020-11-10T00:00:00"/>
    <d v="2020-11-10T00:00:00"/>
    <n v="-5.83"/>
    <n v="5.83"/>
    <m/>
    <s v="ALBERT HEIJN 1878 ARNHEM"/>
    <s v="UIT"/>
    <s v="BOODSCH"/>
    <s v="boodschappen"/>
    <s v="NIEUW"/>
    <m/>
    <m/>
    <m/>
    <m/>
    <m/>
    <m/>
    <m/>
    <m/>
    <m/>
  </r>
  <r>
    <n v="2505"/>
    <x v="3"/>
    <m/>
    <x v="4"/>
    <x v="59"/>
    <d v="2020-11-11T00:00:00"/>
    <d v="2020-11-11T00:00:00"/>
    <n v="-1.25"/>
    <n v="1.25"/>
    <m/>
    <s v="CCV*San Wah Foods Arnh ARNHEM"/>
    <s v="UIT"/>
    <s v="BOODSCH"/>
    <s v="boodschappen"/>
    <s v="NIEUW"/>
    <m/>
    <m/>
    <m/>
    <m/>
    <m/>
    <m/>
    <m/>
    <m/>
    <m/>
  </r>
  <r>
    <n v="2506"/>
    <x v="3"/>
    <m/>
    <x v="4"/>
    <x v="59"/>
    <d v="2020-11-11T00:00:00"/>
    <d v="2020-11-11T00:00:00"/>
    <n v="-2.04"/>
    <n v="2.04"/>
    <m/>
    <s v="ALBERT HEIJN 1878 ARNHEM"/>
    <s v="UIT"/>
    <s v="BOODSCH"/>
    <s v="boodschappen"/>
    <s v="NIEUW"/>
    <m/>
    <m/>
    <m/>
    <m/>
    <m/>
    <m/>
    <m/>
    <m/>
    <m/>
  </r>
  <r>
    <n v="2507"/>
    <x v="3"/>
    <m/>
    <x v="4"/>
    <x v="59"/>
    <d v="2020-11-12T00:00:00"/>
    <d v="2020-11-12T00:00:00"/>
    <n v="-4.09"/>
    <n v="4.09"/>
    <m/>
    <s v="ALBERT HEIJN 1878 ARNHEM"/>
    <s v="UIT"/>
    <s v="BOODSCH"/>
    <s v="boodschappen"/>
    <s v="NIEUW"/>
    <m/>
    <m/>
    <m/>
    <m/>
    <m/>
    <m/>
    <m/>
    <m/>
    <m/>
  </r>
  <r>
    <n v="2508"/>
    <x v="3"/>
    <m/>
    <x v="4"/>
    <x v="59"/>
    <d v="2020-11-13T00:00:00"/>
    <d v="2020-11-13T00:00:00"/>
    <n v="-2.77"/>
    <n v="2.77"/>
    <m/>
    <s v="ALBERT HEIJN 1878 ARNHEM"/>
    <s v="UIT"/>
    <s v="BOODSCH"/>
    <s v="boodschappen"/>
    <s v="NIEUW"/>
    <m/>
    <m/>
    <m/>
    <m/>
    <m/>
    <m/>
    <m/>
    <m/>
    <m/>
  </r>
  <r>
    <n v="2510"/>
    <x v="3"/>
    <m/>
    <x v="4"/>
    <x v="59"/>
    <d v="2020-11-14T00:00:00"/>
    <d v="2020-11-14T00:00:00"/>
    <n v="-2.44"/>
    <n v="2.44"/>
    <m/>
    <s v="ALBERT HEIJN 1878 ARNHEM"/>
    <s v="UIT"/>
    <s v="BOODSCH"/>
    <s v="boodschappen"/>
    <s v="NIEUW"/>
    <m/>
    <m/>
    <m/>
    <m/>
    <m/>
    <m/>
    <m/>
    <m/>
    <m/>
  </r>
  <r>
    <n v="2513"/>
    <x v="3"/>
    <m/>
    <x v="4"/>
    <x v="59"/>
    <d v="2020-11-15T00:00:00"/>
    <d v="2020-11-15T00:00:00"/>
    <n v="-2.1800000000000002"/>
    <n v="2.1800000000000002"/>
    <m/>
    <s v="ALBERT HEIJN 1878 ARNHEM"/>
    <s v="UIT"/>
    <s v="BOODSCH"/>
    <s v="boodschappen"/>
    <s v="NIEUW"/>
    <m/>
    <m/>
    <m/>
    <m/>
    <m/>
    <m/>
    <m/>
    <m/>
    <m/>
  </r>
  <r>
    <n v="2514"/>
    <x v="3"/>
    <m/>
    <x v="4"/>
    <x v="59"/>
    <d v="2020-11-16T00:00:00"/>
    <d v="2020-11-16T00:00:00"/>
    <n v="-37.99"/>
    <n v="37.99"/>
    <m/>
    <s v="Lidl 193 Arnhem Amst ARNHEM"/>
    <s v="UIT"/>
    <s v="BOODSCH"/>
    <s v="boodschappen"/>
    <s v="NIEUW"/>
    <m/>
    <m/>
    <m/>
    <m/>
    <m/>
    <m/>
    <m/>
    <m/>
    <m/>
  </r>
  <r>
    <n v="2515"/>
    <x v="3"/>
    <m/>
    <x v="4"/>
    <x v="59"/>
    <d v="2020-11-16T00:00:00"/>
    <d v="2020-11-16T00:00:00"/>
    <n v="-3.81"/>
    <n v="3.81"/>
    <m/>
    <s v="ALBERT HEIJN 1878 ARNHEM"/>
    <s v="UIT"/>
    <s v="BOODSCH"/>
    <s v="boodschappen"/>
    <s v="NIEUW"/>
    <m/>
    <m/>
    <m/>
    <m/>
    <m/>
    <m/>
    <m/>
    <m/>
    <m/>
  </r>
  <r>
    <n v="2516"/>
    <x v="3"/>
    <m/>
    <x v="4"/>
    <x v="59"/>
    <d v="2020-11-17T00:00:00"/>
    <d v="2020-11-17T00:00:00"/>
    <n v="-0.99"/>
    <n v="0.99"/>
    <m/>
    <s v="ALBERT HEIJN 1878 ARNHEM"/>
    <s v="UIT"/>
    <s v="BOODSCH"/>
    <s v="boodschappen"/>
    <s v="NIEUW"/>
    <m/>
    <m/>
    <m/>
    <m/>
    <m/>
    <m/>
    <m/>
    <m/>
    <m/>
  </r>
  <r>
    <n v="2518"/>
    <x v="3"/>
    <m/>
    <x v="4"/>
    <x v="59"/>
    <d v="2020-11-18T00:00:00"/>
    <d v="2020-11-18T00:00:00"/>
    <n v="-4.45"/>
    <n v="4.45"/>
    <m/>
    <s v="ALBERT HEIJN 1878 ARNHEM"/>
    <s v="UIT"/>
    <s v="BOODSCH"/>
    <s v="boodschappen"/>
    <s v="NIEUW"/>
    <m/>
    <m/>
    <m/>
    <m/>
    <m/>
    <m/>
    <m/>
    <m/>
    <m/>
  </r>
  <r>
    <n v="2519"/>
    <x v="3"/>
    <m/>
    <x v="4"/>
    <x v="59"/>
    <d v="2020-11-18T00:00:00"/>
    <d v="2020-11-18T00:00:00"/>
    <n v="-0.88"/>
    <n v="0.88"/>
    <m/>
    <s v="ALBERT HEIJN 1878 ARNHEM"/>
    <s v="UIT"/>
    <s v="BOODSCH"/>
    <s v="boodschappen"/>
    <s v="NIEUW"/>
    <m/>
    <m/>
    <m/>
    <m/>
    <m/>
    <m/>
    <m/>
    <m/>
    <m/>
  </r>
  <r>
    <n v="2520"/>
    <x v="3"/>
    <m/>
    <x v="4"/>
    <x v="59"/>
    <d v="2020-11-19T00:00:00"/>
    <d v="2020-11-19T00:00:00"/>
    <n v="-5.28"/>
    <n v="5.28"/>
    <m/>
    <s v="ALBERT HEIJN 1878 ARNHEM"/>
    <s v="UIT"/>
    <s v="BOODSCH"/>
    <s v="boodschappen"/>
    <s v="NIEUW"/>
    <m/>
    <m/>
    <m/>
    <m/>
    <m/>
    <m/>
    <m/>
    <m/>
    <m/>
  </r>
  <r>
    <n v="2527"/>
    <x v="3"/>
    <m/>
    <x v="4"/>
    <x v="59"/>
    <d v="2020-11-22T00:00:00"/>
    <d v="2020-11-22T00:00:00"/>
    <n v="-3.68"/>
    <n v="3.68"/>
    <m/>
    <s v="ALBERT HEIJN 1878 ARNHEM"/>
    <s v="UIT"/>
    <s v="BOODSCH"/>
    <s v="boodschappen"/>
    <s v="NIEUW"/>
    <m/>
    <m/>
    <m/>
    <m/>
    <m/>
    <m/>
    <m/>
    <m/>
    <m/>
  </r>
  <r>
    <n v="2530"/>
    <x v="3"/>
    <m/>
    <x v="4"/>
    <x v="59"/>
    <d v="2020-11-24T00:00:00"/>
    <d v="2020-11-24T00:00:00"/>
    <n v="-1.0900000000000001"/>
    <n v="1.0900000000000001"/>
    <m/>
    <s v="Lidl 593 Musselkanaa MUSSELKANAAL"/>
    <s v="UIT"/>
    <s v="BOODSCH"/>
    <s v="boodschappen"/>
    <s v="NIEUW"/>
    <m/>
    <m/>
    <m/>
    <m/>
    <m/>
    <m/>
    <m/>
    <m/>
    <m/>
  </r>
  <r>
    <n v="2531"/>
    <x v="3"/>
    <m/>
    <x v="4"/>
    <x v="59"/>
    <d v="2020-11-27T00:00:00"/>
    <d v="2020-11-27T00:00:00"/>
    <n v="-3.38"/>
    <n v="3.38"/>
    <m/>
    <s v="Action 1072 Stadskanaal"/>
    <s v="UIT"/>
    <s v="BOODSCH"/>
    <s v="boodschappen"/>
    <s v="NIEUW"/>
    <m/>
    <m/>
    <m/>
    <m/>
    <m/>
    <m/>
    <m/>
    <m/>
    <m/>
  </r>
  <r>
    <n v="2532"/>
    <x v="3"/>
    <m/>
    <x v="4"/>
    <x v="59"/>
    <d v="2020-11-27T00:00:00"/>
    <d v="2020-11-27T00:00:00"/>
    <n v="-5.37"/>
    <n v="5.37"/>
    <m/>
    <s v="Albert Heijn 1122 STADSKANAAL"/>
    <s v="UIT"/>
    <s v="BOODSCH"/>
    <s v="boodschappen"/>
    <s v="NIEUW"/>
    <m/>
    <m/>
    <m/>
    <m/>
    <m/>
    <m/>
    <m/>
    <m/>
    <m/>
  </r>
  <r>
    <n v="2534"/>
    <x v="3"/>
    <m/>
    <x v="4"/>
    <x v="59"/>
    <d v="2020-11-28T00:00:00"/>
    <d v="2020-11-28T00:00:00"/>
    <n v="-0.99"/>
    <n v="0.99"/>
    <m/>
    <s v="Coop 2113 MUSSELKANAAL"/>
    <s v="UIT"/>
    <s v="BOODSCH"/>
    <s v="boodschappen"/>
    <s v="NIEUW"/>
    <m/>
    <m/>
    <m/>
    <m/>
    <m/>
    <m/>
    <m/>
    <m/>
    <m/>
  </r>
  <r>
    <n v="2535"/>
    <x v="3"/>
    <m/>
    <x v="4"/>
    <x v="58"/>
    <d v="2020-12-01T00:00:00"/>
    <d v="2020-12-01T00:00:00"/>
    <n v="-2.34"/>
    <n v="2.34"/>
    <m/>
    <s v="Albert Heijn 1122 STADSKANAAL"/>
    <s v="UIT"/>
    <s v="BOODSCH"/>
    <s v="boodschappen"/>
    <s v="NIEUW"/>
    <m/>
    <m/>
    <m/>
    <m/>
    <m/>
    <m/>
    <m/>
    <m/>
    <m/>
  </r>
  <r>
    <n v="2542"/>
    <x v="3"/>
    <m/>
    <x v="4"/>
    <x v="58"/>
    <d v="2020-12-07T00:00:00"/>
    <d v="2020-12-07T00:00:00"/>
    <n v="-16.38"/>
    <n v="16.38"/>
    <m/>
    <s v="ALBERT HEIJN 1878 ARNHEM"/>
    <s v="UIT"/>
    <s v="BOODSCH"/>
    <s v="boodschappen"/>
    <s v="NIEUW"/>
    <m/>
    <m/>
    <m/>
    <m/>
    <m/>
    <m/>
    <m/>
    <m/>
    <m/>
  </r>
  <r>
    <n v="2543"/>
    <x v="3"/>
    <m/>
    <x v="4"/>
    <x v="58"/>
    <d v="2020-12-07T00:00:00"/>
    <d v="2020-12-07T00:00:00"/>
    <n v="-3.68"/>
    <n v="3.68"/>
    <m/>
    <s v="ALBERT HEIJN 1878 ARNHEM"/>
    <s v="UIT"/>
    <s v="BOODSCH"/>
    <s v="boodschappen"/>
    <s v="NIEUW"/>
    <m/>
    <m/>
    <m/>
    <m/>
    <m/>
    <m/>
    <m/>
    <m/>
    <m/>
  </r>
  <r>
    <n v="2545"/>
    <x v="3"/>
    <m/>
    <x v="4"/>
    <x v="58"/>
    <d v="2020-12-09T00:00:00"/>
    <d v="2020-12-09T00:00:00"/>
    <n v="-1.55"/>
    <n v="1.55"/>
    <m/>
    <s v="Wereldwinkel Arnhem ARNHEM"/>
    <s v="UIT"/>
    <s v="BOODSCH"/>
    <s v="boodschappen"/>
    <s v="NIEUW"/>
    <m/>
    <m/>
    <m/>
    <m/>
    <m/>
    <m/>
    <m/>
    <m/>
    <m/>
  </r>
  <r>
    <n v="2546"/>
    <x v="3"/>
    <m/>
    <x v="4"/>
    <x v="58"/>
    <d v="2020-12-09T00:00:00"/>
    <d v="2020-12-09T00:00:00"/>
    <n v="-4.0599999999999996"/>
    <n v="4.0599999999999996"/>
    <m/>
    <s v="ALBERT HEIJN 1878 ARNHEM"/>
    <s v="UIT"/>
    <s v="BOODSCH"/>
    <s v="boodschappen"/>
    <s v="NIEUW"/>
    <m/>
    <m/>
    <m/>
    <m/>
    <m/>
    <m/>
    <m/>
    <m/>
    <m/>
  </r>
  <r>
    <n v="2549"/>
    <x v="3"/>
    <m/>
    <x v="4"/>
    <x v="58"/>
    <d v="2020-12-10T00:00:00"/>
    <d v="2020-12-10T00:00:00"/>
    <n v="-2.21"/>
    <n v="2.21"/>
    <m/>
    <s v="ALBERT HEIJN 1878 ARNHEM"/>
    <s v="UIT"/>
    <s v="BOODSCH"/>
    <s v="boodschappen"/>
    <s v="NIEUW"/>
    <m/>
    <m/>
    <m/>
    <m/>
    <m/>
    <m/>
    <m/>
    <m/>
    <m/>
  </r>
  <r>
    <n v="2551"/>
    <x v="3"/>
    <m/>
    <x v="4"/>
    <x v="58"/>
    <d v="2020-12-12T00:00:00"/>
    <d v="2020-12-12T00:00:00"/>
    <n v="-23.13"/>
    <n v="23.13"/>
    <m/>
    <s v="SumUp  *Vmarkt Arnhem"/>
    <s v="UIT"/>
    <s v="BOODSCH"/>
    <s v="boodschappen"/>
    <s v="NIEUW"/>
    <m/>
    <m/>
    <m/>
    <m/>
    <m/>
    <m/>
    <m/>
    <m/>
    <m/>
  </r>
  <r>
    <n v="2552"/>
    <x v="3"/>
    <m/>
    <x v="4"/>
    <x v="58"/>
    <d v="2020-12-12T00:00:00"/>
    <d v="2020-12-12T00:00:00"/>
    <n v="20"/>
    <n v="20"/>
    <m/>
    <s v="SumUp  *Vmarkt Arnhem"/>
    <s v="UIT"/>
    <s v="BOODSCH"/>
    <s v="boodschappen"/>
    <s v="NIEUW"/>
    <m/>
    <m/>
    <m/>
    <m/>
    <m/>
    <m/>
    <m/>
    <m/>
    <m/>
  </r>
  <r>
    <n v="2553"/>
    <x v="3"/>
    <m/>
    <x v="4"/>
    <x v="58"/>
    <d v="2020-12-12T00:00:00"/>
    <d v="2020-12-12T00:00:00"/>
    <n v="-20"/>
    <n v="20"/>
    <m/>
    <s v="SumUp  *Vmarkt Arnhem"/>
    <s v="UIT"/>
    <s v="BOODSCH"/>
    <s v="proteinepoeder"/>
    <s v="NIEUW"/>
    <m/>
    <m/>
    <m/>
    <m/>
    <m/>
    <m/>
    <m/>
    <m/>
    <m/>
  </r>
  <r>
    <n v="2557"/>
    <x v="3"/>
    <m/>
    <x v="4"/>
    <x v="58"/>
    <d v="2020-12-14T00:00:00"/>
    <d v="2020-12-14T00:00:00"/>
    <n v="-2.21"/>
    <n v="2.21"/>
    <m/>
    <s v="ALBERT HEIJN 1878 ARNHEM"/>
    <s v="UIT"/>
    <s v="BOODSCH"/>
    <s v="boodschappen"/>
    <s v="NIEUW"/>
    <m/>
    <m/>
    <m/>
    <m/>
    <m/>
    <m/>
    <m/>
    <m/>
    <m/>
  </r>
  <r>
    <n v="2558"/>
    <x v="3"/>
    <m/>
    <x v="4"/>
    <x v="58"/>
    <d v="2020-12-14T00:00:00"/>
    <d v="2020-12-14T00:00:00"/>
    <n v="-2.4700000000000002"/>
    <n v="2.4700000000000002"/>
    <m/>
    <s v="ALBERT HEIJN 1878 ARNHEM"/>
    <s v="UIT"/>
    <s v="BOODSCH"/>
    <s v="boodschappen"/>
    <s v="NIEUW"/>
    <m/>
    <m/>
    <m/>
    <m/>
    <m/>
    <m/>
    <m/>
    <m/>
    <m/>
  </r>
  <r>
    <n v="2559"/>
    <x v="3"/>
    <m/>
    <x v="4"/>
    <x v="58"/>
    <d v="2020-12-15T00:00:00"/>
    <d v="2020-12-15T00:00:00"/>
    <n v="-5.71"/>
    <n v="5.71"/>
    <m/>
    <s v="ALBERT HEIJN 1878 ARNHEM"/>
    <s v="UIT"/>
    <s v="BOODSCH"/>
    <s v="boodschappen"/>
    <s v="NIEUW"/>
    <m/>
    <m/>
    <m/>
    <m/>
    <m/>
    <m/>
    <m/>
    <m/>
    <m/>
  </r>
  <r>
    <n v="2561"/>
    <x v="3"/>
    <m/>
    <x v="4"/>
    <x v="58"/>
    <d v="2020-12-16T00:00:00"/>
    <d v="2020-12-16T00:00:00"/>
    <n v="-5.38"/>
    <n v="5.38"/>
    <m/>
    <s v="Jumbo Arnhem AW ARNHEM"/>
    <s v="UIT"/>
    <s v="BOODSCH"/>
    <s v="boodschappen"/>
    <s v="NIEUW"/>
    <m/>
    <m/>
    <m/>
    <m/>
    <m/>
    <m/>
    <m/>
    <m/>
    <m/>
  </r>
  <r>
    <n v="2562"/>
    <x v="3"/>
    <m/>
    <x v="4"/>
    <x v="58"/>
    <d v="2020-12-16T00:00:00"/>
    <d v="2020-12-16T00:00:00"/>
    <n v="-9.3000000000000007"/>
    <n v="9.3000000000000007"/>
    <m/>
    <s v="Lidl 193 Arnhem Amst ARNHEM"/>
    <s v="UIT"/>
    <s v="BOODSCH"/>
    <s v="boodschappen"/>
    <s v="NIEUW"/>
    <m/>
    <m/>
    <m/>
    <m/>
    <m/>
    <m/>
    <m/>
    <m/>
    <m/>
  </r>
  <r>
    <n v="2567"/>
    <x v="3"/>
    <m/>
    <x v="4"/>
    <x v="58"/>
    <d v="2020-12-19T00:00:00"/>
    <d v="2020-12-19T00:00:00"/>
    <n v="-5.49"/>
    <n v="5.49"/>
    <m/>
    <s v="ALBERT HEIJN 1878 ARNHEM"/>
    <s v="UIT"/>
    <s v="BOODSCH"/>
    <s v="boodschappen"/>
    <s v="NIEUW"/>
    <m/>
    <m/>
    <m/>
    <m/>
    <m/>
    <m/>
    <m/>
    <m/>
    <m/>
  </r>
  <r>
    <n v="2571"/>
    <x v="3"/>
    <m/>
    <x v="4"/>
    <x v="58"/>
    <d v="2020-12-23T00:00:00"/>
    <d v="2020-12-23T00:00:00"/>
    <n v="-8.25"/>
    <n v="8.25"/>
    <m/>
    <s v="Mimint ARNHEM"/>
    <s v="UIT"/>
    <s v="BOODSCH"/>
    <s v="boodschappen"/>
    <s v="NIEUW"/>
    <m/>
    <m/>
    <m/>
    <m/>
    <m/>
    <m/>
    <m/>
    <m/>
    <m/>
  </r>
  <r>
    <n v="2572"/>
    <x v="3"/>
    <m/>
    <x v="4"/>
    <x v="58"/>
    <d v="2020-12-23T00:00:00"/>
    <d v="2020-12-23T00:00:00"/>
    <n v="-6.96"/>
    <n v="6.96"/>
    <m/>
    <s v="ALBERT HEIJN 1878 ARNHEM"/>
    <s v="UIT"/>
    <s v="BOODSCH"/>
    <s v="boodschappen"/>
    <s v="NIEUW"/>
    <m/>
    <m/>
    <m/>
    <m/>
    <m/>
    <m/>
    <m/>
    <m/>
    <m/>
  </r>
  <r>
    <n v="2573"/>
    <x v="3"/>
    <m/>
    <x v="4"/>
    <x v="58"/>
    <d v="2020-12-23T00:00:00"/>
    <d v="2020-12-23T00:00:00"/>
    <n v="-24"/>
    <n v="24"/>
    <m/>
    <s v="ALBERT HEIJN 1878 ARNHEM"/>
    <s v="UIT"/>
    <s v="BOODSCH"/>
    <s v="boodschappen"/>
    <s v="NIEUW"/>
    <m/>
    <m/>
    <m/>
    <m/>
    <m/>
    <m/>
    <m/>
    <m/>
    <m/>
  </r>
  <r>
    <n v="2575"/>
    <x v="3"/>
    <m/>
    <x v="4"/>
    <x v="58"/>
    <d v="2020-12-24T00:00:00"/>
    <d v="2020-12-24T00:00:00"/>
    <n v="-1.25"/>
    <n v="1.25"/>
    <m/>
    <s v="CCV*Willems Versmarkt MUSSELKANAAL"/>
    <s v="UIT"/>
    <s v="BOODSCH"/>
    <s v="boodschappen"/>
    <s v="NIEUW"/>
    <m/>
    <m/>
    <m/>
    <m/>
    <m/>
    <m/>
    <m/>
    <m/>
    <m/>
  </r>
  <r>
    <n v="2576"/>
    <x v="3"/>
    <m/>
    <x v="4"/>
    <x v="58"/>
    <d v="2020-12-24T00:00:00"/>
    <d v="2020-12-24T00:00:00"/>
    <n v="30"/>
    <n v="30"/>
    <s v="NL10RBRB0948370114"/>
    <s v="SMIT W en/of SMIT-BRANDS W R F"/>
    <s v="UIT"/>
    <s v="BOODSCH"/>
    <s v="boodschappen"/>
    <s v="NIEUW"/>
    <m/>
    <m/>
    <m/>
    <m/>
    <m/>
    <m/>
    <m/>
    <m/>
    <m/>
  </r>
  <r>
    <n v="2578"/>
    <x v="3"/>
    <m/>
    <x v="4"/>
    <x v="58"/>
    <d v="2020-12-28T00:00:00"/>
    <d v="2020-12-28T00:00:00"/>
    <n v="-2.13"/>
    <n v="2.13"/>
    <m/>
    <s v="Coop 2113 MUSSELKANAAL"/>
    <s v="UIT"/>
    <s v="BOODSCH"/>
    <s v="boodschappen"/>
    <s v="NIEUW"/>
    <m/>
    <m/>
    <m/>
    <m/>
    <m/>
    <m/>
    <m/>
    <m/>
    <m/>
  </r>
  <r>
    <n v="2602"/>
    <x v="0"/>
    <m/>
    <x v="4"/>
    <x v="22"/>
    <d v="2020-04-26T00:00:00"/>
    <d v="2020-04-26T00:00:00"/>
    <n v="-15.83"/>
    <n v="15.83"/>
    <m/>
    <s v="Lazada BANGKOK THA // PROTEINE POEDER"/>
    <s v="UIT"/>
    <s v="BOODSCH"/>
    <s v="proteinepoeder"/>
    <m/>
    <n v="3631"/>
    <s v="EUR"/>
    <s v="Rabo GoldCard - Mastercard"/>
    <s v="R.C. SMIT"/>
    <m/>
    <d v="2020-04-26T00:00:00"/>
    <d v="2020-04-26T00:00:00"/>
    <s v="-15.83"/>
    <s v="NL22RABO0381604934"/>
  </r>
  <r>
    <n v="2603"/>
    <x v="0"/>
    <m/>
    <x v="4"/>
    <x v="22"/>
    <d v="2020-04-26T00:00:00"/>
    <d v="2020-04-26T00:00:00"/>
    <n v="-15.83"/>
    <n v="15.83"/>
    <m/>
    <s v="Lazada BANGKOK THA"/>
    <s v="UIT"/>
    <s v="BOODSCH"/>
    <s v="proteinepoeder"/>
    <m/>
    <m/>
    <m/>
    <m/>
    <m/>
    <m/>
    <m/>
    <m/>
    <m/>
    <s v="Betaalautomaat 15:49 pasnr. 022"/>
  </r>
  <r>
    <n v="2604"/>
    <x v="0"/>
    <m/>
    <x v="4"/>
    <x v="23"/>
    <d v="2020-05-14T00:00:00"/>
    <d v="2020-05-14T00:00:00"/>
    <n v="-15.99"/>
    <n v="15.99"/>
    <m/>
    <s v="LAZADA BANGKOK THA"/>
    <s v="UIT"/>
    <s v="BOODSCH"/>
    <s v="proteinepoeder"/>
    <m/>
    <m/>
    <m/>
    <m/>
    <m/>
    <m/>
    <m/>
    <m/>
    <m/>
    <s v="Betaalautomaat 11:18 pasnr. 022"/>
  </r>
  <r>
    <n v="2639"/>
    <x v="5"/>
    <m/>
    <x v="5"/>
    <x v="62"/>
    <d v="2021-02-23T00:00:00"/>
    <d v="2021-02-23T00:00:00"/>
    <n v="7.5"/>
    <n v="7.5"/>
    <m/>
    <s v="retour boodschappen"/>
    <s v="UIT"/>
    <s v="BOODSCH"/>
    <s v="boodschappen"/>
    <m/>
    <m/>
    <m/>
    <m/>
    <m/>
    <m/>
    <m/>
    <m/>
    <m/>
    <m/>
  </r>
  <r>
    <n v="2642"/>
    <x v="5"/>
    <m/>
    <x v="5"/>
    <x v="62"/>
    <d v="2021-02-23T00:00:00"/>
    <d v="2021-03-23T00:00:00"/>
    <n v="2.8"/>
    <n v="2.8"/>
    <m/>
    <s v="retour boodschappen"/>
    <s v="UIT"/>
    <s v="BOODSCH"/>
    <s v="boodschappen"/>
    <m/>
    <m/>
    <m/>
    <m/>
    <m/>
    <m/>
    <m/>
    <m/>
    <m/>
    <m/>
  </r>
  <r>
    <n v="2642"/>
    <x v="5"/>
    <m/>
    <x v="5"/>
    <x v="63"/>
    <d v="2021-03-23T00:00:00"/>
    <d v="2021-03-23T00:00:00"/>
    <n v="6.2"/>
    <n v="6.2"/>
    <m/>
    <s v="retour boodschappen"/>
    <s v="UIT"/>
    <s v="BOODSCH"/>
    <s v="boodschappen"/>
    <m/>
    <m/>
    <m/>
    <m/>
    <m/>
    <m/>
    <m/>
    <m/>
    <m/>
    <m/>
  </r>
  <r>
    <n v="2647"/>
    <x v="2"/>
    <m/>
    <x v="5"/>
    <x v="64"/>
    <d v="2021-09-18T00:00:00"/>
    <d v="2021-09-18T00:00:00"/>
    <n v="15"/>
    <n v="15"/>
    <m/>
    <s v="boodsch naar joost"/>
    <s v="UIT"/>
    <s v="BOODSCH"/>
    <s v="boodschappen"/>
    <m/>
    <m/>
    <m/>
    <m/>
    <m/>
    <m/>
    <m/>
    <m/>
    <m/>
    <m/>
  </r>
  <r>
    <n v="2651"/>
    <x v="2"/>
    <m/>
    <x v="5"/>
    <x v="25"/>
    <d v="2021-10-24T00:00:00"/>
    <m/>
    <n v="26.85"/>
    <n v="26.85"/>
    <m/>
    <s v="boodsch joost"/>
    <s v="UIT"/>
    <s v="BOODSCH"/>
    <s v="boodschappen"/>
    <m/>
    <m/>
    <m/>
    <m/>
    <m/>
    <m/>
    <m/>
    <m/>
    <m/>
    <m/>
  </r>
  <r>
    <n v="2660"/>
    <x v="2"/>
    <m/>
    <x v="5"/>
    <x v="25"/>
    <d v="2021-10-30T00:00:00"/>
    <m/>
    <n v="77.52"/>
    <n v="77.52"/>
    <m/>
    <s v="correctie ouders tov oktober"/>
    <s v="UIT"/>
    <s v="BOODSCH"/>
    <s v="boodschappen"/>
    <m/>
    <m/>
    <m/>
    <m/>
    <m/>
    <m/>
    <m/>
    <m/>
    <m/>
    <m/>
  </r>
  <r>
    <n v="2661"/>
    <x v="2"/>
    <m/>
    <x v="5"/>
    <x v="26"/>
    <d v="2021-11-30T00:00:00"/>
    <m/>
    <n v="-77.52"/>
    <n v="77.52"/>
    <m/>
    <s v="correctie ouders tov oktober"/>
    <s v="UIT"/>
    <s v="BOODSCH"/>
    <s v="boodschappen"/>
    <m/>
    <m/>
    <m/>
    <m/>
    <m/>
    <m/>
    <m/>
    <m/>
    <m/>
    <m/>
  </r>
  <r>
    <n v="2666"/>
    <x v="3"/>
    <m/>
    <x v="5"/>
    <x v="65"/>
    <d v="2021-01-02T00:00:00"/>
    <d v="2021-01-02T00:00:00"/>
    <n v="-4.1399999999999997"/>
    <n v="4.1399999999999997"/>
    <m/>
    <s v="Coop 2113 MUSSELKANAAL"/>
    <s v="UIT"/>
    <s v="BOODSCH"/>
    <s v="boodschappen"/>
    <m/>
    <s v="bc"/>
    <m/>
    <m/>
    <m/>
    <m/>
    <m/>
    <s v="Betaalautomaat 15:13 pasnr. 022"/>
    <s v=" "/>
    <m/>
  </r>
  <r>
    <n v="2671"/>
    <x v="3"/>
    <m/>
    <x v="5"/>
    <x v="65"/>
    <d v="2021-01-08T00:00:00"/>
    <d v="2021-01-08T00:00:00"/>
    <n v="-5.08"/>
    <n v="5.08"/>
    <m/>
    <s v="Coop 2113 MUSSELKANAAL"/>
    <s v="UIT"/>
    <s v="BOODSCH"/>
    <s v="boodschappen"/>
    <m/>
    <s v="bc"/>
    <m/>
    <m/>
    <m/>
    <m/>
    <m/>
    <s v="Betaalautomaat 16:27 pasnr. 022"/>
    <s v=" "/>
    <m/>
  </r>
  <r>
    <n v="2672"/>
    <x v="3"/>
    <m/>
    <x v="5"/>
    <x v="65"/>
    <d v="2021-01-10T00:00:00"/>
    <d v="2021-01-10T00:00:00"/>
    <n v="-0.85"/>
    <n v="0.85"/>
    <m/>
    <s v="Coop 2113 MUSSELKANAAL"/>
    <s v="UIT"/>
    <s v="BOODSCH"/>
    <s v="boodschappen"/>
    <m/>
    <s v="bc"/>
    <m/>
    <m/>
    <m/>
    <m/>
    <m/>
    <s v="Betaalautomaat 16:38 pasnr. 022"/>
    <s v=" "/>
    <m/>
  </r>
  <r>
    <n v="2673"/>
    <x v="3"/>
    <m/>
    <x v="5"/>
    <x v="65"/>
    <d v="2021-01-13T00:00:00"/>
    <d v="2021-01-13T00:00:00"/>
    <n v="-1.24"/>
    <n v="1.24"/>
    <m/>
    <s v="Lidl 593 Musselkanaa MUSSELKANAAL"/>
    <s v="UIT"/>
    <s v="BOODSCH"/>
    <s v="boodschappen"/>
    <m/>
    <s v="bc"/>
    <m/>
    <m/>
    <m/>
    <m/>
    <m/>
    <s v="Betaalautomaat 16:11 pasnr. 022"/>
    <s v=" "/>
    <m/>
  </r>
  <r>
    <n v="2675"/>
    <x v="3"/>
    <m/>
    <x v="5"/>
    <x v="65"/>
    <d v="2021-01-15T00:00:00"/>
    <d v="2021-01-15T00:00:00"/>
    <n v="-0.93"/>
    <n v="0.93"/>
    <m/>
    <s v="Lidl 593 Musselkanaa MUSSELKANAAL"/>
    <s v="UIT"/>
    <s v="BOODSCH"/>
    <s v="boodschappen"/>
    <m/>
    <s v="bc"/>
    <m/>
    <m/>
    <m/>
    <m/>
    <m/>
    <s v="Betaalautomaat 16:46 pasnr. 022"/>
    <s v=" "/>
    <m/>
  </r>
  <r>
    <n v="2677"/>
    <x v="3"/>
    <m/>
    <x v="5"/>
    <x v="65"/>
    <d v="2021-01-19T00:00:00"/>
    <d v="2021-01-19T00:00:00"/>
    <n v="-3.88"/>
    <n v="3.88"/>
    <m/>
    <s v="Lidl 593 Musselkanaa MUSSELKANAAL"/>
    <s v="UIT"/>
    <s v="BOODSCH"/>
    <s v="boodschappen"/>
    <m/>
    <s v="bc"/>
    <m/>
    <m/>
    <m/>
    <m/>
    <m/>
    <s v="Betaalautomaat 14:30 pasnr. 022"/>
    <s v=" "/>
    <m/>
  </r>
  <r>
    <n v="2680"/>
    <x v="3"/>
    <m/>
    <x v="5"/>
    <x v="65"/>
    <d v="2021-01-22T00:00:00"/>
    <d v="2021-01-22T00:00:00"/>
    <n v="-5.15"/>
    <n v="5.15"/>
    <m/>
    <s v="Aldi 016 MUSSELKANAAL"/>
    <s v="UIT"/>
    <s v="BOODSCH"/>
    <s v="boodschappen"/>
    <m/>
    <s v="bc"/>
    <m/>
    <m/>
    <m/>
    <m/>
    <m/>
    <s v="Betaalautomaat 16:23 pasnr. 022"/>
    <s v=" "/>
    <m/>
  </r>
  <r>
    <n v="2690"/>
    <x v="3"/>
    <m/>
    <x v="5"/>
    <x v="62"/>
    <d v="2021-02-05T00:00:00"/>
    <d v="2021-02-05T00:00:00"/>
    <n v="-9.94"/>
    <n v="9.94"/>
    <m/>
    <s v="Aldi 016 MUSSELKANAAL"/>
    <s v="UIT"/>
    <s v="BOODSCH"/>
    <s v="boodschappen"/>
    <m/>
    <s v="bc"/>
    <m/>
    <m/>
    <m/>
    <m/>
    <m/>
    <s v="Betaalautomaat 14:34 pasnr. 022"/>
    <s v=" "/>
    <m/>
  </r>
  <r>
    <n v="2691"/>
    <x v="3"/>
    <m/>
    <x v="5"/>
    <x v="62"/>
    <d v="2021-02-06T00:00:00"/>
    <d v="2021-02-06T00:00:00"/>
    <n v="2.99"/>
    <n v="2.99"/>
    <m/>
    <s v="Kruidvat 6224 MUSSELKANAAL"/>
    <s v="UIT"/>
    <s v="BOODSCH"/>
    <s v="boodschappen"/>
    <s v="VITAMINE D"/>
    <m/>
    <m/>
    <m/>
    <m/>
    <m/>
    <m/>
    <m/>
    <m/>
    <m/>
  </r>
  <r>
    <n v="2692"/>
    <x v="3"/>
    <m/>
    <x v="5"/>
    <x v="62"/>
    <d v="2021-02-06T00:00:00"/>
    <d v="2021-02-06T00:00:00"/>
    <n v="-14.23"/>
    <n v="14.23"/>
    <m/>
    <s v="Kruidvat 6224 MUSSELKANAAL"/>
    <s v="UIT"/>
    <s v="BOODSCH"/>
    <s v="proteinepoeder"/>
    <m/>
    <s v="bc"/>
    <m/>
    <m/>
    <m/>
    <m/>
    <m/>
    <s v="Betaalautomaat 16:10 pasnr. 022"/>
    <s v=" "/>
    <m/>
  </r>
  <r>
    <n v="2693"/>
    <x v="3"/>
    <m/>
    <x v="5"/>
    <x v="62"/>
    <d v="2021-02-06T00:00:00"/>
    <d v="2021-02-06T00:00:00"/>
    <n v="-3.54"/>
    <n v="3.54"/>
    <m/>
    <s v="Coop 2113 MUSSELKANAAL"/>
    <s v="UIT"/>
    <s v="BOODSCH"/>
    <s v="boodschappen"/>
    <m/>
    <s v="bc"/>
    <m/>
    <m/>
    <m/>
    <m/>
    <m/>
    <s v="Betaalautomaat 16:17 pasnr. 022"/>
    <s v=" "/>
    <m/>
  </r>
  <r>
    <n v="2694"/>
    <x v="3"/>
    <m/>
    <x v="5"/>
    <x v="62"/>
    <d v="2021-02-11T00:00:00"/>
    <d v="2021-02-11T00:00:00"/>
    <n v="-1.49"/>
    <n v="1.49"/>
    <m/>
    <s v="Aldi 016 MUSSELKANAAL"/>
    <s v="UIT"/>
    <s v="BOODSCH"/>
    <s v="boodschappen"/>
    <m/>
    <s v="bc"/>
    <m/>
    <m/>
    <m/>
    <m/>
    <m/>
    <s v="Betaalautomaat 13:37 pasnr. 022"/>
    <s v=" "/>
    <m/>
  </r>
  <r>
    <n v="2697"/>
    <x v="3"/>
    <m/>
    <x v="5"/>
    <x v="62"/>
    <d v="2021-02-18T00:00:00"/>
    <d v="2021-02-18T00:00:00"/>
    <n v="-7.38"/>
    <n v="7.38"/>
    <m/>
    <s v="Coop 2113 MUSSELKANAAL"/>
    <s v="UIT"/>
    <s v="BOODSCH"/>
    <s v="boodschappen"/>
    <m/>
    <s v="bc"/>
    <m/>
    <m/>
    <m/>
    <m/>
    <m/>
    <s v="Betaalautomaat 16:29 pasnr. 022"/>
    <s v=" "/>
    <m/>
  </r>
  <r>
    <n v="2698"/>
    <x v="3"/>
    <m/>
    <x v="5"/>
    <x v="62"/>
    <d v="2021-02-19T00:00:00"/>
    <d v="2021-02-19T00:00:00"/>
    <n v="-4.67"/>
    <n v="4.67"/>
    <m/>
    <s v="Lidl 593 Musselkanaa MUSSELKANAAL"/>
    <s v="UIT"/>
    <s v="BOODSCH"/>
    <s v="boodschappen"/>
    <m/>
    <s v="bc"/>
    <m/>
    <m/>
    <m/>
    <m/>
    <m/>
    <s v="Betaalautomaat 16:33 pasnr. 022"/>
    <s v=" "/>
    <m/>
  </r>
  <r>
    <n v="2699"/>
    <x v="3"/>
    <m/>
    <x v="5"/>
    <x v="62"/>
    <d v="2021-02-21T00:00:00"/>
    <d v="2021-02-21T00:00:00"/>
    <n v="-3.17"/>
    <n v="3.17"/>
    <m/>
    <s v="Lidl 593 Musselkanaa MUSSELKANAAL"/>
    <s v="UIT"/>
    <s v="BOODSCH"/>
    <s v="boodschappen"/>
    <m/>
    <s v="bc"/>
    <m/>
    <m/>
    <m/>
    <m/>
    <m/>
    <s v="Betaalautomaat 16:04 pasnr. 022"/>
    <s v=" "/>
    <m/>
  </r>
  <r>
    <n v="2703"/>
    <x v="3"/>
    <m/>
    <x v="5"/>
    <x v="62"/>
    <d v="2021-02-23T00:00:00"/>
    <d v="2021-02-23T00:00:00"/>
    <n v="-0.28999999999999998"/>
    <n v="0.28999999999999998"/>
    <m/>
    <s v="Budget Food MK MUSSELKANAAL"/>
    <s v="UIT"/>
    <s v="BOODSCH"/>
    <s v="boodschappen"/>
    <m/>
    <s v="bc"/>
    <m/>
    <m/>
    <m/>
    <m/>
    <m/>
    <s v="Betaalautomaat 16:32 pasnr. 022"/>
    <s v=" "/>
    <m/>
  </r>
  <r>
    <n v="2704"/>
    <x v="3"/>
    <m/>
    <x v="5"/>
    <x v="62"/>
    <d v="2021-02-26T00:00:00"/>
    <d v="2021-02-26T00:00:00"/>
    <n v="-2.98"/>
    <n v="2.98"/>
    <m/>
    <s v="Coop 2113 MUSSELKANAAL"/>
    <s v="UIT"/>
    <s v="BOODSCH"/>
    <s v="boodschappen"/>
    <m/>
    <s v="bc"/>
    <m/>
    <m/>
    <m/>
    <m/>
    <m/>
    <s v="Betaalautomaat 16:18 pasnr. 022"/>
    <s v=" "/>
    <m/>
  </r>
  <r>
    <n v="2705"/>
    <x v="3"/>
    <m/>
    <x v="5"/>
    <x v="62"/>
    <d v="2021-02-27T00:00:00"/>
    <d v="2021-02-27T00:00:00"/>
    <n v="-0.81"/>
    <n v="0.81"/>
    <m/>
    <s v="Coop 2113 MUSSELKANAAL"/>
    <s v="UIT"/>
    <s v="BOODSCH"/>
    <s v="boodschappen"/>
    <m/>
    <s v="bc"/>
    <m/>
    <m/>
    <m/>
    <m/>
    <m/>
    <s v="Betaalautomaat 16:19 pasnr. 022"/>
    <s v=" "/>
    <m/>
  </r>
  <r>
    <n v="2707"/>
    <x v="3"/>
    <m/>
    <x v="5"/>
    <x v="62"/>
    <d v="2021-02-28T00:00:00"/>
    <d v="2021-02-28T00:00:00"/>
    <n v="-0.69"/>
    <n v="0.69"/>
    <m/>
    <s v="Coop 2113 MUSSELKANAAL"/>
    <s v="UIT"/>
    <s v="BOODSCH"/>
    <s v="boodschappen"/>
    <m/>
    <s v="bc"/>
    <m/>
    <m/>
    <m/>
    <m/>
    <m/>
    <s v="Betaalautomaat 16:55 pasnr. 022"/>
    <s v=" "/>
    <m/>
  </r>
  <r>
    <n v="2713"/>
    <x v="3"/>
    <m/>
    <x v="5"/>
    <x v="63"/>
    <d v="2021-03-07T00:00:00"/>
    <d v="2021-03-07T00:00:00"/>
    <n v="-2.5299999999999998"/>
    <n v="2.5299999999999998"/>
    <m/>
    <s v="Coop 2113 MUSSELKANAAL"/>
    <s v="UIT"/>
    <s v="BOODSCH"/>
    <s v="boodschappen"/>
    <m/>
    <s v="bc"/>
    <m/>
    <m/>
    <m/>
    <m/>
    <m/>
    <s v="Betaalautomaat 16:29 pasnr. 022"/>
    <s v=" "/>
    <m/>
  </r>
  <r>
    <n v="2714"/>
    <x v="3"/>
    <m/>
    <x v="5"/>
    <x v="63"/>
    <d v="2021-03-07T00:00:00"/>
    <d v="2021-03-07T00:00:00"/>
    <n v="-1.74"/>
    <n v="1.74"/>
    <m/>
    <s v="Budget Food MK MUSSELKANAAL"/>
    <s v="UIT"/>
    <s v="BOODSCH"/>
    <s v="boodschappen"/>
    <m/>
    <s v="bc"/>
    <m/>
    <m/>
    <m/>
    <m/>
    <m/>
    <s v="Betaalautomaat 16:34 pasnr. 022"/>
    <s v=" "/>
    <m/>
  </r>
  <r>
    <n v="2715"/>
    <x v="3"/>
    <m/>
    <x v="5"/>
    <x v="63"/>
    <d v="2021-03-12T00:00:00"/>
    <d v="2021-03-12T00:00:00"/>
    <n v="-9.56"/>
    <n v="9.56"/>
    <m/>
    <s v="Coop 2113 MUSSELKANAAL"/>
    <s v="UIT"/>
    <s v="BOODSCH"/>
    <s v="boodschappen"/>
    <m/>
    <s v="bc"/>
    <m/>
    <m/>
    <m/>
    <m/>
    <m/>
    <s v="Betaalautomaat 13:01 pasnr. 022"/>
    <s v=" "/>
    <m/>
  </r>
  <r>
    <n v="2716"/>
    <x v="3"/>
    <m/>
    <x v="5"/>
    <x v="63"/>
    <d v="2021-03-12T00:00:00"/>
    <d v="2021-03-12T00:00:00"/>
    <n v="10"/>
    <n v="10"/>
    <s v="NL10RBRB0948370114"/>
    <s v="W. Smit e/o W.R.F. Smit-Brands"/>
    <s v="UIT"/>
    <s v="BOODSCH"/>
    <s v="boodschappen"/>
    <s v="RBRBNL21"/>
    <s v="cb"/>
    <m/>
    <m/>
    <m/>
    <m/>
    <m/>
    <s v="1, 2, 3, JE WEET VAN WIE"/>
    <s v=" "/>
    <m/>
  </r>
  <r>
    <n v="2718"/>
    <x v="3"/>
    <m/>
    <x v="5"/>
    <x v="63"/>
    <d v="2021-03-18T00:00:00"/>
    <d v="2021-03-18T00:00:00"/>
    <n v="-1.58"/>
    <n v="1.58"/>
    <m/>
    <s v="Coop 2113 MUSSELKANAAL"/>
    <s v="UIT"/>
    <s v="BOODSCH"/>
    <s v="boodschappen"/>
    <m/>
    <s v="bc"/>
    <m/>
    <m/>
    <m/>
    <m/>
    <m/>
    <s v="Betaalautomaat 16:40 pasnr. 022"/>
    <s v=" "/>
    <m/>
  </r>
  <r>
    <n v="2721"/>
    <x v="3"/>
    <m/>
    <x v="5"/>
    <x v="63"/>
    <d v="2021-03-20T00:00:00"/>
    <d v="2021-03-20T00:00:00"/>
    <n v="-0.79"/>
    <n v="0.79"/>
    <m/>
    <s v="Coop 2113 MUSSELKANAAL"/>
    <s v="UIT"/>
    <s v="BOODSCH"/>
    <s v="boodschappen"/>
    <m/>
    <s v="bc"/>
    <m/>
    <m/>
    <m/>
    <m/>
    <m/>
    <s v="Betaalautomaat 17:42 pasnr. 022"/>
    <s v=" "/>
    <m/>
  </r>
  <r>
    <n v="2726"/>
    <x v="3"/>
    <m/>
    <x v="5"/>
    <x v="66"/>
    <d v="2021-04-01T00:00:00"/>
    <d v="2021-03-30T00:00:00"/>
    <n v="-54.3"/>
    <n v="54.3"/>
    <m/>
    <s v="ALDI 022 SEVENUM"/>
    <s v="UIT"/>
    <s v="BOODSCH"/>
    <s v="boodschappen"/>
    <m/>
    <m/>
    <m/>
    <m/>
    <m/>
    <m/>
    <m/>
    <m/>
    <m/>
    <m/>
  </r>
  <r>
    <n v="2727"/>
    <x v="3"/>
    <m/>
    <x v="5"/>
    <x v="66"/>
    <d v="2021-04-01T00:00:00"/>
    <d v="2021-03-31T00:00:00"/>
    <n v="-18.14"/>
    <n v="18.14"/>
    <m/>
    <s v="PhicoopJumbo Sevenum SEVENUM"/>
    <s v="UIT"/>
    <s v="BOODSCH"/>
    <s v="boodschappen"/>
    <m/>
    <m/>
    <m/>
    <m/>
    <m/>
    <m/>
    <m/>
    <m/>
    <m/>
    <m/>
  </r>
  <r>
    <n v="2733"/>
    <x v="3"/>
    <m/>
    <x v="5"/>
    <x v="66"/>
    <d v="2021-04-04T00:00:00"/>
    <d v="2021-04-04T00:00:00"/>
    <n v="-4.49"/>
    <n v="4.49"/>
    <m/>
    <s v="Spar Enjoy Schatberg SEVENUM"/>
    <s v="UIT"/>
    <s v="BOODSCH"/>
    <s v="boodschappen"/>
    <m/>
    <m/>
    <m/>
    <m/>
    <m/>
    <m/>
    <m/>
    <m/>
    <m/>
    <m/>
  </r>
  <r>
    <n v="2734"/>
    <x v="3"/>
    <m/>
    <x v="5"/>
    <x v="66"/>
    <d v="2021-04-05T00:00:00"/>
    <d v="2021-04-05T00:00:00"/>
    <n v="-1.0900000000000001"/>
    <n v="1.0900000000000001"/>
    <m/>
    <s v="Spar Enjoy Schatberg SEVENUM"/>
    <s v="UIT"/>
    <s v="BOODSCH"/>
    <s v="boodschappen"/>
    <m/>
    <m/>
    <m/>
    <m/>
    <m/>
    <m/>
    <m/>
    <m/>
    <m/>
    <m/>
  </r>
  <r>
    <n v="2735"/>
    <x v="3"/>
    <m/>
    <x v="5"/>
    <x v="66"/>
    <d v="2021-04-07T00:00:00"/>
    <d v="2021-04-07T00:00:00"/>
    <n v="-1.89"/>
    <n v="1.89"/>
    <m/>
    <s v="Spar Enjoy Schatberg SEVENUM"/>
    <s v="UIT"/>
    <s v="BOODSCH"/>
    <s v="boodschappen"/>
    <m/>
    <m/>
    <m/>
    <m/>
    <m/>
    <m/>
    <m/>
    <m/>
    <m/>
    <m/>
  </r>
  <r>
    <n v="2736"/>
    <x v="3"/>
    <m/>
    <x v="5"/>
    <x v="66"/>
    <d v="2021-04-08T00:00:00"/>
    <d v="2021-04-08T00:00:00"/>
    <n v="-30.69"/>
    <n v="30.69"/>
    <m/>
    <s v="Lidl 475 Panningen PANNINGEN"/>
    <s v="UIT"/>
    <s v="BOODSCH"/>
    <s v="boodschappen"/>
    <m/>
    <m/>
    <m/>
    <m/>
    <m/>
    <m/>
    <m/>
    <m/>
    <m/>
    <m/>
  </r>
  <r>
    <n v="2737"/>
    <x v="3"/>
    <m/>
    <x v="5"/>
    <x v="66"/>
    <d v="2021-04-09T00:00:00"/>
    <d v="2021-04-09T00:00:00"/>
    <n v="-21.46"/>
    <n v="21.46"/>
    <m/>
    <s v="Jumbo Panningen PANNINGEN"/>
    <s v="UIT"/>
    <s v="BOODSCH"/>
    <s v="boodschappen"/>
    <m/>
    <m/>
    <m/>
    <m/>
    <m/>
    <m/>
    <m/>
    <m/>
    <m/>
    <m/>
  </r>
  <r>
    <n v="2738"/>
    <x v="3"/>
    <m/>
    <x v="5"/>
    <x v="66"/>
    <d v="2021-04-09T00:00:00"/>
    <d v="2021-04-09T00:00:00"/>
    <n v="-0.35"/>
    <n v="0.35"/>
    <m/>
    <s v="Jumbo Panningen PANNINGEN"/>
    <s v="UIT"/>
    <s v="BOODSCH"/>
    <s v="boodschappen"/>
    <m/>
    <m/>
    <m/>
    <m/>
    <m/>
    <m/>
    <m/>
    <m/>
    <m/>
    <m/>
  </r>
  <r>
    <n v="2742"/>
    <x v="3"/>
    <m/>
    <x v="5"/>
    <x v="66"/>
    <d v="2021-04-15T00:00:00"/>
    <d v="2021-04-15T00:00:00"/>
    <n v="-26.38"/>
    <n v="26.38"/>
    <m/>
    <s v="ALDI 022 SEVENUM"/>
    <s v="UIT"/>
    <s v="BOODSCH"/>
    <s v="boodschappen"/>
    <m/>
    <m/>
    <m/>
    <m/>
    <m/>
    <m/>
    <m/>
    <m/>
    <m/>
    <m/>
  </r>
  <r>
    <n v="2746"/>
    <x v="3"/>
    <m/>
    <x v="5"/>
    <x v="66"/>
    <d v="2021-04-20T00:00:00"/>
    <d v="2021-04-20T00:00:00"/>
    <n v="-0.85"/>
    <n v="0.85"/>
    <m/>
    <s v="Spar Enjoy Schatberg SEVENUM"/>
    <s v="UIT"/>
    <s v="BOODSCH"/>
    <s v="boodschappen"/>
    <m/>
    <m/>
    <m/>
    <m/>
    <m/>
    <m/>
    <m/>
    <m/>
    <m/>
    <m/>
  </r>
  <r>
    <n v="2748"/>
    <x v="3"/>
    <m/>
    <x v="5"/>
    <x v="66"/>
    <d v="2021-04-21T00:00:00"/>
    <d v="2021-04-21T00:00:00"/>
    <n v="-2.34"/>
    <n v="2.34"/>
    <m/>
    <s v="Spar Enjoy Schatberg SEVENUM"/>
    <s v="UIT"/>
    <s v="BOODSCH"/>
    <s v="boodschappen"/>
    <m/>
    <m/>
    <m/>
    <m/>
    <m/>
    <m/>
    <m/>
    <m/>
    <m/>
    <m/>
  </r>
  <r>
    <n v="2751"/>
    <x v="3"/>
    <m/>
    <x v="5"/>
    <x v="66"/>
    <d v="2021-04-24T00:00:00"/>
    <d v="2021-04-24T00:00:00"/>
    <n v="-1.94"/>
    <n v="1.94"/>
    <m/>
    <s v="Spar Enjoy Schatberg SEVENUM"/>
    <s v="UIT"/>
    <s v="BOODSCH"/>
    <s v="boodschappen"/>
    <m/>
    <m/>
    <m/>
    <m/>
    <m/>
    <m/>
    <m/>
    <m/>
    <m/>
    <m/>
  </r>
  <r>
    <n v="2752"/>
    <x v="3"/>
    <m/>
    <x v="5"/>
    <x v="66"/>
    <d v="2021-04-24T00:00:00"/>
    <d v="2021-04-24T00:00:00"/>
    <n v="-5.55"/>
    <n v="5.55"/>
    <m/>
    <s v="Spar Enjoy Schatberg SEVENUM"/>
    <s v="UIT"/>
    <s v="BOODSCH"/>
    <s v="boodschappen"/>
    <m/>
    <m/>
    <m/>
    <m/>
    <m/>
    <m/>
    <m/>
    <m/>
    <m/>
    <m/>
  </r>
  <r>
    <n v="2753"/>
    <x v="3"/>
    <m/>
    <x v="5"/>
    <x v="66"/>
    <d v="2021-04-24T00:00:00"/>
    <d v="2021-04-24T00:00:00"/>
    <n v="-2.29"/>
    <n v="2.29"/>
    <m/>
    <s v="Spar Enjoy Schatberg SEVENUM"/>
    <s v="UIT"/>
    <s v="BOODSCH"/>
    <s v="boodschappen"/>
    <m/>
    <m/>
    <m/>
    <m/>
    <m/>
    <m/>
    <m/>
    <m/>
    <m/>
    <m/>
  </r>
  <r>
    <n v="2755"/>
    <x v="3"/>
    <m/>
    <x v="5"/>
    <x v="66"/>
    <d v="2021-04-25T00:00:00"/>
    <d v="2021-04-25T00:00:00"/>
    <n v="-26.14"/>
    <n v="26.14"/>
    <m/>
    <s v="Lidl 475 Panningen PANNINGEN"/>
    <s v="UIT"/>
    <s v="BOODSCH"/>
    <s v="boodschappen"/>
    <m/>
    <m/>
    <m/>
    <m/>
    <m/>
    <m/>
    <m/>
    <m/>
    <m/>
    <m/>
  </r>
  <r>
    <n v="2756"/>
    <x v="3"/>
    <m/>
    <x v="5"/>
    <x v="66"/>
    <d v="2021-04-25T00:00:00"/>
    <d v="2021-04-25T00:00:00"/>
    <n v="-1.29"/>
    <n v="1.29"/>
    <m/>
    <s v="Spar Enjoy Schatberg SEVENUM"/>
    <s v="UIT"/>
    <s v="BOODSCH"/>
    <s v="boodschappen"/>
    <m/>
    <m/>
    <m/>
    <m/>
    <m/>
    <m/>
    <m/>
    <m/>
    <m/>
    <m/>
  </r>
  <r>
    <n v="2758"/>
    <x v="3"/>
    <m/>
    <x v="5"/>
    <x v="66"/>
    <d v="2021-04-26T00:00:00"/>
    <d v="2021-04-26T00:00:00"/>
    <n v="-1.39"/>
    <n v="1.39"/>
    <m/>
    <s v="Spar Enjoy Schatberg SEVENUM"/>
    <s v="UIT"/>
    <s v="BOODSCH"/>
    <s v="boodschappen"/>
    <m/>
    <m/>
    <m/>
    <m/>
    <m/>
    <m/>
    <m/>
    <m/>
    <m/>
    <m/>
  </r>
  <r>
    <n v="2760"/>
    <x v="3"/>
    <m/>
    <x v="5"/>
    <x v="66"/>
    <d v="2021-04-28T00:00:00"/>
    <d v="2021-04-28T00:00:00"/>
    <n v="-1.68"/>
    <n v="1.68"/>
    <m/>
    <s v="JL Panningen PANNINGEN"/>
    <s v="UIT"/>
    <s v="BOODSCH"/>
    <s v="boodschappen"/>
    <m/>
    <m/>
    <m/>
    <m/>
    <m/>
    <m/>
    <m/>
    <m/>
    <m/>
    <m/>
  </r>
  <r>
    <n v="2763"/>
    <x v="3"/>
    <m/>
    <x v="5"/>
    <x v="66"/>
    <d v="2021-04-28T00:00:00"/>
    <d v="2021-04-28T00:00:00"/>
    <n v="-21.81"/>
    <n v="21.81"/>
    <m/>
    <s v="Jumbo Panningen PANNINGEN"/>
    <s v="UIT"/>
    <s v="BOODSCH"/>
    <s v="boodschappen"/>
    <m/>
    <m/>
    <m/>
    <m/>
    <m/>
    <m/>
    <m/>
    <m/>
    <m/>
    <m/>
  </r>
  <r>
    <n v="2764"/>
    <x v="3"/>
    <m/>
    <x v="5"/>
    <x v="66"/>
    <d v="2021-04-28T00:00:00"/>
    <d v="2021-04-28T00:00:00"/>
    <n v="-3.36"/>
    <n v="3.36"/>
    <m/>
    <s v="Spar Enjoy Schatberg SEVENUM"/>
    <s v="UIT"/>
    <s v="BOODSCH"/>
    <s v="boodschappen"/>
    <m/>
    <m/>
    <m/>
    <m/>
    <m/>
    <m/>
    <m/>
    <m/>
    <m/>
    <m/>
  </r>
  <r>
    <n v="2765"/>
    <x v="3"/>
    <m/>
    <x v="5"/>
    <x v="66"/>
    <d v="2021-04-29T00:00:00"/>
    <d v="2021-04-29T00:00:00"/>
    <n v="-0.99"/>
    <n v="0.99"/>
    <m/>
    <s v="Spar Enjoy Schatberg SEVENUM"/>
    <s v="UIT"/>
    <s v="BOODSCH"/>
    <s v="boodschappen"/>
    <m/>
    <m/>
    <m/>
    <m/>
    <m/>
    <m/>
    <m/>
    <m/>
    <m/>
    <m/>
  </r>
  <r>
    <n v="2766"/>
    <x v="3"/>
    <m/>
    <x v="5"/>
    <x v="67"/>
    <d v="2021-05-01T00:00:00"/>
    <d v="2021-05-01T00:00:00"/>
    <n v="-0.65"/>
    <n v="0.65"/>
    <m/>
    <s v="Spar Enjoy Schatberg SEVENUM"/>
    <s v="UIT"/>
    <s v="BOODSCH"/>
    <s v="boodschappen"/>
    <m/>
    <m/>
    <m/>
    <m/>
    <m/>
    <m/>
    <m/>
    <m/>
    <m/>
    <m/>
  </r>
  <r>
    <n v="2769"/>
    <x v="3"/>
    <m/>
    <x v="5"/>
    <x v="67"/>
    <d v="2021-05-03T00:00:00"/>
    <d v="2021-05-03T00:00:00"/>
    <n v="-0.99"/>
    <n v="0.99"/>
    <m/>
    <s v="Spar Enjoy Schatberg SEVENUM"/>
    <s v="UIT"/>
    <s v="BOODSCH"/>
    <s v="boodschappen"/>
    <m/>
    <m/>
    <m/>
    <m/>
    <m/>
    <m/>
    <m/>
    <m/>
    <m/>
    <m/>
  </r>
  <r>
    <n v="2774"/>
    <x v="3"/>
    <m/>
    <x v="5"/>
    <x v="67"/>
    <d v="2021-05-04T00:00:00"/>
    <d v="2021-05-04T00:00:00"/>
    <n v="-1.65"/>
    <n v="1.65"/>
    <m/>
    <s v="Spar Enjoy Schatberg SEVENUM"/>
    <s v="UIT"/>
    <s v="BOODSCH"/>
    <s v="boodschappen"/>
    <m/>
    <s v="bc"/>
    <m/>
    <m/>
    <m/>
    <m/>
    <m/>
    <m/>
    <m/>
    <m/>
  </r>
  <r>
    <n v="2775"/>
    <x v="3"/>
    <m/>
    <x v="5"/>
    <x v="67"/>
    <d v="2021-05-05T00:00:00"/>
    <d v="2021-05-05T00:00:00"/>
    <n v="-2.5299999999999998"/>
    <n v="2.5299999999999998"/>
    <m/>
    <s v="Spar Enjoy Schatberg SEVENUM"/>
    <s v="UIT"/>
    <s v="BOODSCH"/>
    <s v="boodschappen"/>
    <m/>
    <s v="bc"/>
    <m/>
    <m/>
    <m/>
    <m/>
    <m/>
    <m/>
    <m/>
    <m/>
  </r>
  <r>
    <n v="2776"/>
    <x v="3"/>
    <m/>
    <x v="5"/>
    <x v="67"/>
    <d v="2021-05-06T00:00:00"/>
    <d v="2021-05-06T00:00:00"/>
    <n v="-17.8"/>
    <n v="17.8"/>
    <m/>
    <s v="Jumbo PhicoopSevenum SEVENUM"/>
    <s v="UIT"/>
    <s v="BOODSCH"/>
    <s v="boodschappen"/>
    <m/>
    <s v="bc"/>
    <m/>
    <m/>
    <m/>
    <m/>
    <m/>
    <m/>
    <m/>
    <m/>
  </r>
  <r>
    <n v="2777"/>
    <x v="3"/>
    <m/>
    <x v="5"/>
    <x v="67"/>
    <d v="2021-05-08T00:00:00"/>
    <d v="2021-05-08T00:00:00"/>
    <n v="-0.95"/>
    <n v="0.95"/>
    <m/>
    <s v="Spar Enjoy Schatberg SEVENUM"/>
    <s v="UIT"/>
    <s v="BOODSCH"/>
    <s v="boodschappen"/>
    <m/>
    <s v="bc"/>
    <m/>
    <m/>
    <m/>
    <m/>
    <m/>
    <m/>
    <m/>
    <m/>
  </r>
  <r>
    <n v="2778"/>
    <x v="3"/>
    <m/>
    <x v="5"/>
    <x v="67"/>
    <d v="2021-05-11T00:00:00"/>
    <d v="2021-05-11T00:00:00"/>
    <n v="-7.93"/>
    <n v="7.93"/>
    <m/>
    <s v="Spar Enjoy Schatberg SEVENUM"/>
    <s v="UIT"/>
    <s v="BOODSCH"/>
    <s v="boodschappen"/>
    <m/>
    <s v="bc"/>
    <m/>
    <m/>
    <m/>
    <m/>
    <m/>
    <m/>
    <m/>
    <m/>
  </r>
  <r>
    <n v="2780"/>
    <x v="3"/>
    <m/>
    <x v="5"/>
    <x v="67"/>
    <d v="2021-05-14T00:00:00"/>
    <d v="2021-05-14T00:00:00"/>
    <n v="-1.9"/>
    <n v="1.9"/>
    <m/>
    <s v="Spar Enjoy Schatberg SEVENUM"/>
    <s v="UIT"/>
    <s v="BOODSCH"/>
    <s v="boodschappen"/>
    <m/>
    <s v="bc"/>
    <m/>
    <m/>
    <m/>
    <m/>
    <m/>
    <m/>
    <m/>
    <m/>
  </r>
  <r>
    <n v="2782"/>
    <x v="3"/>
    <m/>
    <x v="5"/>
    <x v="67"/>
    <d v="2021-05-15T00:00:00"/>
    <d v="2021-05-15T00:00:00"/>
    <n v="-58.06"/>
    <n v="58.06"/>
    <m/>
    <s v="Jumbo PhicoopSevenum SEVENUM"/>
    <s v="UIT"/>
    <s v="BOODSCH"/>
    <s v="boodschappen"/>
    <m/>
    <s v="bc"/>
    <m/>
    <m/>
    <m/>
    <m/>
    <m/>
    <m/>
    <m/>
    <m/>
  </r>
  <r>
    <n v="2783"/>
    <x v="3"/>
    <m/>
    <x v="5"/>
    <x v="67"/>
    <d v="2021-05-15T00:00:00"/>
    <d v="2021-05-15T00:00:00"/>
    <n v="-2.95"/>
    <n v="2.95"/>
    <m/>
    <s v="Jumbo PhicoopSevenum SEVENUM"/>
    <s v="UIT"/>
    <s v="BOODSCH"/>
    <s v="boodschappen"/>
    <m/>
    <s v="bc"/>
    <m/>
    <m/>
    <m/>
    <m/>
    <m/>
    <m/>
    <m/>
    <m/>
  </r>
  <r>
    <n v="2785"/>
    <x v="3"/>
    <m/>
    <x v="5"/>
    <x v="67"/>
    <d v="2021-05-18T00:00:00"/>
    <d v="2021-05-18T00:00:00"/>
    <n v="-10.28"/>
    <n v="10.28"/>
    <m/>
    <s v="ALDI 022 SEVENUM"/>
    <s v="UIT"/>
    <s v="BOODSCH"/>
    <s v="boodschappen"/>
    <m/>
    <s v="bc"/>
    <m/>
    <m/>
    <m/>
    <m/>
    <m/>
    <m/>
    <m/>
    <m/>
  </r>
  <r>
    <n v="2787"/>
    <x v="3"/>
    <m/>
    <x v="5"/>
    <x v="67"/>
    <d v="2021-05-18T00:00:00"/>
    <d v="2021-05-18T00:00:00"/>
    <n v="-4.01"/>
    <n v="4.01"/>
    <m/>
    <s v="Jumbo PhicoopSevenum SEVENUM"/>
    <s v="UIT"/>
    <s v="BOODSCH"/>
    <s v="boodschappen"/>
    <m/>
    <s v="bc"/>
    <m/>
    <m/>
    <m/>
    <m/>
    <m/>
    <m/>
    <m/>
    <m/>
  </r>
  <r>
    <n v="2793"/>
    <x v="3"/>
    <m/>
    <x v="5"/>
    <x v="67"/>
    <d v="2021-05-20T00:00:00"/>
    <d v="2021-05-20T00:00:00"/>
    <n v="-3.99"/>
    <n v="3.99"/>
    <m/>
    <s v="CCV*COCAGNE PANNINGEN"/>
    <s v="UIT"/>
    <s v="BOODSCH"/>
    <s v="boodschappen"/>
    <s v="gebroken lijnzaad 1 kg"/>
    <s v="bc"/>
    <m/>
    <m/>
    <m/>
    <m/>
    <m/>
    <m/>
    <m/>
    <m/>
  </r>
  <r>
    <n v="2795"/>
    <x v="3"/>
    <m/>
    <x v="5"/>
    <x v="67"/>
    <d v="2021-05-21T00:00:00"/>
    <d v="2021-05-21T00:00:00"/>
    <n v="-5.14"/>
    <n v="5.14"/>
    <m/>
    <s v="Spar Enjoy Schatberg SEVENUM"/>
    <s v="UIT"/>
    <s v="BOODSCH"/>
    <s v="boodschappen"/>
    <m/>
    <s v="bc"/>
    <m/>
    <m/>
    <m/>
    <m/>
    <m/>
    <m/>
    <m/>
    <m/>
  </r>
  <r>
    <n v="2797"/>
    <x v="3"/>
    <m/>
    <x v="5"/>
    <x v="67"/>
    <d v="2021-05-22T00:00:00"/>
    <d v="2021-05-22T00:00:00"/>
    <n v="-4.9000000000000004"/>
    <n v="4.9000000000000004"/>
    <m/>
    <s v="Spar Enjoy Schatberg SEVENUM"/>
    <s v="UIT"/>
    <s v="BOODSCH"/>
    <s v="boodschappen"/>
    <m/>
    <s v="bc"/>
    <m/>
    <m/>
    <m/>
    <m/>
    <m/>
    <m/>
    <m/>
    <m/>
  </r>
  <r>
    <n v="2798"/>
    <x v="3"/>
    <m/>
    <x v="5"/>
    <x v="67"/>
    <d v="2021-05-24T00:00:00"/>
    <d v="2021-05-24T00:00:00"/>
    <n v="-1.84"/>
    <n v="1.84"/>
    <m/>
    <s v="Spar Enjoy Schatberg SEVENUM"/>
    <s v="UIT"/>
    <s v="BOODSCH"/>
    <s v="boodschappen"/>
    <m/>
    <s v="bc"/>
    <m/>
    <m/>
    <m/>
    <m/>
    <m/>
    <m/>
    <m/>
    <m/>
  </r>
  <r>
    <n v="2799"/>
    <x v="3"/>
    <m/>
    <x v="5"/>
    <x v="67"/>
    <d v="2021-05-25T00:00:00"/>
    <d v="2021-05-25T00:00:00"/>
    <n v="-2.7"/>
    <n v="2.7"/>
    <m/>
    <s v="Spar Enjoy Schatberg SEVENUM"/>
    <s v="UIT"/>
    <s v="BOODSCH"/>
    <s v="boodschappen"/>
    <m/>
    <s v="bc"/>
    <m/>
    <m/>
    <m/>
    <m/>
    <m/>
    <m/>
    <m/>
    <m/>
  </r>
  <r>
    <n v="2801"/>
    <x v="3"/>
    <m/>
    <x v="5"/>
    <x v="67"/>
    <d v="2021-05-26T00:00:00"/>
    <d v="2021-05-26T00:00:00"/>
    <n v="-1.94"/>
    <n v="1.94"/>
    <m/>
    <s v="Spar Enjoy Schatberg SEVENUM"/>
    <s v="UIT"/>
    <s v="BOODSCH"/>
    <s v="boodschappen"/>
    <m/>
    <s v="bc"/>
    <m/>
    <m/>
    <m/>
    <m/>
    <m/>
    <m/>
    <m/>
    <m/>
  </r>
  <r>
    <n v="2804"/>
    <x v="3"/>
    <m/>
    <x v="5"/>
    <x v="67"/>
    <d v="2021-05-29T00:00:00"/>
    <d v="2021-05-29T00:00:00"/>
    <n v="-1.65"/>
    <n v="1.65"/>
    <m/>
    <s v="Spar Enjoy Schatberg SEVENUM"/>
    <s v="UIT"/>
    <s v="BOODSCH"/>
    <s v="boodschappen"/>
    <m/>
    <s v="bc"/>
    <m/>
    <m/>
    <m/>
    <m/>
    <m/>
    <m/>
    <m/>
    <m/>
  </r>
  <r>
    <n v="2810"/>
    <x v="3"/>
    <m/>
    <x v="5"/>
    <x v="67"/>
    <d v="2021-05-31T00:00:00"/>
    <d v="2021-05-31T00:00:00"/>
    <n v="-8.9600000000000009"/>
    <n v="8.9600000000000009"/>
    <m/>
    <s v="SEP*Vmarkt Arnhem Utrecht"/>
    <s v="UIT"/>
    <s v="BOODSCH"/>
    <s v="boodschappen"/>
    <m/>
    <s v="bc"/>
    <m/>
    <m/>
    <m/>
    <m/>
    <m/>
    <m/>
    <m/>
    <m/>
  </r>
  <r>
    <n v="2811"/>
    <x v="3"/>
    <m/>
    <x v="5"/>
    <x v="67"/>
    <d v="2021-05-31T00:00:00"/>
    <d v="2021-05-31T00:00:00"/>
    <n v="-2.19"/>
    <n v="2.19"/>
    <m/>
    <s v="ALBERT HEIJN 1878 ARNHEM"/>
    <s v="UIT"/>
    <s v="BOODSCH"/>
    <s v="boodschappen"/>
    <m/>
    <s v="bc"/>
    <m/>
    <m/>
    <m/>
    <m/>
    <m/>
    <m/>
    <m/>
    <m/>
  </r>
  <r>
    <n v="2813"/>
    <x v="3"/>
    <m/>
    <x v="5"/>
    <x v="67"/>
    <d v="2021-05-31T00:00:00"/>
    <d v="2021-05-31T00:00:00"/>
    <n v="-3.79"/>
    <n v="3.79"/>
    <m/>
    <s v="ALBERT HEIJN 1101 ARNHEM"/>
    <s v="UIT"/>
    <s v="BOODSCH"/>
    <s v="boodschappen"/>
    <m/>
    <s v="bc"/>
    <m/>
    <m/>
    <m/>
    <m/>
    <m/>
    <m/>
    <m/>
    <m/>
  </r>
  <r>
    <n v="2815"/>
    <x v="3"/>
    <m/>
    <x v="5"/>
    <x v="67"/>
    <d v="2021-05-31T00:00:00"/>
    <d v="2021-05-31T00:00:00"/>
    <n v="-1.1399999999999999"/>
    <n v="1.1399999999999999"/>
    <m/>
    <s v="ALBERT HEIJN 1878 ARNHEM"/>
    <s v="UIT"/>
    <s v="BOODSCH"/>
    <s v="boodschappen"/>
    <m/>
    <s v="bc"/>
    <m/>
    <m/>
    <m/>
    <m/>
    <m/>
    <m/>
    <m/>
    <m/>
  </r>
  <r>
    <n v="2821"/>
    <x v="3"/>
    <m/>
    <x v="5"/>
    <x v="68"/>
    <d v="2021-06-03T00:00:00"/>
    <d v="2021-06-03T00:00:00"/>
    <n v="-5.22"/>
    <n v="5.22"/>
    <m/>
    <s v="Spar Enjoy Schatberg SEVENUM"/>
    <s v="UIT"/>
    <s v="BOODSCH"/>
    <s v="boodschappen"/>
    <m/>
    <s v="bc"/>
    <m/>
    <m/>
    <m/>
    <m/>
    <m/>
    <m/>
    <m/>
    <m/>
  </r>
  <r>
    <n v="2822"/>
    <x v="3"/>
    <m/>
    <x v="5"/>
    <x v="68"/>
    <d v="2021-06-05T00:00:00"/>
    <d v="2021-06-05T00:00:00"/>
    <n v="-2.25"/>
    <n v="2.25"/>
    <m/>
    <s v="Spar Enjoy Schatberg SEVENUM"/>
    <s v="UIT"/>
    <s v="BOODSCH"/>
    <s v="boodschappen"/>
    <m/>
    <s v="bc"/>
    <m/>
    <m/>
    <m/>
    <m/>
    <m/>
    <m/>
    <m/>
    <m/>
  </r>
  <r>
    <n v="2823"/>
    <x v="3"/>
    <m/>
    <x v="5"/>
    <x v="68"/>
    <d v="2021-06-05T00:00:00"/>
    <d v="2021-06-05T00:00:00"/>
    <n v="-2.4900000000000002"/>
    <n v="2.4900000000000002"/>
    <m/>
    <s v="Spar Enjoy Schatberg SEVENUM"/>
    <s v="UIT"/>
    <s v="BOODSCH"/>
    <s v="boodschappen"/>
    <m/>
    <s v="bc"/>
    <m/>
    <m/>
    <m/>
    <m/>
    <m/>
    <m/>
    <m/>
    <m/>
  </r>
  <r>
    <n v="2826"/>
    <x v="3"/>
    <m/>
    <x v="5"/>
    <x v="68"/>
    <d v="2021-06-06T00:00:00"/>
    <d v="2021-06-06T00:00:00"/>
    <n v="-18.38"/>
    <n v="18.38"/>
    <m/>
    <s v="Jumbo Panningen PANNINGEN"/>
    <s v="UIT"/>
    <s v="BOODSCH"/>
    <s v="boodschappen"/>
    <m/>
    <s v="bc"/>
    <m/>
    <m/>
    <m/>
    <m/>
    <m/>
    <m/>
    <m/>
    <m/>
  </r>
  <r>
    <n v="2827"/>
    <x v="3"/>
    <m/>
    <x v="5"/>
    <x v="68"/>
    <d v="2021-06-07T00:00:00"/>
    <d v="2021-06-07T00:00:00"/>
    <n v="-50.12"/>
    <n v="50.12"/>
    <m/>
    <s v="Lidl 475 Panningen PANNINGEN"/>
    <s v="UIT"/>
    <s v="BOODSCH"/>
    <s v="boodschappen"/>
    <m/>
    <s v="bc"/>
    <m/>
    <m/>
    <m/>
    <m/>
    <m/>
    <m/>
    <m/>
    <m/>
  </r>
  <r>
    <n v="2828"/>
    <x v="3"/>
    <m/>
    <x v="5"/>
    <x v="68"/>
    <d v="2021-06-07T00:00:00"/>
    <d v="2021-06-07T00:00:00"/>
    <n v="-3.38"/>
    <n v="3.38"/>
    <m/>
    <s v="Polish Supermarkt Pann OSS"/>
    <s v="UIT"/>
    <s v="BOODSCH"/>
    <s v="boodschappen"/>
    <m/>
    <s v="bc"/>
    <m/>
    <m/>
    <m/>
    <m/>
    <m/>
    <m/>
    <m/>
    <m/>
  </r>
  <r>
    <n v="2834"/>
    <x v="3"/>
    <m/>
    <x v="5"/>
    <x v="68"/>
    <d v="2021-06-09T00:00:00"/>
    <d v="2021-06-09T00:00:00"/>
    <n v="-7.56"/>
    <n v="7.56"/>
    <m/>
    <s v="ALBERT HEIJN 1878 ARNHEM"/>
    <s v="UIT"/>
    <s v="BOODSCH"/>
    <s v="boodschappen"/>
    <m/>
    <s v="bc"/>
    <m/>
    <m/>
    <m/>
    <m/>
    <m/>
    <s v="Betaalautomaat 17:38 pasnr. 022"/>
    <s v=" "/>
    <m/>
  </r>
  <r>
    <n v="2835"/>
    <x v="3"/>
    <m/>
    <x v="5"/>
    <x v="68"/>
    <d v="2021-06-09T00:00:00"/>
    <d v="2021-06-09T00:00:00"/>
    <n v="-0.75"/>
    <n v="0.75"/>
    <m/>
    <s v="ALBERT HEIJN 1878 ARNHEM"/>
    <s v="UIT"/>
    <s v="BOODSCH"/>
    <s v="boodschappen"/>
    <m/>
    <s v="bc"/>
    <m/>
    <m/>
    <m/>
    <m/>
    <m/>
    <s v="Betaalautomaat 17:39 pasnr. 022"/>
    <s v=" "/>
    <m/>
  </r>
  <r>
    <n v="2845"/>
    <x v="3"/>
    <m/>
    <x v="5"/>
    <x v="68"/>
    <d v="2021-06-14T00:00:00"/>
    <d v="2021-06-14T00:00:00"/>
    <n v="-1.85"/>
    <n v="1.85"/>
    <m/>
    <s v="SPAR Arnhem Koningstra ARNHEM"/>
    <s v="UIT"/>
    <s v="BOODSCH"/>
    <s v="boodschappen"/>
    <m/>
    <s v="bc"/>
    <m/>
    <m/>
    <m/>
    <m/>
    <m/>
    <s v="Betaalautomaat 16:13 pasnr. 022"/>
    <s v=" "/>
    <m/>
  </r>
  <r>
    <n v="2846"/>
    <x v="3"/>
    <m/>
    <x v="5"/>
    <x v="68"/>
    <d v="2021-06-14T00:00:00"/>
    <d v="2021-06-14T00:00:00"/>
    <n v="-6.03"/>
    <n v="6.03"/>
    <m/>
    <s v="SEP*Vmarkt Arnhem Utrecht"/>
    <s v="UIT"/>
    <s v="BOODSCH"/>
    <s v="boodschappen"/>
    <m/>
    <s v="bc"/>
    <m/>
    <m/>
    <m/>
    <m/>
    <m/>
    <s v="Betaalautomaat 16:38 pasnr. 022"/>
    <s v=" "/>
    <m/>
  </r>
  <r>
    <n v="2850"/>
    <x v="3"/>
    <m/>
    <x v="5"/>
    <x v="68"/>
    <d v="2021-06-16T00:00:00"/>
    <d v="2021-06-16T00:00:00"/>
    <n v="-3.9"/>
    <n v="3.9"/>
    <m/>
    <s v="Spar Enjoy Schatberg SEVENUM"/>
    <s v="UIT"/>
    <s v="BOODSCH"/>
    <s v="boodschappen"/>
    <m/>
    <s v="bc"/>
    <m/>
    <m/>
    <m/>
    <m/>
    <m/>
    <s v="Betaalautomaat 17:47 pasnr. 022"/>
    <s v=" "/>
    <m/>
  </r>
  <r>
    <n v="2851"/>
    <x v="3"/>
    <m/>
    <x v="5"/>
    <x v="68"/>
    <d v="2021-06-17T00:00:00"/>
    <d v="2021-06-17T00:00:00"/>
    <n v="-1.64"/>
    <n v="1.64"/>
    <m/>
    <s v="Spar Enjoy Schatberg SEVENUM"/>
    <s v="UIT"/>
    <s v="BOODSCH"/>
    <s v="boodschappen"/>
    <m/>
    <s v="bc"/>
    <m/>
    <m/>
    <m/>
    <m/>
    <m/>
    <s v="Betaalautomaat 17:47 pasnr. 022"/>
    <s v=" "/>
    <m/>
  </r>
  <r>
    <n v="2853"/>
    <x v="3"/>
    <m/>
    <x v="5"/>
    <x v="68"/>
    <d v="2021-06-18T00:00:00"/>
    <d v="2021-06-18T00:00:00"/>
    <n v="-2.9"/>
    <n v="2.9"/>
    <m/>
    <s v="Spar Enjoy Schatberg SEVENUM"/>
    <s v="UIT"/>
    <s v="BOODSCH"/>
    <s v="boodschappen"/>
    <m/>
    <s v="bc"/>
    <m/>
    <m/>
    <m/>
    <m/>
    <m/>
    <s v="Betaalautomaat 12:21 pasnr. 022"/>
    <s v=" "/>
    <m/>
  </r>
  <r>
    <n v="2854"/>
    <x v="3"/>
    <m/>
    <x v="5"/>
    <x v="68"/>
    <d v="2021-06-19T00:00:00"/>
    <d v="2021-06-19T00:00:00"/>
    <n v="-1.75"/>
    <n v="1.75"/>
    <m/>
    <s v="Spar Enjoy Schatberg SEVENUM"/>
    <s v="UIT"/>
    <s v="BOODSCH"/>
    <s v="boodschappen"/>
    <m/>
    <s v="bc"/>
    <m/>
    <m/>
    <m/>
    <m/>
    <m/>
    <s v="Betaalautomaat 14:18 pasnr. 022"/>
    <s v=" "/>
    <m/>
  </r>
  <r>
    <n v="2855"/>
    <x v="3"/>
    <m/>
    <x v="5"/>
    <x v="68"/>
    <d v="2021-06-20T00:00:00"/>
    <d v="2021-06-20T00:00:00"/>
    <n v="-0.99"/>
    <n v="0.99"/>
    <m/>
    <s v="Spar Enjoy Schatberg SEVENUM"/>
    <s v="UIT"/>
    <s v="BOODSCH"/>
    <s v="boodschappen"/>
    <m/>
    <s v="bc"/>
    <m/>
    <m/>
    <m/>
    <m/>
    <m/>
    <s v="Betaalautomaat 17:44 pasnr. 022"/>
    <s v=" "/>
    <m/>
  </r>
  <r>
    <n v="2859"/>
    <x v="3"/>
    <m/>
    <x v="5"/>
    <x v="68"/>
    <d v="2021-06-22T00:00:00"/>
    <d v="2021-06-22T00:00:00"/>
    <n v="-2.9"/>
    <n v="2.9"/>
    <m/>
    <s v="Spar Enjoy Schatberg SEVENUM"/>
    <s v="UIT"/>
    <s v="BOODSCH"/>
    <s v="boodschappen"/>
    <m/>
    <s v="bc"/>
    <m/>
    <m/>
    <m/>
    <m/>
    <m/>
    <s v="Betaalautomaat 11:34 pasnr. 022"/>
    <s v=" "/>
    <m/>
  </r>
  <r>
    <n v="2860"/>
    <x v="3"/>
    <m/>
    <x v="5"/>
    <x v="68"/>
    <d v="2021-06-23T00:00:00"/>
    <d v="2021-06-23T00:00:00"/>
    <n v="-1.05"/>
    <n v="1.05"/>
    <m/>
    <s v="Spar Enjoy Schatberg SEVENUM"/>
    <s v="UIT"/>
    <s v="BOODSCH"/>
    <s v="boodschappen"/>
    <m/>
    <s v="bc"/>
    <m/>
    <m/>
    <m/>
    <m/>
    <m/>
    <s v="Betaalautomaat 12:00 pasnr. 022"/>
    <s v=" "/>
    <m/>
  </r>
  <r>
    <n v="2863"/>
    <x v="3"/>
    <m/>
    <x v="5"/>
    <x v="68"/>
    <d v="2021-06-24T00:00:00"/>
    <d v="2021-06-24T00:00:00"/>
    <n v="-28.36"/>
    <n v="28.36"/>
    <m/>
    <s v="Jumbo Panningen PANNINGEN"/>
    <s v="UIT"/>
    <s v="BOODSCH"/>
    <s v="boodschappen"/>
    <m/>
    <s v="bc"/>
    <m/>
    <m/>
    <m/>
    <m/>
    <m/>
    <s v="Betaalautomaat 18:33 pasnr. 022"/>
    <s v=" "/>
    <m/>
  </r>
  <r>
    <n v="2866"/>
    <x v="3"/>
    <m/>
    <x v="5"/>
    <x v="68"/>
    <d v="2021-06-27T00:00:00"/>
    <d v="2021-06-27T00:00:00"/>
    <n v="-2"/>
    <n v="2"/>
    <m/>
    <s v="Spar Enjoy Schatberg SEVENUM"/>
    <s v="UIT"/>
    <s v="BOODSCH"/>
    <s v="boodschappen"/>
    <m/>
    <s v="bc"/>
    <m/>
    <m/>
    <m/>
    <m/>
    <m/>
    <s v="Betaalautomaat 16:26 pasnr. 022"/>
    <s v=" "/>
    <m/>
  </r>
  <r>
    <n v="2867"/>
    <x v="3"/>
    <m/>
    <x v="5"/>
    <x v="68"/>
    <d v="2021-06-28T00:00:00"/>
    <d v="2021-06-28T00:00:00"/>
    <n v="-36.93"/>
    <n v="36.93"/>
    <m/>
    <s v="Lidl 475 Panningen PANNINGEN"/>
    <s v="UIT"/>
    <s v="BOODSCH"/>
    <s v="boodschappen"/>
    <m/>
    <s v="bc"/>
    <m/>
    <m/>
    <m/>
    <m/>
    <m/>
    <s v="Betaalautomaat 12:22 pasnr. 022"/>
    <s v=" "/>
    <m/>
  </r>
  <r>
    <n v="2870"/>
    <x v="3"/>
    <m/>
    <x v="5"/>
    <x v="68"/>
    <d v="2021-06-29T00:00:00"/>
    <d v="2021-06-29T00:00:00"/>
    <n v="-4.5"/>
    <n v="4.5"/>
    <m/>
    <s v="Spar Enjoy Schatberg SEVENUM"/>
    <s v="UIT"/>
    <s v="BOODSCH"/>
    <s v="boodschappen"/>
    <m/>
    <s v="bc"/>
    <m/>
    <m/>
    <m/>
    <m/>
    <m/>
    <s v="Betaalautomaat 12:16 pasnr. 022"/>
    <s v=" "/>
    <m/>
  </r>
  <r>
    <n v="2875"/>
    <x v="3"/>
    <m/>
    <x v="5"/>
    <x v="69"/>
    <d v="2021-07-01T00:00:00"/>
    <d v="2021-07-01T00:00:00"/>
    <n v="-3.57"/>
    <n v="3.57"/>
    <m/>
    <s v="MARKET BERTRIX 0000100010001 BEL"/>
    <s v="UIT"/>
    <s v="BOODSCH"/>
    <s v="boodschappen"/>
    <m/>
    <s v="bc"/>
    <m/>
    <m/>
    <m/>
    <m/>
    <m/>
    <s v="Betaalautomaat 16:49 pasnr. 022"/>
    <s v=" "/>
    <m/>
  </r>
  <r>
    <n v="2879"/>
    <x v="3"/>
    <m/>
    <x v="5"/>
    <x v="69"/>
    <d v="2021-07-03T00:00:00"/>
    <d v="2021-07-03T00:00:00"/>
    <n v="-2.33"/>
    <n v="2.33"/>
    <m/>
    <s v="MARKET BERTRIX 0000100010001 BEL"/>
    <s v="UIT"/>
    <s v="BOODSCH"/>
    <s v="boodschappen"/>
    <m/>
    <s v="bc"/>
    <m/>
    <m/>
    <m/>
    <m/>
    <m/>
    <s v="Betaalautomaat 13:31 pasnr. 022"/>
    <s v=" "/>
    <m/>
  </r>
  <r>
    <n v="2886"/>
    <x v="3"/>
    <m/>
    <x v="5"/>
    <x v="69"/>
    <d v="2021-07-06T00:00:00"/>
    <d v="2021-07-06T00:00:00"/>
    <n v="-21.81"/>
    <n v="21.81"/>
    <m/>
    <s v="Jumbo Panningen PANNINGEN"/>
    <s v="UIT"/>
    <s v="BOODSCH"/>
    <s v="boodschappen"/>
    <m/>
    <s v="bc"/>
    <m/>
    <m/>
    <m/>
    <m/>
    <m/>
    <s v="Betaalautomaat 17:35 pasnr. 022"/>
    <s v=" "/>
    <m/>
  </r>
  <r>
    <n v="2887"/>
    <x v="3"/>
    <m/>
    <x v="5"/>
    <x v="69"/>
    <d v="2021-07-07T00:00:00"/>
    <d v="2021-07-07T00:00:00"/>
    <n v="2.99"/>
    <n v="2.99"/>
    <s v="NL13ABNA0506417344"/>
    <s v="AAB RETAIL INZ TIKKIE"/>
    <s v="UIT"/>
    <s v="BOODSCH"/>
    <s v="boodschappen"/>
    <s v="ABNANL2A"/>
    <s v="cb"/>
    <m/>
    <m/>
    <m/>
    <m/>
    <m/>
    <s v="Tikkie ID 000341266853, Anti vogelnest strips, Van A.M.H. Pennings eo, NL08RABO0105021423"/>
    <s v=" "/>
    <m/>
  </r>
  <r>
    <n v="2888"/>
    <x v="3"/>
    <m/>
    <x v="5"/>
    <x v="69"/>
    <d v="2021-07-07T00:00:00"/>
    <d v="2021-07-07T00:00:00"/>
    <n v="-0.95"/>
    <n v="0.95"/>
    <m/>
    <s v="Spar Enjoy Schatberg SEVENUM"/>
    <s v="UIT"/>
    <s v="BOODSCH"/>
    <s v="boodschappen"/>
    <m/>
    <s v="bc"/>
    <m/>
    <m/>
    <m/>
    <m/>
    <m/>
    <s v="Betaalautomaat 16:43 pasnr. 022"/>
    <s v=" "/>
    <m/>
  </r>
  <r>
    <n v="2889"/>
    <x v="3"/>
    <m/>
    <x v="5"/>
    <x v="69"/>
    <d v="2021-07-09T00:00:00"/>
    <d v="2021-07-09T00:00:00"/>
    <n v="-1.75"/>
    <n v="1.75"/>
    <m/>
    <s v="Spar Enjoy Schatberg SEVENUM"/>
    <s v="UIT"/>
    <s v="BOODSCH"/>
    <s v="boodschappen"/>
    <m/>
    <s v="bc"/>
    <m/>
    <m/>
    <m/>
    <m/>
    <m/>
    <s v="Betaalautomaat 17:31 pasnr. 022"/>
    <s v=" "/>
    <m/>
  </r>
  <r>
    <n v="2890"/>
    <x v="3"/>
    <m/>
    <x v="5"/>
    <x v="69"/>
    <d v="2021-07-11T00:00:00"/>
    <d v="2021-07-11T00:00:00"/>
    <n v="-29.06"/>
    <n v="29.06"/>
    <m/>
    <s v="Lidl 475 Panningen PANNINGEN"/>
    <s v="UIT"/>
    <s v="BOODSCH"/>
    <s v="boodschappen"/>
    <m/>
    <s v="bc"/>
    <m/>
    <m/>
    <m/>
    <m/>
    <m/>
    <s v="Betaalautomaat 13:21 pasnr. 022"/>
    <s v=" "/>
    <m/>
  </r>
  <r>
    <n v="2891"/>
    <x v="3"/>
    <m/>
    <x v="5"/>
    <x v="69"/>
    <d v="2021-07-11T00:00:00"/>
    <d v="2021-07-11T00:00:00"/>
    <n v="-1.99"/>
    <n v="1.99"/>
    <m/>
    <s v="Polish Supermarkt Pann OSS"/>
    <s v="UIT"/>
    <s v="BOODSCH"/>
    <s v="boodschappen"/>
    <m/>
    <s v="bc"/>
    <m/>
    <m/>
    <m/>
    <m/>
    <m/>
    <s v="Betaalautomaat 13:31 pasnr. 022"/>
    <s v=" "/>
    <m/>
  </r>
  <r>
    <n v="2892"/>
    <x v="3"/>
    <m/>
    <x v="5"/>
    <x v="69"/>
    <d v="2021-07-14T00:00:00"/>
    <d v="2021-07-14T00:00:00"/>
    <n v="-5.35"/>
    <n v="5.35"/>
    <m/>
    <s v="Spar Enjoy Schatberg SEVENUM"/>
    <s v="UIT"/>
    <s v="BOODSCH"/>
    <s v="boodschappen"/>
    <m/>
    <s v="bc"/>
    <m/>
    <m/>
    <m/>
    <m/>
    <m/>
    <s v="Betaalautomaat 14:15 pasnr. 022"/>
    <s v=" "/>
    <m/>
  </r>
  <r>
    <n v="2898"/>
    <x v="3"/>
    <m/>
    <x v="5"/>
    <x v="69"/>
    <d v="2021-07-18T00:00:00"/>
    <d v="2021-07-18T00:00:00"/>
    <n v="-1.49"/>
    <n v="1.49"/>
    <m/>
    <s v="Spar Enjoy Schatberg SEVENUM"/>
    <s v="UIT"/>
    <s v="BOODSCH"/>
    <s v="boodschappen"/>
    <m/>
    <s v="bc"/>
    <m/>
    <m/>
    <m/>
    <m/>
    <m/>
    <s v="Betaalautomaat 19:00 pasnr. 022"/>
    <s v=" "/>
    <m/>
  </r>
  <r>
    <n v="2899"/>
    <x v="3"/>
    <m/>
    <x v="5"/>
    <x v="69"/>
    <d v="2021-07-19T00:00:00"/>
    <d v="2021-07-19T00:00:00"/>
    <n v="-3.1"/>
    <n v="3.1"/>
    <m/>
    <s v="Spar Enjoy Schatberg SEVENUM"/>
    <s v="UIT"/>
    <s v="BOODSCH"/>
    <s v="boodschappen"/>
    <m/>
    <s v="bc"/>
    <m/>
    <m/>
    <m/>
    <m/>
    <m/>
    <s v="Betaalautomaat 12:08 pasnr. 022"/>
    <s v=" "/>
    <m/>
  </r>
  <r>
    <n v="2903"/>
    <x v="3"/>
    <m/>
    <x v="5"/>
    <x v="69"/>
    <d v="2021-07-20T00:00:00"/>
    <d v="2021-07-20T00:00:00"/>
    <n v="-11.1"/>
    <n v="11.1"/>
    <m/>
    <s v="ALDI 022 SEVENUM"/>
    <s v="UIT"/>
    <s v="BOODSCH"/>
    <s v="boodschappen"/>
    <m/>
    <s v="bc"/>
    <m/>
    <m/>
    <m/>
    <m/>
    <m/>
    <s v="Betaalautomaat 16:55 pasnr. 022"/>
    <s v=" "/>
    <m/>
  </r>
  <r>
    <n v="2904"/>
    <x v="3"/>
    <m/>
    <x v="5"/>
    <x v="69"/>
    <d v="2021-07-20T00:00:00"/>
    <d v="2021-07-20T00:00:00"/>
    <n v="-10.039999999999999"/>
    <n v="10.039999999999999"/>
    <m/>
    <s v="Jumbo PhicoopSevenum SEVENUM"/>
    <s v="UIT"/>
    <s v="BOODSCH"/>
    <s v="boodschappen"/>
    <m/>
    <s v="bc"/>
    <m/>
    <m/>
    <m/>
    <m/>
    <m/>
    <s v="Betaalautomaat 17:23 pasnr. 022"/>
    <s v=" "/>
    <m/>
  </r>
  <r>
    <n v="2907"/>
    <x v="3"/>
    <m/>
    <x v="5"/>
    <x v="69"/>
    <d v="2021-07-24T00:00:00"/>
    <d v="2021-07-24T00:00:00"/>
    <n v="-0.99"/>
    <n v="0.99"/>
    <m/>
    <s v="Spar Enjoy Schatberg SEVENUM"/>
    <s v="UIT"/>
    <s v="BOODSCH"/>
    <s v="boodschappen"/>
    <m/>
    <s v="bc"/>
    <m/>
    <m/>
    <m/>
    <m/>
    <m/>
    <s v="Betaalautomaat 18:46 pasnr. 022"/>
    <s v=" "/>
    <m/>
  </r>
  <r>
    <n v="2910"/>
    <x v="3"/>
    <m/>
    <x v="5"/>
    <x v="69"/>
    <d v="2021-07-26T00:00:00"/>
    <d v="2021-07-26T00:00:00"/>
    <n v="-1.65"/>
    <n v="1.65"/>
    <m/>
    <s v="Spar Enjoy Schatberg SEVENUM"/>
    <s v="UIT"/>
    <s v="BOODSCH"/>
    <s v="boodschappen"/>
    <m/>
    <s v="bc"/>
    <m/>
    <m/>
    <m/>
    <m/>
    <m/>
    <s v="Betaalautomaat 16:47 pasnr. 022"/>
    <s v=" "/>
    <m/>
  </r>
  <r>
    <n v="2911"/>
    <x v="3"/>
    <m/>
    <x v="5"/>
    <x v="69"/>
    <d v="2021-07-27T00:00:00"/>
    <d v="2021-07-27T00:00:00"/>
    <n v="-1.45"/>
    <n v="1.45"/>
    <m/>
    <s v="Spar Enjoy Schatberg SEVENUM"/>
    <s v="UIT"/>
    <s v="BOODSCH"/>
    <s v="boodschappen"/>
    <m/>
    <s v="bc"/>
    <m/>
    <m/>
    <m/>
    <m/>
    <m/>
    <s v="Betaalautomaat 18:42 pasnr. 011"/>
    <s v=" "/>
    <m/>
  </r>
  <r>
    <n v="2913"/>
    <x v="3"/>
    <m/>
    <x v="5"/>
    <x v="69"/>
    <d v="2021-07-28T00:00:00"/>
    <d v="2021-07-28T00:00:00"/>
    <n v="-30.71"/>
    <n v="30.71"/>
    <m/>
    <s v="ALDI 022 SEVENUM"/>
    <s v="UIT"/>
    <s v="BOODSCH"/>
    <s v="boodschappen"/>
    <m/>
    <s v="bc"/>
    <m/>
    <m/>
    <m/>
    <m/>
    <m/>
    <s v="Betaalautomaat 12:04 pasnr. 022"/>
    <s v=" "/>
    <m/>
  </r>
  <r>
    <n v="2915"/>
    <x v="3"/>
    <m/>
    <x v="5"/>
    <x v="69"/>
    <d v="2021-07-28T00:00:00"/>
    <d v="2021-07-28T00:00:00"/>
    <n v="-9.49"/>
    <n v="9.49"/>
    <m/>
    <s v="Kruidvat 3123 PANNINGEN"/>
    <s v="UIT"/>
    <s v="BOODSCH"/>
    <s v="proteinepoeder"/>
    <m/>
    <s v="bc"/>
    <m/>
    <m/>
    <m/>
    <m/>
    <m/>
    <s v="Betaalautomaat 17:33 pasnr. 022"/>
    <s v=" "/>
    <m/>
  </r>
  <r>
    <n v="2917"/>
    <x v="3"/>
    <m/>
    <x v="5"/>
    <x v="69"/>
    <d v="2021-07-28T00:00:00"/>
    <d v="2021-07-28T00:00:00"/>
    <n v="-16.079999999999998"/>
    <n v="16.079999999999998"/>
    <m/>
    <s v="Jumbo Panningen PANNINGEN"/>
    <s v="UIT"/>
    <s v="BOODSCH"/>
    <s v="boodschappen"/>
    <m/>
    <s v="bc"/>
    <m/>
    <m/>
    <m/>
    <m/>
    <m/>
    <s v="Betaalautomaat 18:42 pasnr. 022"/>
    <s v=" "/>
    <m/>
  </r>
  <r>
    <n v="2923"/>
    <x v="3"/>
    <m/>
    <x v="5"/>
    <x v="70"/>
    <d v="2021-08-06T00:00:00"/>
    <d v="2021-08-06T00:00:00"/>
    <n v="-23.39"/>
    <n v="23.39"/>
    <m/>
    <s v="Lidl 475 Panningen PANNINGEN"/>
    <s v="UIT"/>
    <s v="BOODSCH"/>
    <s v="boodschappen"/>
    <m/>
    <s v="bc"/>
    <m/>
    <m/>
    <m/>
    <m/>
    <m/>
    <s v="Betaalautomaat 13:37 pasnr. 011"/>
    <s v=" "/>
    <m/>
  </r>
  <r>
    <n v="2924"/>
    <x v="3"/>
    <m/>
    <x v="5"/>
    <x v="70"/>
    <d v="2021-08-06T00:00:00"/>
    <d v="2021-08-06T00:00:00"/>
    <n v="-4.99"/>
    <n v="4.99"/>
    <m/>
    <s v="Jumbo Panningen PANNINGEN"/>
    <s v="UIT"/>
    <s v="BOODSCH"/>
    <s v="boodschappen"/>
    <m/>
    <s v="bc"/>
    <m/>
    <m/>
    <m/>
    <m/>
    <m/>
    <s v="Betaalautomaat 14:03 pasnr. 011"/>
    <s v=" "/>
    <m/>
  </r>
  <r>
    <n v="2925"/>
    <x v="3"/>
    <m/>
    <x v="5"/>
    <x v="70"/>
    <d v="2021-08-06T00:00:00"/>
    <d v="2021-08-06T00:00:00"/>
    <n v="-0.95"/>
    <n v="0.95"/>
    <m/>
    <s v="Spar Enjoy Schatberg SEVENUM"/>
    <s v="UIT"/>
    <s v="BOODSCH"/>
    <s v="boodschappen"/>
    <m/>
    <s v="bc"/>
    <m/>
    <m/>
    <m/>
    <m/>
    <m/>
    <s v="Betaalautomaat 17:42 pasnr. 022"/>
    <s v=" "/>
    <m/>
  </r>
  <r>
    <n v="2926"/>
    <x v="3"/>
    <m/>
    <x v="5"/>
    <x v="70"/>
    <d v="2021-08-11T00:00:00"/>
    <d v="2021-08-11T00:00:00"/>
    <n v="-3.5"/>
    <n v="3.5"/>
    <m/>
    <s v="Spar Enjoy Schatberg SEVENUM"/>
    <s v="UIT"/>
    <s v="BOODSCH"/>
    <s v="boodschappen"/>
    <m/>
    <s v="bc"/>
    <m/>
    <m/>
    <m/>
    <m/>
    <m/>
    <s v="Betaalautomaat 16:15 pasnr. 022"/>
    <s v=" "/>
    <m/>
  </r>
  <r>
    <n v="2929"/>
    <x v="3"/>
    <m/>
    <x v="5"/>
    <x v="70"/>
    <d v="2021-08-12T00:00:00"/>
    <d v="2021-08-12T00:00:00"/>
    <n v="-6.62"/>
    <n v="6.62"/>
    <m/>
    <s v="Die 2Bruder VENLO"/>
    <s v="UIT"/>
    <s v="BOODSCH"/>
    <s v="boodschappen"/>
    <m/>
    <s v="bc"/>
    <m/>
    <m/>
    <m/>
    <m/>
    <m/>
    <s v="Betaalautomaat 17:31 pasnr. 022"/>
    <s v=" "/>
    <m/>
  </r>
  <r>
    <n v="2932"/>
    <x v="3"/>
    <m/>
    <x v="5"/>
    <x v="70"/>
    <d v="2021-08-14T00:00:00"/>
    <d v="2021-08-14T00:00:00"/>
    <n v="-1.05"/>
    <n v="1.05"/>
    <m/>
    <s v="Spar Enjoy Schatberg SEVENUM"/>
    <s v="UIT"/>
    <s v="BOODSCH"/>
    <s v="boodschappen"/>
    <m/>
    <s v="bc"/>
    <m/>
    <m/>
    <m/>
    <m/>
    <m/>
    <s v="Betaalautomaat 18:33 pasnr. 022"/>
    <s v=" "/>
    <m/>
  </r>
  <r>
    <n v="2934"/>
    <x v="3"/>
    <m/>
    <x v="5"/>
    <x v="70"/>
    <d v="2021-08-15T00:00:00"/>
    <d v="2021-08-15T00:00:00"/>
    <n v="-15.98"/>
    <n v="15.98"/>
    <m/>
    <s v="Lidl 475 Panningen PANNINGEN"/>
    <s v="UIT"/>
    <s v="BOODSCH"/>
    <s v="boodschappen"/>
    <m/>
    <s v="bc"/>
    <m/>
    <m/>
    <m/>
    <m/>
    <m/>
    <s v="Betaalautomaat 16:26 pasnr. 022"/>
    <s v=" "/>
    <m/>
  </r>
  <r>
    <n v="2935"/>
    <x v="3"/>
    <m/>
    <x v="5"/>
    <x v="70"/>
    <d v="2021-08-15T00:00:00"/>
    <d v="2021-08-15T00:00:00"/>
    <n v="-0.39"/>
    <n v="0.39"/>
    <m/>
    <s v="Polish Supermarkt Pann OSS"/>
    <s v="UIT"/>
    <s v="BOODSCH"/>
    <s v="boodschappen"/>
    <m/>
    <s v="bc"/>
    <m/>
    <m/>
    <m/>
    <m/>
    <m/>
    <s v="Betaalautomaat 16:31 pasnr. 022"/>
    <s v=" "/>
    <m/>
  </r>
  <r>
    <n v="2940"/>
    <x v="3"/>
    <m/>
    <x v="5"/>
    <x v="70"/>
    <d v="2021-08-21T00:00:00"/>
    <d v="2021-08-21T00:00:00"/>
    <n v="-2.34"/>
    <n v="2.34"/>
    <m/>
    <s v="Spar Enjoy Schatberg SEVENUM"/>
    <s v="UIT"/>
    <s v="BOODSCH"/>
    <s v="boodschappen"/>
    <m/>
    <s v="bc"/>
    <m/>
    <m/>
    <m/>
    <m/>
    <m/>
    <s v="Betaalautomaat 12:11 pasnr. 022"/>
    <s v=" "/>
    <m/>
  </r>
  <r>
    <n v="2941"/>
    <x v="3"/>
    <m/>
    <x v="5"/>
    <x v="70"/>
    <d v="2021-08-21T00:00:00"/>
    <d v="2021-08-21T00:00:00"/>
    <n v="-17.07"/>
    <n v="17.07"/>
    <m/>
    <s v="Jumbo Panningen PANNINGEN"/>
    <s v="UIT"/>
    <s v="BOODSCH"/>
    <s v="boodschappen"/>
    <m/>
    <s v="bc"/>
    <m/>
    <m/>
    <m/>
    <m/>
    <m/>
    <s v="Betaalautomaat 17:41 pasnr. 022"/>
    <s v=" "/>
    <m/>
  </r>
  <r>
    <n v="2943"/>
    <x v="3"/>
    <m/>
    <x v="5"/>
    <x v="70"/>
    <d v="2021-08-25T00:00:00"/>
    <d v="2021-08-25T00:00:00"/>
    <n v="-0.89"/>
    <n v="0.89"/>
    <m/>
    <s v="Spar Enjoy Schatberg SEVENUM"/>
    <s v="UIT"/>
    <s v="BOODSCH"/>
    <s v="boodschappen"/>
    <m/>
    <s v="bc"/>
    <m/>
    <m/>
    <m/>
    <m/>
    <m/>
    <s v="Betaalautomaat 18:11 pasnr. 022"/>
    <s v=" "/>
    <m/>
  </r>
  <r>
    <n v="2947"/>
    <x v="3"/>
    <m/>
    <x v="5"/>
    <x v="70"/>
    <d v="2021-08-28T00:00:00"/>
    <d v="2021-08-28T00:00:00"/>
    <n v="-5.74"/>
    <n v="5.74"/>
    <m/>
    <s v="Spar Enjoy Schatberg SEVENUM"/>
    <s v="UIT"/>
    <s v="BOODSCH"/>
    <s v="boodschappen"/>
    <m/>
    <s v="bc"/>
    <m/>
    <m/>
    <m/>
    <m/>
    <m/>
    <s v="Betaalautomaat 16:49 pasnr. 022"/>
    <s v=" "/>
    <m/>
  </r>
  <r>
    <n v="2948"/>
    <x v="3"/>
    <m/>
    <x v="5"/>
    <x v="70"/>
    <d v="2021-08-29T00:00:00"/>
    <d v="2021-08-29T00:00:00"/>
    <n v="-4.03"/>
    <n v="4.03"/>
    <m/>
    <s v="Spar Enjoy Schatberg SEVENUM"/>
    <s v="UIT"/>
    <s v="BOODSCH"/>
    <s v="boodschappen"/>
    <m/>
    <s v="bc"/>
    <m/>
    <m/>
    <m/>
    <m/>
    <m/>
    <s v="Betaalautomaat 15:48 pasnr. 022"/>
    <s v=" "/>
    <m/>
  </r>
  <r>
    <n v="2950"/>
    <x v="3"/>
    <m/>
    <x v="5"/>
    <x v="70"/>
    <d v="2021-08-31T00:00:00"/>
    <d v="2021-08-31T00:00:00"/>
    <n v="-35.86"/>
    <n v="35.86"/>
    <m/>
    <s v="Jumbo Panningen PANNINGEN"/>
    <s v="UIT"/>
    <s v="BOODSCH"/>
    <s v="boodschappen"/>
    <m/>
    <s v="bc"/>
    <m/>
    <m/>
    <m/>
    <m/>
    <m/>
    <s v="Betaalautomaat 18:40 pasnr. 022"/>
    <s v=" "/>
    <m/>
  </r>
  <r>
    <n v="2955"/>
    <x v="3"/>
    <m/>
    <x v="5"/>
    <x v="64"/>
    <d v="2021-09-03T00:00:00"/>
    <d v="2021-09-03T00:00:00"/>
    <n v="-0.89"/>
    <n v="0.89"/>
    <m/>
    <s v="Spar Enjoy Schatberg SEVENUM"/>
    <s v="UIT"/>
    <s v="BOODSCH"/>
    <s v="boodschappen"/>
    <m/>
    <s v="bc"/>
    <m/>
    <m/>
    <m/>
    <m/>
    <m/>
    <s v="Betaalautomaat 16:58 pasnr. 022"/>
    <s v=" "/>
    <m/>
  </r>
  <r>
    <n v="2956"/>
    <x v="3"/>
    <m/>
    <x v="5"/>
    <x v="64"/>
    <d v="2021-09-04T00:00:00"/>
    <d v="2021-09-04T00:00:00"/>
    <n v="-1.05"/>
    <n v="1.05"/>
    <m/>
    <s v="Spar Enjoy Schatberg SEVENUM"/>
    <s v="UIT"/>
    <s v="BOODSCH"/>
    <s v="boodschappen"/>
    <m/>
    <s v="bc"/>
    <m/>
    <m/>
    <m/>
    <m/>
    <m/>
    <s v="Betaalautomaat 13:08 pasnr. 022"/>
    <s v=" "/>
    <m/>
  </r>
  <r>
    <n v="2958"/>
    <x v="3"/>
    <m/>
    <x v="5"/>
    <x v="64"/>
    <d v="2021-09-07T00:00:00"/>
    <d v="2021-09-07T00:00:00"/>
    <n v="-1.39"/>
    <n v="1.39"/>
    <m/>
    <s v="Spar Enjoy Schatberg SEVENUM"/>
    <s v="UIT"/>
    <s v="BOODSCH"/>
    <s v="boodschappen"/>
    <m/>
    <s v="bc"/>
    <m/>
    <m/>
    <m/>
    <m/>
    <m/>
    <s v="Betaalautomaat 17:31 pasnr. 022"/>
    <s v=" "/>
    <m/>
  </r>
  <r>
    <n v="2960"/>
    <x v="3"/>
    <m/>
    <x v="5"/>
    <x v="64"/>
    <d v="2021-09-09T00:00:00"/>
    <d v="2021-09-09T00:00:00"/>
    <n v="-8.08"/>
    <n v="8.08"/>
    <m/>
    <s v="Spar Enjoy Schatberg SEVENUM"/>
    <s v="UIT"/>
    <s v="BOODSCH"/>
    <s v="boodschappen"/>
    <m/>
    <s v="bc"/>
    <m/>
    <m/>
    <m/>
    <m/>
    <m/>
    <s v="Betaalautomaat 13:13 pasnr. 022"/>
    <s v=" "/>
    <m/>
  </r>
  <r>
    <n v="2961"/>
    <x v="3"/>
    <m/>
    <x v="5"/>
    <x v="64"/>
    <d v="2021-09-11T00:00:00"/>
    <d v="2021-09-11T00:00:00"/>
    <n v="-2.5"/>
    <n v="2.5"/>
    <m/>
    <s v="Spar Enjoy Schatberg SEVENUM"/>
    <s v="UIT"/>
    <s v="BOODSCH"/>
    <s v="boodschappen"/>
    <m/>
    <s v="bc"/>
    <m/>
    <m/>
    <m/>
    <m/>
    <m/>
    <s v="Betaalautomaat 13:59 pasnr. 022"/>
    <s v=" "/>
    <m/>
  </r>
  <r>
    <n v="2962"/>
    <x v="3"/>
    <m/>
    <x v="5"/>
    <x v="64"/>
    <d v="2021-09-12T00:00:00"/>
    <d v="2021-09-12T00:00:00"/>
    <n v="-2.44"/>
    <n v="2.44"/>
    <m/>
    <s v="Spar Enjoy Schatberg SEVENUM"/>
    <s v="UIT"/>
    <s v="BOODSCH"/>
    <s v="boodschappen"/>
    <m/>
    <s v="bc"/>
    <m/>
    <m/>
    <m/>
    <m/>
    <m/>
    <s v="Betaalautomaat 17:02 pasnr. 022"/>
    <s v=" "/>
    <m/>
  </r>
  <r>
    <n v="2964"/>
    <x v="3"/>
    <m/>
    <x v="5"/>
    <x v="64"/>
    <d v="2021-09-15T00:00:00"/>
    <d v="2021-09-15T00:00:00"/>
    <n v="-8.3800000000000008"/>
    <n v="8.3800000000000008"/>
    <m/>
    <s v="Kruidvat 0256 ARNHEM"/>
    <s v="UIT"/>
    <s v="BOODSCH"/>
    <s v="proteinepoeder"/>
    <m/>
    <s v="bc"/>
    <m/>
    <m/>
    <m/>
    <m/>
    <m/>
    <s v="Betaalautomaat 18:42 pasnr. 022"/>
    <s v=" "/>
    <m/>
  </r>
  <r>
    <n v="2965"/>
    <x v="3"/>
    <m/>
    <x v="5"/>
    <x v="64"/>
    <d v="2021-09-15T00:00:00"/>
    <d v="2021-09-15T00:00:00"/>
    <n v="-7.59"/>
    <n v="7.59"/>
    <m/>
    <s v="Kruidvat 0256 ARNHEM"/>
    <s v="UIT"/>
    <s v="BOODSCH"/>
    <s v="proteinepoeder"/>
    <m/>
    <s v="bc"/>
    <m/>
    <m/>
    <m/>
    <m/>
    <m/>
    <s v="Betaalautomaat 18:45 pasnr. 022"/>
    <s v=" "/>
    <m/>
  </r>
  <r>
    <n v="2967"/>
    <x v="3"/>
    <m/>
    <x v="5"/>
    <x v="64"/>
    <d v="2021-09-15T00:00:00"/>
    <d v="2021-09-15T00:00:00"/>
    <n v="-4.55"/>
    <n v="4.55"/>
    <m/>
    <s v="ALBERT HEIJN 1878 ARNHEM"/>
    <s v="UIT"/>
    <s v="BOODSCH"/>
    <s v="boodschappen"/>
    <m/>
    <s v="bc"/>
    <m/>
    <m/>
    <m/>
    <m/>
    <m/>
    <s v="Betaalautomaat 20:01 pasnr. 022"/>
    <s v=" "/>
    <m/>
  </r>
  <r>
    <n v="2968"/>
    <x v="3"/>
    <m/>
    <x v="5"/>
    <x v="64"/>
    <d v="2021-09-16T00:00:00"/>
    <d v="2021-09-16T00:00:00"/>
    <n v="-3.98"/>
    <n v="3.98"/>
    <m/>
    <s v="Action 1283 Arnhem"/>
    <s v="UIT"/>
    <s v="BOODSCH"/>
    <s v="boodschappen"/>
    <s v="ongezouten nootjes"/>
    <s v="bc"/>
    <m/>
    <m/>
    <m/>
    <m/>
    <m/>
    <s v="Betaalautomaat 14:03 pasnr. 022"/>
    <s v=" "/>
    <m/>
  </r>
  <r>
    <n v="2971"/>
    <x v="3"/>
    <m/>
    <x v="5"/>
    <x v="64"/>
    <d v="2021-09-16T00:00:00"/>
    <d v="2021-09-16T00:00:00"/>
    <n v="-6.03"/>
    <n v="6.03"/>
    <m/>
    <s v="ALBERT HEIJN 1878 ARNHEM"/>
    <s v="UIT"/>
    <s v="BOODSCH"/>
    <s v="boodschappen"/>
    <m/>
    <s v="bc"/>
    <m/>
    <m/>
    <m/>
    <m/>
    <m/>
    <s v="Betaalautomaat 17:15 pasnr. 011"/>
    <s v=" "/>
    <m/>
  </r>
  <r>
    <n v="2974"/>
    <x v="3"/>
    <m/>
    <x v="5"/>
    <x v="64"/>
    <d v="2021-09-16T00:00:00"/>
    <d v="2021-09-16T00:00:00"/>
    <n v="-2.2000000000000002"/>
    <n v="2.2000000000000002"/>
    <m/>
    <s v="AH Station Nijmegen NIJMEGEN"/>
    <s v="UIT"/>
    <s v="BOODSCH"/>
    <s v="boodschappen"/>
    <m/>
    <s v="bc"/>
    <m/>
    <m/>
    <m/>
    <m/>
    <m/>
    <s v="Betaalautomaat 20:15 pasnr. 022"/>
    <s v=" "/>
    <m/>
  </r>
  <r>
    <n v="2976"/>
    <x v="3"/>
    <m/>
    <x v="5"/>
    <x v="64"/>
    <d v="2021-09-18T00:00:00"/>
    <d v="2021-09-18T00:00:00"/>
    <n v="-19.670000000000002"/>
    <n v="19.670000000000002"/>
    <m/>
    <s v="Lidl 475 Panningen PANNINGEN"/>
    <s v="UIT"/>
    <s v="BOODSCH"/>
    <s v="boodschappen"/>
    <m/>
    <s v="bc"/>
    <m/>
    <m/>
    <m/>
    <m/>
    <m/>
    <s v="Betaalautomaat 13:55 pasnr. 022"/>
    <s v=" "/>
    <m/>
  </r>
  <r>
    <n v="2977"/>
    <x v="3"/>
    <m/>
    <x v="5"/>
    <x v="64"/>
    <d v="2021-09-18T00:00:00"/>
    <d v="2021-09-18T00:00:00"/>
    <n v="-2"/>
    <n v="2"/>
    <s v="NL68RABO0140802673"/>
    <s v="Rabo Betaalverzoek"/>
    <s v="UIT"/>
    <s v="BOODSCH"/>
    <s v="boodschappen"/>
    <s v="vleesvervangers aldi henriette"/>
    <s v="id"/>
    <m/>
    <s v="18-09-2021 17:17 0020005676550106"/>
    <m/>
    <m/>
    <m/>
    <s v="NL08RABO0105021423 0020005676550106 A.M.H. Pennings eo H.T.B:Lidl: x4934 pasnr.011"/>
    <s v=" "/>
    <m/>
  </r>
  <r>
    <n v="2978"/>
    <x v="3"/>
    <m/>
    <x v="5"/>
    <x v="64"/>
    <d v="2021-09-19T00:00:00"/>
    <d v="2021-09-19T00:00:00"/>
    <n v="-5.39"/>
    <n v="5.39"/>
    <m/>
    <s v="Spar Enjoy Schatberg SEVENUM"/>
    <s v="UIT"/>
    <s v="BOODSCH"/>
    <s v="boodschappen"/>
    <m/>
    <s v="bc"/>
    <m/>
    <m/>
    <m/>
    <m/>
    <m/>
    <s v="Betaalautomaat 16:43 pasnr. 022"/>
    <s v=" "/>
    <m/>
  </r>
  <r>
    <n v="2984"/>
    <x v="3"/>
    <m/>
    <x v="5"/>
    <x v="64"/>
    <d v="2021-09-21T00:00:00"/>
    <d v="2021-09-21T00:00:00"/>
    <n v="-1.49"/>
    <n v="1.49"/>
    <m/>
    <s v="Spar Enjoy Schatberg SEVENUM"/>
    <s v="UIT"/>
    <s v="BOODSCH"/>
    <s v="boodschappen"/>
    <m/>
    <s v="bc"/>
    <m/>
    <m/>
    <m/>
    <m/>
    <m/>
    <s v="Betaalautomaat 17:21 pasnr. 022"/>
    <s v=" "/>
    <m/>
  </r>
  <r>
    <n v="2988"/>
    <x v="3"/>
    <m/>
    <x v="5"/>
    <x v="64"/>
    <d v="2021-09-25T00:00:00"/>
    <d v="2021-09-25T00:00:00"/>
    <n v="-2.1"/>
    <n v="2.1"/>
    <m/>
    <s v="Spar Enjoy Schatberg SEVENUM"/>
    <s v="UIT"/>
    <s v="BOODSCH"/>
    <s v="boodschappen"/>
    <m/>
    <m/>
    <m/>
    <m/>
    <m/>
    <m/>
    <s v="Betaalautomaat 11:47 pasnr. 022"/>
    <s v=" "/>
    <m/>
    <m/>
  </r>
  <r>
    <n v="2989"/>
    <x v="3"/>
    <m/>
    <x v="5"/>
    <x v="64"/>
    <d v="2021-09-27T00:00:00"/>
    <d v="2021-09-27T00:00:00"/>
    <n v="-2.94"/>
    <n v="2.94"/>
    <m/>
    <s v="Spar Enjoy Schatberg SEVENUM"/>
    <s v="UIT"/>
    <s v="BOODSCH"/>
    <s v="boodschappen"/>
    <m/>
    <m/>
    <m/>
    <m/>
    <m/>
    <m/>
    <s v="Betaalautomaat 17:50 pasnr. 022"/>
    <s v=" "/>
    <m/>
    <m/>
  </r>
  <r>
    <n v="2992"/>
    <x v="3"/>
    <m/>
    <x v="5"/>
    <x v="64"/>
    <d v="2021-09-28T00:00:00"/>
    <d v="2021-09-28T00:00:00"/>
    <n v="-2.9"/>
    <n v="2.9"/>
    <m/>
    <s v="Spar Enjoy Schatberg SEVENUM"/>
    <s v="UIT"/>
    <s v="BOODSCH"/>
    <s v="boodschappen"/>
    <m/>
    <m/>
    <m/>
    <m/>
    <m/>
    <m/>
    <s v="Betaalautomaat 16:25 pasnr. 022"/>
    <s v=" "/>
    <m/>
    <m/>
  </r>
  <r>
    <n v="2998"/>
    <x v="3"/>
    <m/>
    <x v="5"/>
    <x v="25"/>
    <d v="2021-10-02T00:00:00"/>
    <d v="2021-10-02T00:00:00"/>
    <n v="-2.44"/>
    <n v="2.44"/>
    <m/>
    <s v="Coop 2113 MUSSELKANAAL"/>
    <s v="UIT"/>
    <s v="BOODSCH"/>
    <s v="boodschappen"/>
    <m/>
    <m/>
    <m/>
    <m/>
    <m/>
    <m/>
    <s v="Betaalautomaat 16:23 pasnr. 022"/>
    <s v=" "/>
    <m/>
    <m/>
  </r>
  <r>
    <n v="3001"/>
    <x v="3"/>
    <m/>
    <x v="5"/>
    <x v="25"/>
    <d v="2021-10-05T00:00:00"/>
    <d v="2021-10-05T00:00:00"/>
    <n v="-4.88"/>
    <n v="4.88"/>
    <m/>
    <s v="Albert Heijn 1122 STADSKANAAL"/>
    <s v="UIT"/>
    <s v="BOODSCH"/>
    <s v="boodschappen"/>
    <m/>
    <m/>
    <m/>
    <m/>
    <m/>
    <m/>
    <s v="Betaalautomaat 16:53 pasnr. 022"/>
    <s v=" "/>
    <m/>
    <m/>
  </r>
  <r>
    <n v="3002"/>
    <x v="3"/>
    <m/>
    <x v="5"/>
    <x v="25"/>
    <d v="2021-10-07T00:00:00"/>
    <d v="2021-10-07T00:00:00"/>
    <n v="-0.59"/>
    <n v="0.59"/>
    <m/>
    <s v="Coop 2113 MUSSELKANAAL"/>
    <s v="UIT"/>
    <s v="BOODSCH"/>
    <s v="boodschappen"/>
    <m/>
    <m/>
    <m/>
    <m/>
    <m/>
    <m/>
    <s v="Betaalautomaat 15:17 pasnr. 022"/>
    <s v=" "/>
    <m/>
    <m/>
  </r>
  <r>
    <n v="3003"/>
    <x v="3"/>
    <m/>
    <x v="5"/>
    <x v="25"/>
    <d v="2021-10-07T00:00:00"/>
    <d v="2021-10-07T00:00:00"/>
    <n v="-42.36"/>
    <n v="42.36"/>
    <m/>
    <s v="Kruidvat 6224 MUSSELKANAAL"/>
    <s v="UIT"/>
    <s v="BOODSCH"/>
    <s v="boodschappen"/>
    <m/>
    <m/>
    <m/>
    <m/>
    <m/>
    <m/>
    <s v="Betaalautomaat 16:29 pasnr. 022"/>
    <s v=" "/>
    <m/>
    <m/>
  </r>
  <r>
    <n v="3004"/>
    <x v="3"/>
    <m/>
    <x v="5"/>
    <x v="25"/>
    <d v="2021-10-07T00:00:00"/>
    <d v="2021-10-07T00:00:00"/>
    <n v="42.36"/>
    <n v="42.36"/>
    <s v="NL10RBRB0948370114"/>
    <s v="W. Smit e/o W.R.F. Smit-Brands"/>
    <s v="UIT"/>
    <s v="BOODSCH"/>
    <s v="boodschappen"/>
    <m/>
    <m/>
    <m/>
    <m/>
    <m/>
    <m/>
    <s v="kruidvat"/>
    <s v=" "/>
    <m/>
    <m/>
  </r>
  <r>
    <n v="3007"/>
    <x v="3"/>
    <m/>
    <x v="5"/>
    <x v="25"/>
    <d v="2021-10-08T00:00:00"/>
    <d v="2021-10-08T00:00:00"/>
    <n v="-22.31"/>
    <n v="22.31"/>
    <m/>
    <s v="Coop 2224 ARNHEM"/>
    <s v="UIT"/>
    <s v="BOODSCH"/>
    <s v="boodschappen"/>
    <m/>
    <m/>
    <m/>
    <m/>
    <m/>
    <m/>
    <s v="Betaalautomaat 19:01 pasnr. 022"/>
    <s v=" "/>
    <m/>
    <m/>
  </r>
  <r>
    <n v="3014"/>
    <x v="3"/>
    <m/>
    <x v="5"/>
    <x v="25"/>
    <d v="2021-10-11T00:00:00"/>
    <d v="2021-10-11T00:00:00"/>
    <n v="-6.97"/>
    <n v="6.97"/>
    <m/>
    <s v="ALBERT HEIJN 1878 ARNHEM"/>
    <s v="UIT"/>
    <s v="BOODSCH"/>
    <s v="boodschappen"/>
    <m/>
    <m/>
    <m/>
    <m/>
    <m/>
    <m/>
    <s v="Betaalautomaat 16:13 pasnr. 022"/>
    <s v=" "/>
    <m/>
    <m/>
  </r>
  <r>
    <n v="3016"/>
    <x v="3"/>
    <m/>
    <x v="5"/>
    <x v="25"/>
    <d v="2021-10-12T00:00:00"/>
    <d v="2021-10-12T00:00:00"/>
    <n v="-3.87"/>
    <n v="3.87"/>
    <m/>
    <s v="ALBERT HEIJN 1878 ARNHEM"/>
    <s v="UIT"/>
    <s v="BOODSCH"/>
    <s v="boodschappen"/>
    <m/>
    <m/>
    <m/>
    <m/>
    <m/>
    <m/>
    <s v="Betaalautomaat 18:12 pasnr. 022"/>
    <s v=" "/>
    <m/>
    <m/>
  </r>
  <r>
    <n v="3017"/>
    <x v="3"/>
    <m/>
    <x v="5"/>
    <x v="25"/>
    <d v="2021-10-12T00:00:00"/>
    <d v="2021-10-12T00:00:00"/>
    <n v="-2.5099999999999998"/>
    <n v="2.5099999999999998"/>
    <m/>
    <s v="ALBERT HEIJN 1878 ARNHEM"/>
    <s v="UIT"/>
    <s v="BOODSCH"/>
    <s v="boodschappen"/>
    <m/>
    <m/>
    <m/>
    <m/>
    <m/>
    <m/>
    <s v="Betaalautomaat 19:30 pasnr. 022"/>
    <s v=" "/>
    <m/>
    <m/>
  </r>
  <r>
    <n v="3018"/>
    <x v="3"/>
    <m/>
    <x v="5"/>
    <x v="25"/>
    <d v="2021-10-13T00:00:00"/>
    <d v="2021-10-13T00:00:00"/>
    <n v="-9.85"/>
    <n v="9.85"/>
    <m/>
    <s v="ALBERT HEIJN 1878 ARNHEM"/>
    <s v="UIT"/>
    <s v="BOODSCH"/>
    <s v="boodschappen"/>
    <m/>
    <m/>
    <m/>
    <m/>
    <m/>
    <m/>
    <s v="Betaalautomaat 16:42 pasnr. 022"/>
    <s v=" "/>
    <m/>
    <m/>
  </r>
  <r>
    <n v="3022"/>
    <x v="3"/>
    <m/>
    <x v="5"/>
    <x v="25"/>
    <d v="2021-10-14T00:00:00"/>
    <d v="2021-10-14T00:00:00"/>
    <n v="-2.98"/>
    <n v="2.98"/>
    <m/>
    <s v="Plus Musiskwartier ARNHEM"/>
    <s v="UIT"/>
    <s v="BOODSCH"/>
    <s v="boodschappen"/>
    <m/>
    <m/>
    <m/>
    <m/>
    <m/>
    <m/>
    <s v="Betaalautomaat 16:57 pasnr. 022"/>
    <s v=" "/>
    <m/>
    <m/>
  </r>
  <r>
    <n v="3026"/>
    <x v="3"/>
    <m/>
    <x v="5"/>
    <x v="25"/>
    <d v="2021-10-14T00:00:00"/>
    <d v="2021-10-14T00:00:00"/>
    <n v="-2.98"/>
    <n v="2.98"/>
    <m/>
    <s v="Plus Musiskwartier ARNHEM"/>
    <s v="UIT"/>
    <s v="BOODSCH"/>
    <s v="boodschappen"/>
    <s v="bc"/>
    <m/>
    <m/>
    <m/>
    <m/>
    <m/>
    <s v="Betaalautomaat 16:57 pasnr. 022"/>
    <s v=" "/>
    <m/>
    <m/>
  </r>
  <r>
    <n v="3035"/>
    <x v="3"/>
    <m/>
    <x v="5"/>
    <x v="25"/>
    <d v="2021-10-16T00:00:00"/>
    <d v="2021-10-16T00:00:00"/>
    <n v="-5.22"/>
    <n v="5.22"/>
    <m/>
    <s v="Plus Musiskwartier ARNHEM"/>
    <s v="UIT"/>
    <s v="BOODSCH"/>
    <s v="boodschappen"/>
    <s v="bc"/>
    <m/>
    <m/>
    <m/>
    <m/>
    <m/>
    <s v="Betaalautomaat 17:08 pasnr. 022"/>
    <s v=" "/>
    <m/>
    <m/>
  </r>
  <r>
    <n v="3036"/>
    <x v="3"/>
    <m/>
    <x v="5"/>
    <x v="25"/>
    <d v="2021-10-16T00:00:00"/>
    <d v="2021-10-16T00:00:00"/>
    <n v="-1.98"/>
    <n v="1.98"/>
    <m/>
    <s v="ALBERT HEIJN 1878 ARNHEM"/>
    <s v="UIT"/>
    <s v="BOODSCH"/>
    <s v="boodschappen"/>
    <s v="bc"/>
    <m/>
    <m/>
    <m/>
    <m/>
    <m/>
    <s v="Betaalautomaat 17:51 pasnr. 022"/>
    <s v=" "/>
    <m/>
    <m/>
  </r>
  <r>
    <n v="3038"/>
    <x v="3"/>
    <m/>
    <x v="5"/>
    <x v="25"/>
    <d v="2021-10-17T00:00:00"/>
    <d v="2021-10-17T00:00:00"/>
    <n v="-3.89"/>
    <n v="3.89"/>
    <m/>
    <s v="ALBERT HEIJN 1878 ARNHEM"/>
    <s v="UIT"/>
    <s v="BOODSCH"/>
    <s v="boodschappen"/>
    <s v="bc"/>
    <m/>
    <m/>
    <m/>
    <m/>
    <m/>
    <s v="Betaalautomaat 17:13 pasnr. 022"/>
    <s v=" "/>
    <m/>
    <m/>
  </r>
  <r>
    <n v="3039"/>
    <x v="3"/>
    <m/>
    <x v="5"/>
    <x v="25"/>
    <d v="2021-10-18T00:00:00"/>
    <d v="2021-10-18T00:00:00"/>
    <n v="-2.5"/>
    <n v="2.5"/>
    <m/>
    <s v="ALBERT HEIJN 1878 ARNHEM"/>
    <s v="UIT"/>
    <s v="BOODSCH"/>
    <s v="boodschappen"/>
    <s v="bc"/>
    <m/>
    <m/>
    <m/>
    <m/>
    <m/>
    <s v="Betaalautomaat 15:19 pasnr. 022"/>
    <s v=" "/>
    <m/>
    <m/>
  </r>
  <r>
    <n v="3040"/>
    <x v="3"/>
    <m/>
    <x v="5"/>
    <x v="25"/>
    <d v="2021-10-18T00:00:00"/>
    <d v="2021-10-18T00:00:00"/>
    <n v="-5.17"/>
    <n v="5.17"/>
    <m/>
    <s v="ALBERT HEIJN 1878 ARNHEM"/>
    <s v="UIT"/>
    <s v="BOODSCH"/>
    <s v="boodschappen"/>
    <s v="bc"/>
    <m/>
    <m/>
    <m/>
    <m/>
    <m/>
    <s v="Betaalautomaat 19:39 pasnr. 022"/>
    <s v=" "/>
    <m/>
    <m/>
  </r>
  <r>
    <n v="3045"/>
    <x v="3"/>
    <m/>
    <x v="5"/>
    <x v="25"/>
    <d v="2021-10-19T00:00:00"/>
    <d v="2021-10-19T00:00:00"/>
    <n v="-2.64"/>
    <n v="2.64"/>
    <m/>
    <s v="ALBERT HEIJN 1878 ARNHEM"/>
    <s v="UIT"/>
    <s v="BOODSCH"/>
    <s v="boodschappen"/>
    <s v="bc"/>
    <m/>
    <m/>
    <m/>
    <m/>
    <m/>
    <s v="Betaalautomaat 20:34 pasnr. 022"/>
    <s v=" "/>
    <m/>
    <m/>
  </r>
  <r>
    <n v="3050"/>
    <x v="3"/>
    <m/>
    <x v="5"/>
    <x v="25"/>
    <d v="2021-10-20T00:00:00"/>
    <d v="2021-10-20T00:00:00"/>
    <n v="-8.1999999999999993"/>
    <n v="8.1999999999999993"/>
    <m/>
    <s v="ALBERT HEIJN 1016 ARNHEM"/>
    <s v="UIT"/>
    <s v="BOODSCH"/>
    <s v="boodschappen"/>
    <s v="bc"/>
    <m/>
    <m/>
    <m/>
    <m/>
    <m/>
    <s v="Betaalautomaat 15:27 pasnr. 022"/>
    <s v=" "/>
    <m/>
    <m/>
  </r>
  <r>
    <n v="3051"/>
    <x v="3"/>
    <m/>
    <x v="5"/>
    <x v="25"/>
    <d v="2021-10-20T00:00:00"/>
    <d v="2021-10-20T00:00:00"/>
    <n v="-1.49"/>
    <n v="1.49"/>
    <m/>
    <s v="ALBERT HEIJN 1016 ARNHEM"/>
    <s v="UIT"/>
    <s v="BOODSCH"/>
    <s v="boodschappen"/>
    <s v="bc"/>
    <m/>
    <m/>
    <m/>
    <m/>
    <m/>
    <s v="Betaalautomaat 15:30 pasnr. 022"/>
    <s v=" "/>
    <m/>
    <m/>
  </r>
  <r>
    <n v="3053"/>
    <x v="3"/>
    <m/>
    <x v="5"/>
    <x v="25"/>
    <d v="2021-10-20T00:00:00"/>
    <d v="2021-10-20T00:00:00"/>
    <n v="-2.69"/>
    <n v="2.69"/>
    <m/>
    <s v="ALBERT HEIJN 1878 ARNHEM"/>
    <s v="UIT"/>
    <s v="BOODSCH"/>
    <s v="boodschappen"/>
    <s v="bc"/>
    <m/>
    <m/>
    <m/>
    <m/>
    <m/>
    <s v="Betaalautomaat 17:56 pasnr. 022"/>
    <s v=" "/>
    <m/>
    <m/>
  </r>
  <r>
    <n v="3056"/>
    <x v="3"/>
    <m/>
    <x v="5"/>
    <x v="25"/>
    <d v="2021-10-22T00:00:00"/>
    <d v="2021-10-22T00:00:00"/>
    <n v="-5"/>
    <n v="5"/>
    <m/>
    <s v="ALBERT HEIJN 1878 ARNHEM"/>
    <s v="UIT"/>
    <s v="BOODSCH"/>
    <s v="boodschappen"/>
    <s v="bc"/>
    <m/>
    <m/>
    <m/>
    <m/>
    <m/>
    <s v="Betaalautomaat 17:07 pasnr. 022"/>
    <s v=" "/>
    <m/>
    <m/>
  </r>
  <r>
    <n v="3058"/>
    <x v="3"/>
    <m/>
    <x v="5"/>
    <x v="25"/>
    <d v="2021-10-23T00:00:00"/>
    <d v="2021-10-25T00:00:00"/>
    <n v="-2"/>
    <n v="2"/>
    <s v="NL10INGB0005300114"/>
    <s v="ING Bank NV Betaalverzoek"/>
    <s v="UIT"/>
    <s v="BOODSCH"/>
    <s v="boodschappen"/>
    <s v="id"/>
    <m/>
    <s v="23-10-2021 14:10 0051100032837804"/>
    <m/>
    <m/>
    <m/>
    <s v="MEDegenNL21INGB0009440070 0051100032837804 Made by ME Patisserie ING Betaalverzoek x4934 pasnr.011"/>
    <s v=" "/>
    <m/>
    <m/>
  </r>
  <r>
    <n v="3059"/>
    <x v="3"/>
    <m/>
    <x v="5"/>
    <x v="25"/>
    <d v="2021-10-23T00:00:00"/>
    <d v="2021-10-23T00:00:00"/>
    <n v="-1.99"/>
    <n v="1.99"/>
    <m/>
    <s v="ALBERT HEIJN 1878 ARNHEM"/>
    <s v="UIT"/>
    <s v="BOODSCH"/>
    <s v="boodschappen"/>
    <s v="bc"/>
    <m/>
    <m/>
    <m/>
    <m/>
    <m/>
    <s v="Betaalautomaat 17:00 pasnr. 022"/>
    <s v=" "/>
    <m/>
    <m/>
  </r>
  <r>
    <n v="3062"/>
    <x v="3"/>
    <m/>
    <x v="5"/>
    <x v="25"/>
    <d v="2021-10-25T00:00:00"/>
    <d v="2021-10-25T00:00:00"/>
    <n v="-37.299999999999997"/>
    <n v="37.299999999999997"/>
    <m/>
    <s v="ALDI 070 MUSSELKANAAL DRACHTEN"/>
    <s v="UIT"/>
    <s v="BOODSCH"/>
    <s v="boodschappen"/>
    <s v="bc"/>
    <m/>
    <m/>
    <m/>
    <m/>
    <m/>
    <s v="Betaalautomaat 15:16 pasnr. 022"/>
    <s v=" "/>
    <m/>
    <m/>
  </r>
  <r>
    <n v="3063"/>
    <x v="3"/>
    <m/>
    <x v="5"/>
    <x v="25"/>
    <d v="2021-10-25T00:00:00"/>
    <d v="2021-10-25T00:00:00"/>
    <n v="-5.99"/>
    <n v="5.99"/>
    <m/>
    <s v="Coop 2113 MUSSELKANAAL"/>
    <s v="UIT"/>
    <s v="BOODSCH"/>
    <s v="boodschappen"/>
    <s v="bc"/>
    <m/>
    <m/>
    <m/>
    <m/>
    <m/>
    <s v="Betaalautomaat 16:01 pasnr. 022"/>
    <s v=" "/>
    <m/>
    <m/>
  </r>
  <r>
    <n v="3064"/>
    <x v="3"/>
    <m/>
    <x v="5"/>
    <x v="25"/>
    <d v="2021-10-25T00:00:00"/>
    <d v="2021-10-25T00:00:00"/>
    <n v="60.69"/>
    <n v="60.69"/>
    <s v="NL10RBRB0948370114"/>
    <s v="W. Smit e/o W.R.F. Smit-Brands"/>
    <s v="UIT"/>
    <s v="BOODSCH"/>
    <s v="boodschappen"/>
    <m/>
    <m/>
    <m/>
    <m/>
    <m/>
    <m/>
    <s v="boodsch + reisk."/>
    <s v=" "/>
    <m/>
    <m/>
  </r>
  <r>
    <n v="3066"/>
    <x v="3"/>
    <m/>
    <x v="5"/>
    <x v="25"/>
    <d v="2021-10-26T00:00:00"/>
    <d v="2021-10-26T00:00:00"/>
    <n v="-25.51"/>
    <n v="25.51"/>
    <m/>
    <s v="Coop 2113 MUSSELKANAAL"/>
    <s v="UIT"/>
    <s v="BOODSCH"/>
    <s v="boodschappen"/>
    <s v="bc"/>
    <m/>
    <m/>
    <m/>
    <m/>
    <m/>
    <s v="Betaalautomaat 16:47 pasnr. 022"/>
    <s v=" "/>
    <m/>
    <m/>
  </r>
  <r>
    <n v="3067"/>
    <x v="3"/>
    <m/>
    <x v="5"/>
    <x v="25"/>
    <d v="2021-10-26T00:00:00"/>
    <d v="2021-10-26T00:00:00"/>
    <n v="-0.88"/>
    <n v="0.88"/>
    <m/>
    <s v="Coop 2113 MUSSELKANAAL"/>
    <s v="UIT"/>
    <s v="BOODSCH"/>
    <s v="boodschappen"/>
    <s v="bc"/>
    <m/>
    <m/>
    <m/>
    <m/>
    <m/>
    <s v="Betaalautomaat 16:52 pasnr. 022"/>
    <s v=" "/>
    <m/>
    <m/>
  </r>
  <r>
    <n v="3068"/>
    <x v="3"/>
    <m/>
    <x v="5"/>
    <x v="25"/>
    <d v="2021-10-26T00:00:00"/>
    <d v="2021-10-26T00:00:00"/>
    <n v="25.51"/>
    <n v="25.51"/>
    <s v="NL10RBRB0948370114"/>
    <s v="W. Smit e/o W.R.F. Smit-Brands"/>
    <s v="UIT"/>
    <s v="BOODSCH"/>
    <s v="boodschappen"/>
    <s v="cb"/>
    <m/>
    <m/>
    <m/>
    <m/>
    <m/>
    <s v="boodschappen"/>
    <s v=" "/>
    <m/>
    <m/>
  </r>
  <r>
    <n v="3069"/>
    <x v="3"/>
    <m/>
    <x v="5"/>
    <x v="25"/>
    <d v="2021-10-27T00:00:00"/>
    <d v="2021-10-27T00:00:00"/>
    <n v="-13.98"/>
    <n v="13.98"/>
    <m/>
    <s v="113  DIO-Readshop MUSSELKANAAL"/>
    <s v="UIT"/>
    <s v="BOODSCH"/>
    <s v="boodschappen"/>
    <s v="bc"/>
    <m/>
    <m/>
    <m/>
    <m/>
    <m/>
    <s v="Betaalautomaat 12:48 pasnr. 022"/>
    <s v=" "/>
    <m/>
    <m/>
  </r>
  <r>
    <n v="3071"/>
    <x v="3"/>
    <m/>
    <x v="5"/>
    <x v="25"/>
    <d v="2021-10-27T00:00:00"/>
    <d v="2021-10-27T00:00:00"/>
    <n v="-3.8"/>
    <n v="3.8"/>
    <m/>
    <s v="CCV*TREANT ZORGGROEP 8 HOOGEVEEN"/>
    <s v="UIT"/>
    <s v="BOODSCH"/>
    <s v="boodschappen"/>
    <s v="bc"/>
    <m/>
    <m/>
    <m/>
    <m/>
    <m/>
    <s v="Betaalautomaat 21:56 pasnr. 022"/>
    <s v=" "/>
    <m/>
    <m/>
  </r>
  <r>
    <n v="3073"/>
    <x v="3"/>
    <m/>
    <x v="5"/>
    <x v="25"/>
    <d v="2021-10-28T00:00:00"/>
    <d v="2021-10-28T00:00:00"/>
    <n v="-5.87"/>
    <n v="5.87"/>
    <m/>
    <s v="Coop 2113 MUSSELKANAAL"/>
    <s v="UIT"/>
    <s v="BOODSCH"/>
    <s v="boodschappen"/>
    <s v="bc"/>
    <m/>
    <m/>
    <m/>
    <m/>
    <m/>
    <s v="Betaalautomaat 13:45 pasnr. 022"/>
    <s v=" "/>
    <m/>
    <m/>
  </r>
  <r>
    <n v="3075"/>
    <x v="3"/>
    <m/>
    <x v="5"/>
    <x v="25"/>
    <d v="2021-10-28T00:00:00"/>
    <d v="2021-10-28T00:00:00"/>
    <n v="-15"/>
    <n v="15"/>
    <s v="NL56DEUT0265186420"/>
    <s v="Alphacomm Solutions B.V."/>
    <s v="UIT"/>
    <s v="BOODSCH"/>
    <s v="boodschappen"/>
    <s v="beltegoed pa"/>
    <m/>
    <s v="28-10-2021 14:50 1030000476528518"/>
    <m/>
    <m/>
    <m/>
    <s v="25459767 1030000476528518 25459767 - t-mobileprepaid.nl x4934 pasnr.011"/>
    <s v=" "/>
    <m/>
    <m/>
  </r>
  <r>
    <n v="3076"/>
    <x v="3"/>
    <m/>
    <x v="5"/>
    <x v="25"/>
    <d v="2021-10-29T00:00:00"/>
    <d v="2021-10-29T00:00:00"/>
    <n v="-3.68"/>
    <n v="3.68"/>
    <m/>
    <s v="Coop 2113 MUSSELKANAAL"/>
    <s v="UIT"/>
    <s v="BOODSCH"/>
    <s v="boodschappen"/>
    <s v="bc"/>
    <m/>
    <m/>
    <m/>
    <m/>
    <m/>
    <s v="Betaalautomaat 13:44 pasnr. 022"/>
    <s v=" "/>
    <m/>
    <m/>
  </r>
  <r>
    <n v="3077"/>
    <x v="3"/>
    <m/>
    <x v="5"/>
    <x v="25"/>
    <d v="2021-10-29T00:00:00"/>
    <d v="2021-10-29T00:00:00"/>
    <n v="-9.83"/>
    <n v="9.83"/>
    <m/>
    <s v="Coop 2113 MUSSELKANAAL"/>
    <s v="UIT"/>
    <s v="BOODSCH"/>
    <s v="boodschappen"/>
    <s v="bc"/>
    <m/>
    <m/>
    <m/>
    <m/>
    <m/>
    <s v="Betaalautomaat 17:44 pasnr. 022"/>
    <s v=" "/>
    <m/>
    <m/>
  </r>
  <r>
    <n v="3079"/>
    <x v="3"/>
    <m/>
    <x v="5"/>
    <x v="25"/>
    <d v="2021-10-30T00:00:00"/>
    <d v="2021-10-30T00:00:00"/>
    <n v="-6.47"/>
    <n v="6.47"/>
    <m/>
    <s v="Coop 2113 MUSSELKANAAL"/>
    <s v="UIT"/>
    <s v="BOODSCH"/>
    <s v="boodschappen"/>
    <s v="bc"/>
    <m/>
    <m/>
    <m/>
    <m/>
    <m/>
    <s v="Betaalautomaat 14:44 pasnr. 022"/>
    <s v=" "/>
    <m/>
    <m/>
  </r>
  <r>
    <n v="3080"/>
    <x v="3"/>
    <m/>
    <x v="5"/>
    <x v="25"/>
    <d v="2021-10-30T00:00:00"/>
    <d v="2021-10-30T00:00:00"/>
    <n v="-29.26"/>
    <n v="29.26"/>
    <m/>
    <s v="Tamoil Musselkanaal MUSSELKANAAL"/>
    <s v="UIT"/>
    <s v="BOODSCH"/>
    <s v="boodschappen"/>
    <s v="ba"/>
    <m/>
    <m/>
    <m/>
    <m/>
    <m/>
    <s v="Betaalautomaat 17:29 pasnr. 011"/>
    <s v=" "/>
    <m/>
    <m/>
  </r>
  <r>
    <n v="3081"/>
    <x v="3"/>
    <m/>
    <x v="5"/>
    <x v="25"/>
    <d v="2021-10-30T00:00:00"/>
    <d v="2021-10-30T00:00:00"/>
    <n v="-2.79"/>
    <n v="2.79"/>
    <m/>
    <s v="Lidl 593 Musselkanaa MUSSELKANAAL"/>
    <s v="UIT"/>
    <s v="BOODSCH"/>
    <s v="boodschappen"/>
    <s v="bc"/>
    <m/>
    <m/>
    <m/>
    <m/>
    <m/>
    <s v="Betaalautomaat 17:40 pasnr. 011"/>
    <s v=" "/>
    <m/>
    <m/>
  </r>
  <r>
    <n v="3085"/>
    <x v="3"/>
    <m/>
    <x v="5"/>
    <x v="26"/>
    <d v="2021-11-01T00:00:00"/>
    <d v="2021-11-01T00:00:00"/>
    <n v="-29.24"/>
    <n v="29.24"/>
    <m/>
    <s v="ALDI 070 MUSSELKANAAL DRACHTEN"/>
    <s v="UIT"/>
    <s v="BOODSCH"/>
    <s v="boodschappen"/>
    <s v="bc"/>
    <m/>
    <m/>
    <m/>
    <m/>
    <m/>
    <s v="Betaalautomaat 12:17 pasnr. 022"/>
    <s v=" "/>
    <m/>
    <m/>
  </r>
  <r>
    <n v="3086"/>
    <x v="3"/>
    <m/>
    <x v="5"/>
    <x v="26"/>
    <d v="2021-11-01T00:00:00"/>
    <d v="2021-11-01T00:00:00"/>
    <n v="79.84"/>
    <n v="79.84"/>
    <s v="NL10RBRB0948370114"/>
    <s v="W. Smit e/o W.R.F. Smit-Brands"/>
    <s v="UIT"/>
    <s v="BOODSCH"/>
    <s v="boodschappen"/>
    <s v="cb"/>
    <m/>
    <m/>
    <m/>
    <m/>
    <m/>
    <s v="BEKEND."/>
    <s v=" "/>
    <m/>
    <m/>
  </r>
  <r>
    <n v="3087"/>
    <x v="3"/>
    <m/>
    <x v="5"/>
    <x v="26"/>
    <d v="2021-11-01T00:00:00"/>
    <d v="2021-11-01T00:00:00"/>
    <n v="-1.56"/>
    <n v="1.56"/>
    <m/>
    <s v="Coop 2113 MUSSELKANAAL"/>
    <s v="UIT"/>
    <s v="BOODSCH"/>
    <s v="boodschappen"/>
    <s v="bc"/>
    <m/>
    <m/>
    <m/>
    <m/>
    <m/>
    <s v="Betaalautomaat 16:04 pasnr. 022"/>
    <s v=" "/>
    <m/>
    <m/>
  </r>
  <r>
    <n v="3093"/>
    <x v="3"/>
    <m/>
    <x v="5"/>
    <x v="26"/>
    <d v="2021-11-02T00:00:00"/>
    <d v="2021-11-02T00:00:00"/>
    <n v="-219"/>
    <n v="219"/>
    <m/>
    <s v="Telecom Nijmko STADSKANAAL"/>
    <s v="UIT"/>
    <s v="BOODSCH"/>
    <s v="boodschappen"/>
    <s v="bc"/>
    <m/>
    <m/>
    <m/>
    <m/>
    <m/>
    <s v="Betaalautomaat 14:44 pasnr. 022"/>
    <s v=" "/>
    <m/>
    <m/>
  </r>
  <r>
    <n v="3094"/>
    <x v="3"/>
    <m/>
    <x v="5"/>
    <x v="26"/>
    <d v="2021-11-02T00:00:00"/>
    <d v="2021-11-02T00:00:00"/>
    <n v="-19.989999999999998"/>
    <n v="19.989999999999998"/>
    <m/>
    <s v="Telecom Nijmko STADSKANAAL"/>
    <s v="UIT"/>
    <s v="BOODSCH"/>
    <s v="boodschappen"/>
    <s v="bc"/>
    <m/>
    <m/>
    <m/>
    <m/>
    <m/>
    <s v="Betaalautomaat 14:49 pasnr. 022"/>
    <s v=" "/>
    <m/>
    <m/>
  </r>
  <r>
    <n v="3095"/>
    <x v="3"/>
    <m/>
    <x v="5"/>
    <x v="26"/>
    <d v="2021-11-02T00:00:00"/>
    <d v="2021-11-02T00:00:00"/>
    <n v="-8"/>
    <n v="8"/>
    <m/>
    <s v="Action 1072 Stadskanaal"/>
    <s v="UIT"/>
    <s v="BOODSCH"/>
    <s v="proteinepoeder"/>
    <m/>
    <m/>
    <m/>
    <m/>
    <m/>
    <m/>
    <m/>
    <m/>
    <m/>
    <m/>
  </r>
  <r>
    <n v="3098"/>
    <x v="3"/>
    <m/>
    <x v="5"/>
    <x v="26"/>
    <d v="2021-11-02T00:00:00"/>
    <d v="2021-11-02T00:00:00"/>
    <n v="-3.69"/>
    <n v="3.69"/>
    <m/>
    <s v="Albert Heijn 1122 STADSKANAAL"/>
    <s v="UIT"/>
    <s v="BOODSCH"/>
    <s v="boodschappen"/>
    <s v="bc"/>
    <m/>
    <m/>
    <m/>
    <m/>
    <m/>
    <s v="Betaalautomaat 16:38 pasnr. 022"/>
    <s v=" "/>
    <m/>
    <m/>
  </r>
  <r>
    <n v="3099"/>
    <x v="3"/>
    <m/>
    <x v="5"/>
    <x v="26"/>
    <d v="2021-11-02T00:00:00"/>
    <d v="2021-11-02T00:00:00"/>
    <n v="276.92"/>
    <n v="276.92"/>
    <s v="NL10RBRB0948370114"/>
    <s v="W. Smit e/o W.R.F. Smit-Brands"/>
    <s v="UIT"/>
    <s v="BOODSCH"/>
    <s v="boodschappen"/>
    <s v="cb"/>
    <m/>
    <m/>
    <m/>
    <m/>
    <m/>
    <s v="BEKEND."/>
    <s v=" "/>
    <m/>
    <m/>
  </r>
  <r>
    <n v="3100"/>
    <x v="3"/>
    <m/>
    <x v="5"/>
    <x v="26"/>
    <d v="2021-11-03T00:00:00"/>
    <d v="2021-11-03T00:00:00"/>
    <n v="-11.59"/>
    <n v="11.59"/>
    <m/>
    <s v="Lidl 531 Stadskanaal STADSKANAAL"/>
    <s v="UIT"/>
    <s v="BOODSCH"/>
    <s v="boodschappen"/>
    <s v="bc"/>
    <m/>
    <m/>
    <m/>
    <m/>
    <m/>
    <s v="Betaalautomaat 10:37 pasnr. 022"/>
    <s v=" "/>
    <m/>
    <m/>
  </r>
  <r>
    <n v="3101"/>
    <x v="3"/>
    <m/>
    <x v="5"/>
    <x v="26"/>
    <d v="2021-11-04T00:00:00"/>
    <d v="2021-11-04T00:00:00"/>
    <n v="-1.75"/>
    <n v="1.75"/>
    <m/>
    <s v="CCV*Willems Versmarkt MUSSELKANAAL"/>
    <s v="UIT"/>
    <s v="BOODSCH"/>
    <s v="boodschappen"/>
    <s v="bc"/>
    <m/>
    <m/>
    <m/>
    <m/>
    <m/>
    <s v="Betaalautomaat 16:53 pasnr. 022"/>
    <s v=" "/>
    <m/>
    <m/>
  </r>
  <r>
    <n v="3102"/>
    <x v="3"/>
    <m/>
    <x v="5"/>
    <x v="26"/>
    <d v="2021-11-04T00:00:00"/>
    <d v="2021-11-04T00:00:00"/>
    <n v="-3.43"/>
    <n v="3.43"/>
    <m/>
    <s v="Coop 2113 MUSSELKANAAL"/>
    <s v="UIT"/>
    <s v="BOODSCH"/>
    <s v="boodschappen"/>
    <s v="bc"/>
    <m/>
    <m/>
    <m/>
    <m/>
    <m/>
    <s v="Betaalautomaat 17:03 pasnr. 022"/>
    <s v=" "/>
    <m/>
    <m/>
  </r>
  <r>
    <n v="3103"/>
    <x v="3"/>
    <m/>
    <x v="5"/>
    <x v="26"/>
    <d v="2021-11-04T00:00:00"/>
    <d v="2021-11-04T00:00:00"/>
    <n v="-0.89"/>
    <n v="0.89"/>
    <m/>
    <s v="Coop 2113 MUSSELKANAAL"/>
    <s v="UIT"/>
    <s v="BOODSCH"/>
    <s v="boodschappen"/>
    <s v="bc"/>
    <m/>
    <m/>
    <m/>
    <m/>
    <m/>
    <s v="Betaalautomaat 17:06 pasnr. 022"/>
    <s v=" "/>
    <m/>
    <m/>
  </r>
  <r>
    <n v="3105"/>
    <x v="3"/>
    <m/>
    <x v="5"/>
    <x v="26"/>
    <d v="2021-11-05T00:00:00"/>
    <d v="2021-11-05T00:00:00"/>
    <n v="-30.83"/>
    <n v="30.83"/>
    <m/>
    <s v="ALDI 070 MUSSELKANAAL MUSSELKANAAL"/>
    <s v="UIT"/>
    <s v="BOODSCH"/>
    <s v="boodschappen"/>
    <s v="bc"/>
    <m/>
    <m/>
    <m/>
    <m/>
    <m/>
    <s v="Betaalautomaat 15:54 pasnr. 022"/>
    <s v=" "/>
    <m/>
    <m/>
  </r>
  <r>
    <n v="3106"/>
    <x v="3"/>
    <m/>
    <x v="5"/>
    <x v="26"/>
    <d v="2021-11-06T00:00:00"/>
    <d v="2021-11-06T00:00:00"/>
    <n v="-6.95"/>
    <n v="6.95"/>
    <m/>
    <s v="ALDI 070 MUSSELKANAAL MUSSELKANAAL"/>
    <s v="UIT"/>
    <s v="BOODSCH"/>
    <s v="boodschappen"/>
    <s v="bc"/>
    <m/>
    <m/>
    <m/>
    <m/>
    <m/>
    <s v="Betaalautomaat 12:03 pasnr. 022"/>
    <s v=" "/>
    <m/>
    <m/>
  </r>
  <r>
    <n v="3107"/>
    <x v="3"/>
    <m/>
    <x v="5"/>
    <x v="26"/>
    <d v="2021-11-07T00:00:00"/>
    <d v="2021-11-07T00:00:00"/>
    <n v="55.44"/>
    <n v="55.44"/>
    <s v="NL10RBRB0948370114"/>
    <s v="W. Smit e/o W.R.F. Smit-Brands"/>
    <s v="UIT"/>
    <s v="BOODSCH"/>
    <s v="boodschappen"/>
    <s v="cb"/>
    <m/>
    <m/>
    <m/>
    <m/>
    <m/>
    <s v="BEKEND"/>
    <s v=" "/>
    <m/>
    <m/>
  </r>
  <r>
    <n v="3109"/>
    <x v="3"/>
    <m/>
    <x v="5"/>
    <x v="26"/>
    <d v="2021-11-08T00:00:00"/>
    <d v="2021-11-08T00:00:00"/>
    <n v="-1.25"/>
    <n v="1.25"/>
    <m/>
    <s v="Albert Heijn 1122 STADSKANAAL"/>
    <s v="UIT"/>
    <s v="BOODSCH"/>
    <s v="boodschappen"/>
    <s v="bc"/>
    <m/>
    <m/>
    <m/>
    <m/>
    <m/>
    <s v="Betaalautomaat 13:52 pasnr. 022"/>
    <s v=" "/>
    <m/>
    <m/>
  </r>
  <r>
    <n v="3114"/>
    <x v="3"/>
    <m/>
    <x v="5"/>
    <x v="26"/>
    <d v="2021-11-11T00:00:00"/>
    <d v="2021-11-11T00:00:00"/>
    <n v="-1.29"/>
    <n v="1.29"/>
    <m/>
    <s v="Coop 2113 MUSSELKANAAL"/>
    <s v="UIT"/>
    <s v="BOODSCH"/>
    <s v="boodschappen"/>
    <s v="bc"/>
    <m/>
    <m/>
    <m/>
    <m/>
    <m/>
    <s v="Betaalautomaat 16:15 pasnr. 022"/>
    <s v=" "/>
    <m/>
    <m/>
  </r>
  <r>
    <n v="3115"/>
    <x v="3"/>
    <m/>
    <x v="5"/>
    <x v="26"/>
    <d v="2021-11-12T00:00:00"/>
    <d v="2021-11-12T00:00:00"/>
    <n v="-1.55"/>
    <n v="1.55"/>
    <m/>
    <s v="Coop 2113 MUSSELKANAAL"/>
    <s v="UIT"/>
    <s v="BOODSCH"/>
    <s v="boodschappen"/>
    <s v="bc"/>
    <m/>
    <m/>
    <m/>
    <m/>
    <m/>
    <s v="Betaalautomaat 15:52 pasnr. 022"/>
    <s v=" "/>
    <m/>
    <m/>
  </r>
  <r>
    <n v="3117"/>
    <x v="3"/>
    <m/>
    <x v="5"/>
    <x v="26"/>
    <d v="2021-11-12T00:00:00"/>
    <d v="2021-11-12T00:00:00"/>
    <n v="-2.4900000000000002"/>
    <n v="2.4900000000000002"/>
    <m/>
    <s v="ALDI 070 MUSSELKANAAL MUSSELKANAAL"/>
    <s v="UIT"/>
    <s v="BOODSCH"/>
    <s v="boodschappen"/>
    <s v="bc"/>
    <m/>
    <m/>
    <m/>
    <m/>
    <m/>
    <s v="Betaalautomaat 16:35 pasnr. 022"/>
    <s v=" "/>
    <m/>
    <m/>
  </r>
  <r>
    <n v="3123"/>
    <x v="3"/>
    <m/>
    <x v="5"/>
    <x v="26"/>
    <d v="2021-11-13T00:00:00"/>
    <d v="2021-11-13T00:00:00"/>
    <n v="4.04"/>
    <n v="4.04"/>
    <s v="NL10RBRB0948370114"/>
    <s v="W. Smit e/o W.R.F. Smit-Brands"/>
    <s v="UIT"/>
    <s v="BOODSCH"/>
    <s v="boodschappen"/>
    <s v="cb"/>
    <m/>
    <m/>
    <m/>
    <m/>
    <m/>
    <s v="bekend"/>
    <s v=" "/>
    <m/>
    <m/>
  </r>
  <r>
    <n v="3125"/>
    <x v="3"/>
    <m/>
    <x v="5"/>
    <x v="26"/>
    <d v="2021-11-14T00:00:00"/>
    <d v="2021-11-14T00:00:00"/>
    <n v="-0.68"/>
    <n v="0.68"/>
    <m/>
    <s v="ALBERT HEIJN 1847 AMSTERDAM"/>
    <s v="UIT"/>
    <s v="BOODSCH"/>
    <s v="boodschappen"/>
    <s v="bc"/>
    <m/>
    <m/>
    <m/>
    <m/>
    <m/>
    <s v="Betaalautomaat 17:05 pasnr. 022"/>
    <s v=" "/>
    <m/>
    <m/>
  </r>
  <r>
    <n v="3127"/>
    <x v="3"/>
    <m/>
    <x v="5"/>
    <x v="26"/>
    <d v="2021-11-15T00:00:00"/>
    <d v="2021-11-15T00:00:00"/>
    <n v="-2.54"/>
    <n v="2.54"/>
    <m/>
    <s v="ALBERT HEIJN 1847 AMSTERDAM"/>
    <s v="UIT"/>
    <s v="BOODSCH"/>
    <s v="boodschappen"/>
    <s v="bc"/>
    <m/>
    <m/>
    <m/>
    <m/>
    <m/>
    <s v="Betaalautomaat 09:36 pasnr. 022"/>
    <s v=" "/>
    <m/>
    <m/>
  </r>
  <r>
    <n v="202208002"/>
    <x v="3"/>
    <s v="EUR"/>
    <x v="6"/>
    <x v="32"/>
    <d v="2022-05-25T00:00:00"/>
    <d v="2022-05-25T00:00:00"/>
    <n v="-0.6"/>
    <n v="0.6"/>
    <m/>
    <s v="CCV*Willems Versmarkt MUSSELKANAAL"/>
    <s v="UIT"/>
    <s v="BOODSCH"/>
    <s v="boodschappen"/>
    <s v="bc"/>
    <m/>
    <m/>
    <m/>
    <m/>
    <m/>
    <s v="Betaalautomaat 15:36 pasnr. 032"/>
    <s v=" "/>
    <m/>
    <m/>
  </r>
  <r>
    <n v="202208004"/>
    <x v="3"/>
    <s v="EUR"/>
    <x v="6"/>
    <x v="32"/>
    <d v="2022-05-27T00:00:00"/>
    <d v="2022-05-27T00:00:00"/>
    <n v="-8.41"/>
    <n v="8.41"/>
    <m/>
    <s v="Coop 2113 MUSSELKANAAL"/>
    <s v="UIT"/>
    <s v="BOODSCH"/>
    <s v="boodschappen"/>
    <s v="bc"/>
    <m/>
    <m/>
    <m/>
    <m/>
    <m/>
    <s v="Betaalautomaat 15:58 pasnr. 032"/>
    <s v=" "/>
    <m/>
    <m/>
  </r>
  <r>
    <n v="202208014"/>
    <x v="3"/>
    <s v="EUR"/>
    <x v="6"/>
    <x v="71"/>
    <d v="2022-06-05T00:00:00"/>
    <d v="2022-06-05T00:00:00"/>
    <n v="-6.81"/>
    <n v="6.81"/>
    <m/>
    <s v="Spar Enjoy Schatberg SEVENUM"/>
    <s v="UIT"/>
    <s v="BOODSCH"/>
    <s v="boodschappen"/>
    <s v="bc"/>
    <m/>
    <m/>
    <m/>
    <m/>
    <m/>
    <s v="Betaalautomaat 17:24 pasnr. 032"/>
    <s v=" "/>
    <m/>
    <m/>
  </r>
  <r>
    <n v="202208015"/>
    <x v="3"/>
    <s v="EUR"/>
    <x v="6"/>
    <x v="71"/>
    <d v="2022-06-06T00:00:00"/>
    <d v="2022-06-06T00:00:00"/>
    <n v="-72.64"/>
    <n v="72.64"/>
    <m/>
    <s v="Lidl 181 Deurne DEURNE"/>
    <s v="UIT"/>
    <s v="BOODSCH"/>
    <s v="boodschappen"/>
    <s v="ba"/>
    <m/>
    <m/>
    <m/>
    <m/>
    <m/>
    <s v="Betaalautomaat 14:33 pasnr. 032"/>
    <s v=" "/>
    <m/>
    <m/>
  </r>
  <r>
    <n v="202208016"/>
    <x v="3"/>
    <s v="EUR"/>
    <x v="6"/>
    <x v="71"/>
    <d v="2022-06-07T00:00:00"/>
    <d v="2022-06-07T00:00:00"/>
    <n v="8.41"/>
    <n v="8.41"/>
    <s v="NL10RBRB0948370114"/>
    <s v="W. Smit e/o W.R.F. Smit-Brands"/>
    <s v="UIT"/>
    <s v="BOODSCH"/>
    <s v="boodschappen"/>
    <s v="cb"/>
    <m/>
    <m/>
    <m/>
    <m/>
    <m/>
    <s v="Boodschappen. 27/5"/>
    <s v=" "/>
    <m/>
    <m/>
  </r>
  <r>
    <n v="202208022"/>
    <x v="3"/>
    <s v="EUR"/>
    <x v="6"/>
    <x v="71"/>
    <d v="2022-06-09T00:00:00"/>
    <d v="2022-06-09T00:00:00"/>
    <n v="-3.45"/>
    <n v="3.45"/>
    <m/>
    <s v="AH Station Nijmegen NIJMEGEN"/>
    <s v="UIT"/>
    <s v="BOODSCH"/>
    <s v="boodschappen"/>
    <s v="bc"/>
    <m/>
    <m/>
    <m/>
    <m/>
    <m/>
    <s v="Betaalautomaat 14:22 pasnr. 032"/>
    <s v=" "/>
    <m/>
    <m/>
  </r>
  <r>
    <n v="202208023"/>
    <x v="3"/>
    <s v="EUR"/>
    <x v="6"/>
    <x v="71"/>
    <d v="2022-06-09T00:00:00"/>
    <d v="2022-06-09T00:00:00"/>
    <n v="-16.28"/>
    <n v="16.28"/>
    <m/>
    <s v="Jumbo Sevenum SEVENUM"/>
    <s v="UIT"/>
    <s v="BOODSCH"/>
    <s v="boodschappen"/>
    <s v="bc"/>
    <m/>
    <m/>
    <m/>
    <m/>
    <m/>
    <s v="Betaalautomaat 15:58 pasnr. 032"/>
    <s v=" "/>
    <m/>
    <m/>
  </r>
  <r>
    <n v="202208024"/>
    <x v="3"/>
    <s v="EUR"/>
    <x v="6"/>
    <x v="71"/>
    <d v="2022-06-11T00:00:00"/>
    <d v="2022-06-11T00:00:00"/>
    <n v="-0.99"/>
    <n v="0.99"/>
    <m/>
    <s v="Spar Enjoy Schatberg SEVENUM"/>
    <s v="UIT"/>
    <s v="BOODSCH"/>
    <s v="boodschappen"/>
    <s v="bc"/>
    <m/>
    <m/>
    <m/>
    <m/>
    <m/>
    <s v="Betaalautomaat 17:32 pasnr. 032"/>
    <s v=" "/>
    <m/>
    <m/>
  </r>
  <r>
    <n v="202208032"/>
    <x v="3"/>
    <s v="EUR"/>
    <x v="6"/>
    <x v="71"/>
    <d v="2022-06-15T00:00:00"/>
    <d v="2022-06-15T00:00:00"/>
    <n v="-1.29"/>
    <n v="1.29"/>
    <m/>
    <s v="CCV*COCAGNE PANNINGEN"/>
    <s v="UIT"/>
    <s v="BOODSCH"/>
    <s v="boodschappen"/>
    <s v="bc"/>
    <m/>
    <m/>
    <m/>
    <m/>
    <m/>
    <s v="Betaalautomaat 17:28 pasnr. 032"/>
    <s v=" "/>
    <m/>
    <m/>
  </r>
  <r>
    <n v="202208033"/>
    <x v="3"/>
    <s v="EUR"/>
    <x v="6"/>
    <x v="71"/>
    <d v="2022-06-18T00:00:00"/>
    <d v="2022-06-18T00:00:00"/>
    <n v="-4.67"/>
    <n v="4.67"/>
    <m/>
    <s v="Spar Enjoy Schatberg SEVENUM"/>
    <s v="UIT"/>
    <s v="BOODSCH"/>
    <s v="boodschappen"/>
    <s v="bc"/>
    <m/>
    <m/>
    <m/>
    <m/>
    <m/>
    <s v="Betaalautomaat 16:36 pasnr. 032"/>
    <s v=" "/>
    <m/>
    <m/>
  </r>
  <r>
    <n v="202208043"/>
    <x v="3"/>
    <s v="EUR"/>
    <x v="6"/>
    <x v="71"/>
    <d v="2022-06-22T00:00:00"/>
    <d v="2022-06-22T00:00:00"/>
    <n v="-8.35"/>
    <n v="8.35"/>
    <m/>
    <s v="Jumbo Venlo VENLO"/>
    <s v="UIT"/>
    <s v="BOODSCH"/>
    <s v="boodschappen"/>
    <s v="bc"/>
    <m/>
    <m/>
    <m/>
    <m/>
    <m/>
    <s v="Betaalautomaat 19:21 pasnr. 032"/>
    <s v=" "/>
    <m/>
    <m/>
  </r>
  <r>
    <n v="202208045"/>
    <x v="3"/>
    <s v="EUR"/>
    <x v="6"/>
    <x v="71"/>
    <d v="2022-06-24T00:00:00"/>
    <d v="2022-06-24T00:00:00"/>
    <n v="-2.1800000000000002"/>
    <n v="2.1800000000000002"/>
    <m/>
    <s v="Spar Enjoy Schatberg SEVENUM"/>
    <s v="UIT"/>
    <s v="BOODSCH"/>
    <s v="boodschappen"/>
    <s v="bc"/>
    <m/>
    <m/>
    <m/>
    <m/>
    <m/>
    <s v="Betaalautomaat 18:13 pasnr. 032"/>
    <s v=" "/>
    <m/>
    <m/>
  </r>
  <r>
    <n v="202208051"/>
    <x v="3"/>
    <s v="EUR"/>
    <x v="6"/>
    <x v="71"/>
    <d v="2022-06-29T00:00:00"/>
    <d v="2022-06-29T00:00:00"/>
    <n v="-3.18"/>
    <n v="3.18"/>
    <m/>
    <s v="Jumbo Panningen PANNINGEN"/>
    <s v="UIT"/>
    <s v="BOODSCH"/>
    <s v="boodschappen"/>
    <s v="bc"/>
    <m/>
    <m/>
    <m/>
    <m/>
    <m/>
    <s v="Betaalautomaat 18:57 pasnr. 032"/>
    <s v=" "/>
    <m/>
    <m/>
  </r>
  <r>
    <n v="202208058"/>
    <x v="3"/>
    <s v="EUR"/>
    <x v="6"/>
    <x v="72"/>
    <d v="2022-07-05T00:00:00"/>
    <d v="2022-07-05T00:00:00"/>
    <n v="-1.29"/>
    <n v="1.29"/>
    <m/>
    <s v="Spar Enjoy Schatberg SEVENUM"/>
    <s v="UIT"/>
    <s v="BOODSCH"/>
    <s v="boodschappen"/>
    <s v="bc"/>
    <m/>
    <m/>
    <m/>
    <m/>
    <m/>
    <s v="Betaalautomaat 18:01 pasnr. 032"/>
    <s v=" "/>
    <m/>
    <m/>
  </r>
  <r>
    <n v="202208059"/>
    <x v="3"/>
    <s v="EUR"/>
    <x v="6"/>
    <x v="72"/>
    <d v="2022-07-05T00:00:00"/>
    <d v="2022-07-05T00:00:00"/>
    <n v="-9"/>
    <n v="9"/>
    <m/>
    <s v="CCV*RS Chicken Sevenum SEVENUM KFC correctie vegan kip"/>
    <s v="UIT"/>
    <s v="BOODSCH"/>
    <s v="boodschappen"/>
    <s v="bc"/>
    <m/>
    <m/>
    <m/>
    <m/>
    <m/>
    <m/>
    <m/>
    <m/>
    <m/>
  </r>
  <r>
    <n v="202208061"/>
    <x v="3"/>
    <s v="EUR"/>
    <x v="6"/>
    <x v="72"/>
    <d v="2022-07-06T00:00:00"/>
    <d v="2022-07-06T00:00:00"/>
    <n v="-0.75"/>
    <n v="0.75"/>
    <m/>
    <s v="JanLinders Panningen PANNINGEN"/>
    <s v="UIT"/>
    <s v="BOODSCH"/>
    <s v="boodschappen"/>
    <s v="bc"/>
    <m/>
    <m/>
    <m/>
    <m/>
    <m/>
    <s v="Betaalautomaat 16:59 pasnr. 032"/>
    <s v=" "/>
    <m/>
    <m/>
  </r>
  <r>
    <n v="202208062"/>
    <x v="3"/>
    <s v="EUR"/>
    <x v="6"/>
    <x v="72"/>
    <d v="2022-07-06T00:00:00"/>
    <d v="2022-07-06T00:00:00"/>
    <n v="-2.58"/>
    <n v="2.58"/>
    <m/>
    <s v="CCV*COCAGNE PANNINGEN"/>
    <s v="UIT"/>
    <s v="BOODSCH"/>
    <s v="boodschappen"/>
    <s v="bc"/>
    <m/>
    <m/>
    <m/>
    <m/>
    <m/>
    <s v="Betaalautomaat 17:12 pasnr. 032"/>
    <s v=" "/>
    <m/>
    <m/>
  </r>
  <r>
    <n v="202208063"/>
    <x v="3"/>
    <s v="EUR"/>
    <x v="6"/>
    <x v="72"/>
    <d v="2022-07-09T00:00:00"/>
    <d v="2022-07-09T00:00:00"/>
    <n v="-2.37"/>
    <n v="2.37"/>
    <m/>
    <s v="Spar Enjoy Schatberg SEVENUM"/>
    <s v="UIT"/>
    <s v="BOODSCH"/>
    <s v="boodschappen"/>
    <s v="bc"/>
    <m/>
    <m/>
    <m/>
    <m/>
    <m/>
    <s v="Betaalautomaat 16:57 pasnr. 032"/>
    <s v=" "/>
    <m/>
    <m/>
  </r>
  <r>
    <n v="202208065"/>
    <x v="3"/>
    <s v="EUR"/>
    <x v="6"/>
    <x v="72"/>
    <d v="2022-07-10T00:00:00"/>
    <d v="2022-07-10T00:00:00"/>
    <n v="-4.33"/>
    <n v="4.33"/>
    <m/>
    <s v="Spar Enjoy Schatberg SEVENUM"/>
    <s v="UIT"/>
    <s v="BOODSCH"/>
    <s v="boodschappen"/>
    <s v="bc"/>
    <m/>
    <m/>
    <m/>
    <m/>
    <m/>
    <s v="Betaalautomaat 17:49 pasnr. 032"/>
    <s v=" "/>
    <m/>
    <m/>
  </r>
  <r>
    <n v="202208068"/>
    <x v="3"/>
    <s v="EUR"/>
    <x v="6"/>
    <x v="72"/>
    <d v="2022-07-11T00:00:00"/>
    <d v="2022-07-11T00:00:00"/>
    <n v="-1.49"/>
    <n v="1.49"/>
    <m/>
    <s v="Spar Enjoy Schatberg SEVENUM"/>
    <s v="UIT"/>
    <s v="BOODSCH"/>
    <s v="boodschappen"/>
    <s v="bc"/>
    <m/>
    <m/>
    <m/>
    <m/>
    <m/>
    <s v="Betaalautomaat 12:35 pasnr. 032"/>
    <s v=" "/>
    <m/>
    <m/>
  </r>
  <r>
    <n v="202208073"/>
    <x v="3"/>
    <s v="EUR"/>
    <x v="6"/>
    <x v="72"/>
    <d v="2022-07-12T00:00:00"/>
    <d v="2022-07-12T00:00:00"/>
    <n v="-7.82"/>
    <n v="7.82"/>
    <m/>
    <s v="Albert Heijn Horst HORST"/>
    <s v="UIT"/>
    <s v="BOODSCH"/>
    <s v="boodschappen"/>
    <s v="bc"/>
    <m/>
    <m/>
    <m/>
    <m/>
    <m/>
    <s v="Betaalautomaat 17:47 pasnr. 032"/>
    <s v=" "/>
    <m/>
    <m/>
  </r>
  <r>
    <n v="202208074"/>
    <x v="3"/>
    <s v="EUR"/>
    <x v="6"/>
    <x v="72"/>
    <d v="2022-07-12T00:00:00"/>
    <d v="2022-07-12T00:00:00"/>
    <n v="-0.99"/>
    <n v="0.99"/>
    <m/>
    <s v="Albert Heijn Horst HORST"/>
    <s v="UIT"/>
    <s v="BOODSCH"/>
    <s v="boodschappen"/>
    <s v="bc"/>
    <m/>
    <m/>
    <m/>
    <m/>
    <m/>
    <s v="Betaalautomaat 17:52 pasnr. 032"/>
    <s v=" "/>
    <m/>
    <m/>
  </r>
  <r>
    <n v="202208076"/>
    <x v="3"/>
    <s v="EUR"/>
    <x v="6"/>
    <x v="72"/>
    <d v="2022-07-13T00:00:00"/>
    <d v="2022-07-13T00:00:00"/>
    <n v="-58.74"/>
    <n v="58.74"/>
    <m/>
    <s v="Lidl 475 Panningen PANNINGEN"/>
    <s v="UIT"/>
    <s v="BOODSCH"/>
    <s v="boodschappen"/>
    <s v="bc"/>
    <m/>
    <m/>
    <m/>
    <m/>
    <m/>
    <s v="Betaalautomaat 12:44 pasnr. 032"/>
    <s v=" "/>
    <m/>
    <m/>
  </r>
  <r>
    <n v="202208079"/>
    <x v="3"/>
    <s v="EUR"/>
    <x v="6"/>
    <x v="72"/>
    <d v="2022-07-14T00:00:00"/>
    <d v="2022-07-14T00:00:00"/>
    <n v="-2.11"/>
    <n v="2.11"/>
    <m/>
    <s v="JL Panningen PANNINGEN"/>
    <s v="UIT"/>
    <s v="BOODSCH"/>
    <s v="boodschappen"/>
    <s v="bc"/>
    <m/>
    <m/>
    <m/>
    <m/>
    <m/>
    <s v="Betaalautomaat 16:49 pasnr. 032"/>
    <s v=" "/>
    <m/>
    <m/>
  </r>
  <r>
    <n v="202208087"/>
    <x v="3"/>
    <s v="EUR"/>
    <x v="6"/>
    <x v="72"/>
    <d v="2022-07-20T00:00:00"/>
    <d v="2022-07-20T00:00:00"/>
    <n v="-6.37"/>
    <n v="6.37"/>
    <m/>
    <s v="Lidl 475 Panningen PANNINGEN"/>
    <s v="UIT"/>
    <s v="BOODSCH"/>
    <s v="boodschappen"/>
    <s v="bc"/>
    <m/>
    <m/>
    <m/>
    <m/>
    <m/>
    <s v="Betaalautomaat 17:42 pasnr. 032"/>
    <s v=" "/>
    <m/>
    <m/>
  </r>
  <r>
    <n v="202208088"/>
    <x v="3"/>
    <s v="EUR"/>
    <x v="6"/>
    <x v="72"/>
    <d v="2022-07-21T00:00:00"/>
    <d v="2022-07-21T00:00:00"/>
    <n v="-1.19"/>
    <n v="1.19"/>
    <m/>
    <s v="Spar Enjoy Schatberg SEVENUM"/>
    <s v="UIT"/>
    <s v="BOODSCH"/>
    <s v="boodschappen"/>
    <s v="bc"/>
    <m/>
    <m/>
    <m/>
    <m/>
    <m/>
    <s v="Betaalautomaat 13:55 pasnr. 032"/>
    <s v=" "/>
    <m/>
    <m/>
  </r>
  <r>
    <n v="202208092"/>
    <x v="3"/>
    <s v="EUR"/>
    <x v="6"/>
    <x v="72"/>
    <d v="2022-07-24T00:00:00"/>
    <d v="2022-07-24T00:00:00"/>
    <n v="-2.48"/>
    <n v="2.48"/>
    <m/>
    <s v="Spar Enjoy Schatberg SEVENUM"/>
    <s v="UIT"/>
    <s v="BOODSCH"/>
    <s v="boodschappen"/>
    <s v="bc"/>
    <m/>
    <m/>
    <m/>
    <m/>
    <m/>
    <s v="Betaalautomaat 18:20 pasnr. 032"/>
    <s v=" "/>
    <m/>
    <m/>
  </r>
  <r>
    <n v="202208096"/>
    <x v="3"/>
    <s v="EUR"/>
    <x v="6"/>
    <x v="72"/>
    <d v="2022-07-26T00:00:00"/>
    <d v="2022-07-26T00:00:00"/>
    <n v="-7.69"/>
    <n v="7.69"/>
    <m/>
    <s v="Jumbo Panningen PANNINGEN"/>
    <s v="UIT"/>
    <s v="BOODSCH"/>
    <s v="boodschappen"/>
    <s v="bc"/>
    <m/>
    <m/>
    <m/>
    <m/>
    <m/>
    <s v="Betaalautomaat 17:21 pasnr. 032"/>
    <s v=" "/>
    <m/>
    <m/>
  </r>
  <r>
    <n v="202208098"/>
    <x v="3"/>
    <s v="EUR"/>
    <x v="6"/>
    <x v="72"/>
    <d v="2022-07-26T00:00:00"/>
    <d v="2022-07-26T00:00:00"/>
    <n v="-2.84"/>
    <n v="2.84"/>
    <m/>
    <s v="Lidl 475 Panningen PANNINGEN"/>
    <s v="UIT"/>
    <s v="BOODSCH"/>
    <s v="boodschappen"/>
    <s v="bc"/>
    <m/>
    <m/>
    <m/>
    <m/>
    <m/>
    <s v="Betaalautomaat 17:53 pasnr. 032"/>
    <s v=" "/>
    <m/>
    <m/>
  </r>
  <r>
    <n v="202208099"/>
    <x v="3"/>
    <s v="EUR"/>
    <x v="6"/>
    <x v="72"/>
    <d v="2022-07-26T00:00:00"/>
    <d v="2022-07-26T00:00:00"/>
    <n v="-1.0900000000000001"/>
    <n v="1.0900000000000001"/>
    <m/>
    <s v="Lidl 475 Panningen PANNINGEN"/>
    <s v="UIT"/>
    <s v="BOODSCH"/>
    <s v="boodschappen"/>
    <s v="bc"/>
    <m/>
    <m/>
    <m/>
    <m/>
    <m/>
    <s v="Betaalautomaat 17:56 pasnr. 032"/>
    <s v=" "/>
    <m/>
    <m/>
  </r>
  <r>
    <n v="202208108"/>
    <x v="3"/>
    <s v="EUR"/>
    <x v="6"/>
    <x v="72"/>
    <d v="2022-07-28T00:00:00"/>
    <d v="2022-07-28T00:00:00"/>
    <n v="-1.17"/>
    <n v="1.17"/>
    <m/>
    <s v="Jumbo Venlo VENLO"/>
    <s v="UIT"/>
    <s v="BOODSCH"/>
    <s v="boodschappen"/>
    <s v="bc"/>
    <m/>
    <m/>
    <m/>
    <m/>
    <m/>
    <s v="Betaalautomaat 19:50 pasnr. 032"/>
    <s v=" "/>
    <m/>
    <m/>
  </r>
  <r>
    <n v="202208112"/>
    <x v="3"/>
    <s v="EUR"/>
    <x v="6"/>
    <x v="72"/>
    <d v="2022-07-30T00:00:00"/>
    <d v="2022-07-30T00:00:00"/>
    <n v="-0.99"/>
    <n v="0.99"/>
    <m/>
    <s v="Spar Enjoy Schatberg SEVENUM"/>
    <s v="UIT"/>
    <s v="BOODSCH"/>
    <s v="boodschappen"/>
    <s v="bc"/>
    <m/>
    <m/>
    <m/>
    <m/>
    <m/>
    <s v="Betaalautomaat 14:13 pasnr. 032"/>
    <s v=" "/>
    <m/>
    <m/>
  </r>
  <r>
    <n v="202208120"/>
    <x v="3"/>
    <s v="EUR"/>
    <x v="6"/>
    <x v="40"/>
    <d v="2022-08-02T00:00:00"/>
    <d v="2022-08-02T00:00:00"/>
    <n v="-1.39"/>
    <n v="1.39"/>
    <m/>
    <s v="Spar Enjoy Schatberg SEVENUM"/>
    <s v="UIT"/>
    <s v="BOODSCH"/>
    <s v="boodschappen"/>
    <s v="bc"/>
    <m/>
    <m/>
    <m/>
    <m/>
    <m/>
    <s v="Betaalautomaat 17:45 pasnr. 032"/>
    <s v=" "/>
    <m/>
    <m/>
  </r>
  <r>
    <n v="202208121"/>
    <x v="3"/>
    <s v="EUR"/>
    <x v="6"/>
    <x v="40"/>
    <d v="2022-08-03T00:00:00"/>
    <d v="2022-08-03T00:00:00"/>
    <n v="-1.39"/>
    <n v="1.39"/>
    <m/>
    <s v="Kruidvat 3123 PANNINGEN"/>
    <s v="UIT"/>
    <s v="BOODSCH"/>
    <s v="boodschappen"/>
    <s v="bc"/>
    <m/>
    <m/>
    <m/>
    <m/>
    <m/>
    <s v="Betaalautomaat 16:49 pasnr. 032"/>
    <s v=" "/>
    <m/>
    <m/>
  </r>
  <r>
    <n v="202208123"/>
    <x v="3"/>
    <s v="EUR"/>
    <x v="6"/>
    <x v="40"/>
    <d v="2022-08-03T00:00:00"/>
    <d v="2022-08-03T00:00:00"/>
    <n v="-1.29"/>
    <n v="1.29"/>
    <m/>
    <s v="CCV*COCAGNE PANNINGEN"/>
    <s v="UIT"/>
    <s v="BOODSCH"/>
    <s v="boodschappen"/>
    <s v="bc"/>
    <m/>
    <m/>
    <m/>
    <m/>
    <m/>
    <s v="Betaalautomaat 17:16 pasnr. 032"/>
    <s v=" "/>
    <m/>
    <m/>
  </r>
  <r>
    <n v="202208125"/>
    <x v="3"/>
    <s v="EUR"/>
    <x v="6"/>
    <x v="40"/>
    <d v="2022-08-03T00:00:00"/>
    <d v="2022-08-03T00:00:00"/>
    <n v="-2.99"/>
    <n v="2.99"/>
    <m/>
    <s v="Polish Supermarkt Pann OSS"/>
    <s v="UIT"/>
    <s v="BOODSCH"/>
    <s v="boodschappen"/>
    <s v="bc"/>
    <m/>
    <m/>
    <m/>
    <m/>
    <m/>
    <s v="Betaalautomaat 17:34 pasnr. 032"/>
    <s v=" "/>
    <m/>
    <m/>
  </r>
  <r>
    <n v="202208126"/>
    <x v="3"/>
    <s v="EUR"/>
    <x v="6"/>
    <x v="40"/>
    <d v="2022-08-03T00:00:00"/>
    <d v="2022-08-03T00:00:00"/>
    <n v="-8.77"/>
    <n v="8.77"/>
    <m/>
    <s v="Lidl 475 Panningen PANNINGEN"/>
    <s v="UIT"/>
    <s v="BOODSCH"/>
    <s v="boodschappen"/>
    <s v="bc"/>
    <m/>
    <m/>
    <m/>
    <m/>
    <m/>
    <s v="Betaalautomaat 17:47 pasnr. 032"/>
    <s v=" "/>
    <m/>
    <m/>
  </r>
  <r>
    <n v="202208127"/>
    <x v="3"/>
    <s v="EUR"/>
    <x v="6"/>
    <x v="40"/>
    <d v="2022-08-06T00:00:00"/>
    <d v="2022-08-06T00:00:00"/>
    <n v="-1.58"/>
    <n v="1.58"/>
    <m/>
    <s v="Spar Enjoy Schatberg SEVENUM"/>
    <s v="UIT"/>
    <s v="BOODSCH"/>
    <s v="boodschappen"/>
    <s v="bc"/>
    <m/>
    <m/>
    <m/>
    <m/>
    <m/>
    <s v="Betaalautomaat 13:21 pasnr. 032"/>
    <s v=" "/>
    <m/>
    <m/>
  </r>
  <r>
    <n v="202208131"/>
    <x v="3"/>
    <s v="EUR"/>
    <x v="6"/>
    <x v="40"/>
    <d v="2022-08-08T00:00:00"/>
    <d v="2022-08-08T00:00:00"/>
    <n v="-2.33"/>
    <n v="2.33"/>
    <m/>
    <s v="ALBERT HEIJN 1878 ARNHEM"/>
    <s v="UIT"/>
    <s v="BOODSCH"/>
    <s v="boodschappen"/>
    <s v="bc"/>
    <m/>
    <m/>
    <m/>
    <m/>
    <m/>
    <s v="Betaalautomaat 20:06 pasnr. 032"/>
    <s v=" "/>
    <m/>
    <m/>
  </r>
  <r>
    <n v="202208134"/>
    <x v="3"/>
    <s v="EUR"/>
    <x v="6"/>
    <x v="40"/>
    <d v="2022-08-09T00:00:00"/>
    <d v="2022-08-09T00:00:00"/>
    <n v="-1.99"/>
    <n v="1.99"/>
    <m/>
    <s v="ALBERT HEIJN 1878 ARNHEM"/>
    <s v="UIT"/>
    <s v="BOODSCH"/>
    <s v="boodschappen"/>
    <s v="bc"/>
    <m/>
    <m/>
    <m/>
    <m/>
    <m/>
    <s v="Betaalautomaat 13:37 pasnr. 032"/>
    <s v=" "/>
    <m/>
    <m/>
  </r>
  <r>
    <n v="202208142"/>
    <x v="3"/>
    <s v="EUR"/>
    <x v="6"/>
    <x v="40"/>
    <d v="2022-08-11T00:00:00"/>
    <d v="2022-08-11T00:00:00"/>
    <n v="-17.100000000000001"/>
    <n v="17.100000000000001"/>
    <m/>
    <s v="Jumbo Venlo VENLO"/>
    <s v="UIT"/>
    <s v="BOODSCH"/>
    <s v="boodschappen"/>
    <s v="bc"/>
    <m/>
    <m/>
    <m/>
    <m/>
    <m/>
    <s v="Betaalautomaat 12:15 pasnr. 032"/>
    <s v=" "/>
    <m/>
    <m/>
  </r>
  <r>
    <n v="202208145"/>
    <x v="3"/>
    <s v="EUR"/>
    <x v="6"/>
    <x v="40"/>
    <d v="2022-08-11T00:00:00"/>
    <d v="2022-08-11T00:00:00"/>
    <n v="-11.6"/>
    <n v="11.6"/>
    <m/>
    <s v="Lidl 475 Panningen PANNINGEN"/>
    <s v="UIT"/>
    <s v="BOODSCH"/>
    <s v="boodschappen"/>
    <s v="bc"/>
    <m/>
    <m/>
    <m/>
    <m/>
    <m/>
    <s v="Betaalautomaat 17:40 pasnr. 032"/>
    <s v=" "/>
    <m/>
    <m/>
  </r>
  <r>
    <n v="202208147"/>
    <x v="3"/>
    <s v="EUR"/>
    <x v="6"/>
    <x v="40"/>
    <d v="2022-08-13T00:00:00"/>
    <d v="2022-08-13T00:00:00"/>
    <n v="-6.55"/>
    <n v="6.55"/>
    <m/>
    <s v="Jumbo 197996 MAASBREE"/>
    <s v="UIT"/>
    <s v="BOODSCH"/>
    <s v="boodschappen"/>
    <s v="bc"/>
    <m/>
    <m/>
    <m/>
    <m/>
    <m/>
    <s v="Betaalautomaat 19:37 pasnr. 032"/>
    <s v=" "/>
    <m/>
    <m/>
  </r>
  <r>
    <n v="202208152"/>
    <x v="3"/>
    <s v="EUR"/>
    <x v="6"/>
    <x v="40"/>
    <d v="2022-08-19T00:00:00"/>
    <d v="2022-08-19T00:00:00"/>
    <n v="-2.65"/>
    <n v="2.65"/>
    <m/>
    <s v="Spar Enjoy Schatberg SEVENUM"/>
    <s v="UIT"/>
    <s v="BOODSCH"/>
    <s v="boodschappen"/>
    <s v="bc"/>
    <m/>
    <m/>
    <m/>
    <m/>
    <m/>
    <s v="Betaalautomaat 18:33 pasnr. 032"/>
    <s v=" "/>
    <m/>
    <m/>
  </r>
  <r>
    <n v="202208157"/>
    <x v="3"/>
    <s v="EUR"/>
    <x v="6"/>
    <x v="40"/>
    <d v="2022-08-21T00:00:00"/>
    <d v="2022-08-21T00:00:00"/>
    <n v="-5.87"/>
    <n v="5.87"/>
    <m/>
    <s v="Lidl 475 Panningen PANNINGEN"/>
    <s v="UIT"/>
    <s v="BOODSCH"/>
    <s v="boodschappen"/>
    <s v="bc"/>
    <m/>
    <m/>
    <m/>
    <m/>
    <m/>
    <s v="Betaalautomaat 17:10 pasnr. 032"/>
    <s v=" "/>
    <m/>
    <m/>
  </r>
  <r>
    <n v="202208501"/>
    <x v="5"/>
    <m/>
    <x v="6"/>
    <x v="71"/>
    <d v="2022-06-18T00:00:00"/>
    <d v="2022-06-18T00:00:00"/>
    <n v="-61.1"/>
    <n v="61.1"/>
    <m/>
    <s v="boodschappen lidl deurne"/>
    <s v="UIT"/>
    <s v="BOODSCH"/>
    <s v="boodschappen"/>
    <m/>
    <m/>
    <m/>
    <m/>
    <m/>
    <m/>
    <m/>
    <m/>
    <m/>
    <m/>
  </r>
  <r>
    <n v="202208503"/>
    <x v="5"/>
    <m/>
    <x v="6"/>
    <x v="71"/>
    <d v="2022-06-18T00:00:00"/>
    <d v="2022-06-18T00:00:00"/>
    <n v="7.2"/>
    <n v="7.2"/>
    <m/>
    <s v="gekregen ouders?"/>
    <s v="UIT"/>
    <s v="BOODSCH"/>
    <s v="boodschappen"/>
    <m/>
    <m/>
    <m/>
    <m/>
    <m/>
    <m/>
    <m/>
    <m/>
    <m/>
    <m/>
  </r>
  <r>
    <n v="202208512"/>
    <x v="5"/>
    <m/>
    <x v="6"/>
    <x v="40"/>
    <d v="2022-08-10T00:00:00"/>
    <d v="2022-08-10T00:00:00"/>
    <n v="-30"/>
    <n v="30"/>
    <m/>
    <s v="boodschappen"/>
    <s v="UIT"/>
    <s v="BOODSCH"/>
    <s v="boodschappen"/>
    <m/>
    <m/>
    <m/>
    <m/>
    <m/>
    <m/>
    <m/>
    <m/>
    <m/>
    <m/>
  </r>
  <r>
    <n v="202208513"/>
    <x v="5"/>
    <m/>
    <x v="6"/>
    <x v="40"/>
    <d v="2022-08-10T00:00:00"/>
    <d v="2022-08-10T00:00:00"/>
    <n v="-8"/>
    <n v="8"/>
    <m/>
    <s v="proteine peder"/>
    <s v="UIT"/>
    <s v="BOODSCH"/>
    <s v="proteinepoeder"/>
    <m/>
    <m/>
    <m/>
    <m/>
    <m/>
    <m/>
    <m/>
    <m/>
    <m/>
    <m/>
  </r>
  <r>
    <n v="202210001"/>
    <x v="3"/>
    <s v="EUR"/>
    <x v="6"/>
    <x v="40"/>
    <d v="2022-08-26T00:00:00"/>
    <d v="2022-08-26T00:00:00"/>
    <n v="-2.87"/>
    <n v="2.87"/>
    <m/>
    <s v="Spar Enjoy Schatberg SEVENUM"/>
    <s v="UIT"/>
    <s v="BOODSCH"/>
    <s v="boodschappen"/>
    <s v="bc"/>
    <m/>
    <m/>
    <m/>
    <m/>
    <m/>
    <s v="Betaalautomaat 12:05 pasnr. 032"/>
    <s v=" "/>
    <m/>
    <m/>
  </r>
  <r>
    <n v="202210002"/>
    <x v="3"/>
    <s v="EUR"/>
    <x v="6"/>
    <x v="40"/>
    <d v="2022-08-27T00:00:00"/>
    <d v="2022-08-27T00:00:00"/>
    <n v="-1.49"/>
    <n v="1.49"/>
    <m/>
    <s v="Spar Enjoy Schatberg SEVENUM"/>
    <s v="UIT"/>
    <s v="BOODSCH"/>
    <s v="boodschappen"/>
    <s v="bc"/>
    <m/>
    <m/>
    <m/>
    <m/>
    <m/>
    <s v="Betaalautomaat 12:12 pasnr. 032"/>
    <s v=" "/>
    <m/>
    <m/>
  </r>
  <r>
    <n v="202210006"/>
    <x v="3"/>
    <s v="EUR"/>
    <x v="6"/>
    <x v="40"/>
    <d v="2022-08-29T00:00:00"/>
    <d v="2022-08-29T00:00:00"/>
    <n v="-19.87"/>
    <n v="19.87"/>
    <m/>
    <s v="Lidl 475 Panningen PANNINGEN"/>
    <s v="UIT"/>
    <s v="BOODSCH"/>
    <s v="boodschappen"/>
    <s v="bc"/>
    <m/>
    <m/>
    <m/>
    <m/>
    <m/>
    <s v="Betaalautomaat 17:19 pasnr. 032"/>
    <s v=" "/>
    <m/>
    <m/>
  </r>
  <r>
    <n v="202210015"/>
    <x v="3"/>
    <s v="EUR"/>
    <x v="6"/>
    <x v="73"/>
    <d v="2022-09-03T00:00:00"/>
    <d v="2022-09-03T00:00:00"/>
    <n v="-5.01"/>
    <n v="5.01"/>
    <m/>
    <s v="ALDI 022 SEVENUM"/>
    <s v="UIT"/>
    <s v="BOODSCH"/>
    <s v="boodschappen"/>
    <s v="bc"/>
    <m/>
    <m/>
    <m/>
    <m/>
    <m/>
    <s v="Betaalautomaat 16:57 pasnr. 032"/>
    <s v=" "/>
    <m/>
    <m/>
  </r>
  <r>
    <n v="202210018"/>
    <x v="3"/>
    <s v="EUR"/>
    <x v="6"/>
    <x v="73"/>
    <d v="2022-09-05T00:00:00"/>
    <d v="2022-09-05T00:00:00"/>
    <n v="-3.64"/>
    <n v="3.64"/>
    <m/>
    <s v="Spar Enjoy Schatberg SEVENUM"/>
    <s v="UIT"/>
    <s v="BOODSCH"/>
    <s v="boodschappen"/>
    <s v="bc"/>
    <m/>
    <m/>
    <m/>
    <m/>
    <m/>
    <s v="Betaalautomaat 13:41 pasnr. 032"/>
    <s v=" "/>
    <m/>
    <m/>
  </r>
  <r>
    <n v="202210024"/>
    <x v="3"/>
    <s v="EUR"/>
    <x v="6"/>
    <x v="73"/>
    <d v="2022-09-07T00:00:00"/>
    <d v="2022-09-07T00:00:00"/>
    <n v="-6.91"/>
    <n v="6.91"/>
    <m/>
    <s v="Albert Heijn Horst HORST"/>
    <s v="UIT"/>
    <s v="BOODSCH"/>
    <s v="boodschappen"/>
    <s v="bc"/>
    <m/>
    <m/>
    <m/>
    <m/>
    <m/>
    <s v="Betaalautomaat 18:29 pasnr. 032"/>
    <s v=" "/>
    <m/>
    <m/>
  </r>
  <r>
    <n v="202210025"/>
    <x v="3"/>
    <s v="EUR"/>
    <x v="6"/>
    <x v="73"/>
    <d v="2022-09-08T00:00:00"/>
    <d v="2022-09-08T00:00:00"/>
    <n v="-1.19"/>
    <n v="1.19"/>
    <m/>
    <s v="Spar Enjoy Schatberg SEVENUM"/>
    <s v="UIT"/>
    <s v="BOODSCH"/>
    <s v="boodschappen"/>
    <s v="bc"/>
    <m/>
    <m/>
    <m/>
    <m/>
    <m/>
    <s v="Betaalautomaat 16:33 pasnr. 032"/>
    <s v=" "/>
    <m/>
    <m/>
  </r>
  <r>
    <n v="202210026"/>
    <x v="3"/>
    <s v="EUR"/>
    <x v="6"/>
    <x v="73"/>
    <d v="2022-09-09T00:00:00"/>
    <d v="2022-09-09T00:00:00"/>
    <n v="-3.08"/>
    <n v="3.08"/>
    <m/>
    <s v="Spar Enjoy Schatberg SEVENUM"/>
    <s v="UIT"/>
    <s v="BOODSCH"/>
    <s v="boodschappen"/>
    <s v="bc"/>
    <m/>
    <m/>
    <m/>
    <m/>
    <m/>
    <s v="Betaalautomaat 18:07 pasnr. 032"/>
    <s v=" "/>
    <m/>
    <m/>
  </r>
  <r>
    <n v="202210028"/>
    <x v="3"/>
    <s v="EUR"/>
    <x v="6"/>
    <x v="73"/>
    <d v="2022-09-12T00:00:00"/>
    <d v="2022-09-12T00:00:00"/>
    <n v="-1.85"/>
    <n v="1.85"/>
    <m/>
    <s v="Spar Enjoy Schatberg SEVENUM"/>
    <s v="UIT"/>
    <s v="BOODSCH"/>
    <s v="boodschappen"/>
    <s v="bc"/>
    <m/>
    <m/>
    <m/>
    <m/>
    <m/>
    <s v="Betaalautomaat 16:56 pasnr. 032"/>
    <s v=" "/>
    <m/>
    <m/>
  </r>
  <r>
    <n v="202210029"/>
    <x v="3"/>
    <s v="EUR"/>
    <x v="6"/>
    <x v="73"/>
    <d v="2022-09-13T00:00:00"/>
    <d v="2022-09-13T00:00:00"/>
    <n v="-31.51"/>
    <n v="31.51"/>
    <m/>
    <s v="Lidl 475 Panningen PANNINGEN"/>
    <s v="UIT"/>
    <s v="BOODSCH"/>
    <s v="boodschappen"/>
    <s v="bc"/>
    <m/>
    <m/>
    <m/>
    <m/>
    <m/>
    <s v="Betaalautomaat 13:38 pasnr. 032"/>
    <s v=" "/>
    <m/>
    <m/>
  </r>
  <r>
    <n v="202210031"/>
    <x v="3"/>
    <s v="EUR"/>
    <x v="6"/>
    <x v="73"/>
    <d v="2022-09-15T00:00:00"/>
    <d v="2022-09-15T00:00:00"/>
    <n v="-11.05"/>
    <n v="11.05"/>
    <m/>
    <s v="Action 1325 Panningen"/>
    <s v="UIT"/>
    <s v="BOODSCH"/>
    <s v="proteinepoeder"/>
    <s v="bc"/>
    <m/>
    <m/>
    <m/>
    <m/>
    <m/>
    <s v="Betaalautomaat 15:12 pasnr. 032"/>
    <s v=" "/>
    <m/>
    <m/>
  </r>
  <r>
    <n v="202210032"/>
    <x v="3"/>
    <s v="EUR"/>
    <x v="6"/>
    <x v="73"/>
    <d v="2022-09-15T00:00:00"/>
    <d v="2022-09-15T00:00:00"/>
    <n v="-3.8"/>
    <n v="3.8"/>
    <m/>
    <s v="JanLinders Panningen PANNINGEN"/>
    <s v="UIT"/>
    <s v="BOODSCH"/>
    <s v="boodschappen"/>
    <s v="bc"/>
    <m/>
    <m/>
    <m/>
    <m/>
    <m/>
    <s v="Betaalautomaat 17:21 pasnr. 032"/>
    <s v=" "/>
    <m/>
    <m/>
  </r>
  <r>
    <n v="202210033"/>
    <x v="3"/>
    <s v="EUR"/>
    <x v="6"/>
    <x v="73"/>
    <d v="2022-09-17T00:00:00"/>
    <d v="2022-09-17T00:00:00"/>
    <n v="-1.49"/>
    <n v="1.49"/>
    <m/>
    <s v="Spar Enjoy Schatberg SEVENUM"/>
    <s v="UIT"/>
    <s v="BOODSCH"/>
    <s v="boodschappen"/>
    <s v="bc"/>
    <m/>
    <m/>
    <m/>
    <m/>
    <m/>
    <s v="Betaalautomaat 17:43 pasnr. 032"/>
    <s v=" "/>
    <m/>
    <m/>
  </r>
  <r>
    <n v="202210036"/>
    <x v="3"/>
    <s v="EUR"/>
    <x v="6"/>
    <x v="73"/>
    <d v="2022-09-20T00:00:00"/>
    <d v="2022-09-20T00:00:00"/>
    <n v="-0.99"/>
    <n v="0.99"/>
    <m/>
    <s v="Spar Enjoy Schatberg SEVENUM"/>
    <s v="UIT"/>
    <s v="BOODSCH"/>
    <s v="boodschappen"/>
    <s v="bc"/>
    <m/>
    <m/>
    <m/>
    <m/>
    <m/>
    <s v="Betaalautomaat 15:16 pasnr. 032"/>
    <s v=" "/>
    <m/>
    <m/>
  </r>
  <r>
    <n v="202210040"/>
    <x v="3"/>
    <s v="EUR"/>
    <x v="6"/>
    <x v="73"/>
    <d v="2022-09-21T00:00:00"/>
    <d v="2022-09-21T00:00:00"/>
    <n v="-4.99"/>
    <n v="4.99"/>
    <m/>
    <s v="Lidl 475 Panningen PANNINGEN"/>
    <s v="UIT"/>
    <s v="BOODSCH"/>
    <s v="boodschappen"/>
    <s v="bc"/>
    <m/>
    <m/>
    <m/>
    <m/>
    <m/>
    <s v="Betaalautomaat 17:45 pasnr. 032"/>
    <s v=" "/>
    <m/>
    <m/>
  </r>
  <r>
    <n v="202210041"/>
    <x v="3"/>
    <s v="EUR"/>
    <x v="6"/>
    <x v="73"/>
    <d v="2022-09-22T00:00:00"/>
    <d v="2022-09-22T00:00:00"/>
    <n v="-1.29"/>
    <n v="1.29"/>
    <m/>
    <s v="Spar Enjoy Schatberg SEVENUM"/>
    <s v="UIT"/>
    <s v="BOODSCH"/>
    <s v="boodschappen"/>
    <s v="bc"/>
    <m/>
    <m/>
    <m/>
    <m/>
    <m/>
    <s v="Betaalautomaat 17:33 pasnr. 032"/>
    <s v=" "/>
    <m/>
    <m/>
  </r>
  <r>
    <n v="202210045"/>
    <x v="3"/>
    <s v="EUR"/>
    <x v="6"/>
    <x v="73"/>
    <d v="2022-09-26T00:00:00"/>
    <d v="2022-09-26T00:00:00"/>
    <n v="-4.33"/>
    <n v="4.33"/>
    <m/>
    <s v="Spar Enjoy Schatberg SEVENUM"/>
    <s v="UIT"/>
    <s v="BOODSCH"/>
    <s v="boodschappen"/>
    <s v="bc"/>
    <m/>
    <m/>
    <m/>
    <m/>
    <m/>
    <s v="Betaalautomaat 14:05 pasnr. 032"/>
    <s v=" "/>
    <m/>
    <m/>
  </r>
  <r>
    <n v="202210049"/>
    <x v="3"/>
    <s v="EUR"/>
    <x v="6"/>
    <x v="73"/>
    <d v="2022-09-28T00:00:00"/>
    <d v="2022-09-28T00:00:00"/>
    <n v="-4.33"/>
    <n v="4.33"/>
    <m/>
    <s v="Spar Enjoy Schatberg SEVENUM"/>
    <s v="UIT"/>
    <s v="BOODSCH"/>
    <s v="boodschappen"/>
    <s v="bc"/>
    <m/>
    <m/>
    <m/>
    <m/>
    <m/>
    <s v="Betaalautomaat 16:21 pasnr. 032"/>
    <s v=" "/>
    <m/>
    <m/>
  </r>
  <r>
    <n v="202301003"/>
    <x v="3"/>
    <s v="EUR"/>
    <x v="6"/>
    <x v="34"/>
    <d v="2022-10-03T00:00:00"/>
    <d v="2022-10-03T00:00:00"/>
    <n v="-3.18"/>
    <m/>
    <m/>
    <s v="67 Poiesz Supermarkt MUSSELKANAAL"/>
    <s v="UIT"/>
    <s v="BOODSCH"/>
    <s v="boodschappen"/>
    <s v="bc"/>
    <m/>
    <m/>
    <m/>
    <m/>
    <m/>
    <s v="Betaalautomaat 11:13 pasnr. 032"/>
    <s v=" "/>
    <m/>
    <m/>
  </r>
  <r>
    <n v="202301008"/>
    <x v="3"/>
    <s v="EUR"/>
    <x v="6"/>
    <x v="34"/>
    <d v="2022-10-05T00:00:00"/>
    <d v="2022-10-05T00:00:00"/>
    <n v="-0.78"/>
    <m/>
    <m/>
    <s v="CCV*Willems Versmarkt MUSSELKANAAL"/>
    <s v="UIT"/>
    <s v="BOODSCH"/>
    <s v="boodschappen"/>
    <s v="bc"/>
    <m/>
    <m/>
    <m/>
    <m/>
    <m/>
    <s v="Betaalautomaat 15:09 pasnr. 032"/>
    <s v=" "/>
    <m/>
    <m/>
  </r>
  <r>
    <n v="202301011"/>
    <x v="3"/>
    <s v="EUR"/>
    <x v="6"/>
    <x v="34"/>
    <d v="2022-10-06T00:00:00"/>
    <d v="2022-10-06T00:00:00"/>
    <n v="-3.65"/>
    <m/>
    <m/>
    <s v="Coop 2113 MUSSELKANAAL"/>
    <s v="UIT"/>
    <s v="BOODSCH"/>
    <s v="boodschappen"/>
    <s v="bc"/>
    <m/>
    <m/>
    <m/>
    <m/>
    <m/>
    <s v="Betaalautomaat 18:02 pasnr. 032"/>
    <s v=" "/>
    <m/>
    <m/>
  </r>
  <r>
    <n v="202301012"/>
    <x v="3"/>
    <s v="EUR"/>
    <x v="6"/>
    <x v="34"/>
    <d v="2022-10-07T00:00:00"/>
    <d v="2022-10-07T00:00:00"/>
    <n v="-27.07"/>
    <m/>
    <m/>
    <s v="Tamoil Musselkanaal MUSSELKANAAL"/>
    <s v="UIT"/>
    <s v="BOODSCH"/>
    <s v="boodschappen"/>
    <s v="bc"/>
    <m/>
    <m/>
    <m/>
    <m/>
    <m/>
    <s v="Betaalautomaat 16:35 pasnr. 032"/>
    <s v=" "/>
    <m/>
    <m/>
  </r>
  <r>
    <n v="202301013"/>
    <x v="3"/>
    <s v="EUR"/>
    <x v="6"/>
    <x v="34"/>
    <d v="2022-10-07T00:00:00"/>
    <d v="2022-10-07T00:00:00"/>
    <n v="-7.59"/>
    <m/>
    <m/>
    <s v="Coop 2113 MUSSELKANAAL"/>
    <s v="UIT"/>
    <s v="BOODSCH"/>
    <s v="boodschappen"/>
    <s v="bc"/>
    <m/>
    <m/>
    <m/>
    <m/>
    <m/>
    <s v="Betaalautomaat 17:03 pasnr. 032"/>
    <s v=" "/>
    <m/>
    <m/>
  </r>
  <r>
    <n v="202301014"/>
    <x v="3"/>
    <s v="EUR"/>
    <x v="6"/>
    <x v="34"/>
    <d v="2022-10-08T00:00:00"/>
    <d v="2022-10-08T00:00:00"/>
    <n v="-4.83"/>
    <m/>
    <m/>
    <s v="Lidl 593 Musselkanaa MUSSELKANAAL"/>
    <s v="UIT"/>
    <s v="BOODSCH"/>
    <s v="boodschappen"/>
    <s v="bc"/>
    <m/>
    <m/>
    <m/>
    <m/>
    <m/>
    <s v="Betaalautomaat 17:12 pasnr. 032"/>
    <s v=" "/>
    <m/>
    <m/>
  </r>
  <r>
    <n v="202301015"/>
    <x v="3"/>
    <s v="EUR"/>
    <x v="6"/>
    <x v="34"/>
    <d v="2022-10-08T00:00:00"/>
    <d v="2022-10-08T00:00:00"/>
    <n v="-19.989999999999998"/>
    <m/>
    <m/>
    <s v="Lidl 593 Musselkanaa MUSSELKANAAL"/>
    <s v="UIT"/>
    <s v="BOODSCH"/>
    <s v="boodschappen"/>
    <s v="bc"/>
    <m/>
    <m/>
    <m/>
    <m/>
    <m/>
    <s v="Betaalautomaat 17:12 pasnr. 032"/>
    <s v=" "/>
    <m/>
    <m/>
  </r>
  <r>
    <n v="202301016"/>
    <x v="3"/>
    <s v="EUR"/>
    <x v="6"/>
    <x v="34"/>
    <d v="2022-10-08T00:00:00"/>
    <d v="2022-10-08T00:00:00"/>
    <n v="-1.73"/>
    <m/>
    <m/>
    <s v="Coop 2113 MUSSELKANAAL"/>
    <s v="UIT"/>
    <s v="BOODSCH"/>
    <s v="boodschappen"/>
    <s v="bc"/>
    <m/>
    <m/>
    <m/>
    <m/>
    <m/>
    <s v="Betaalautomaat 17:22 pasnr. 032"/>
    <s v=" "/>
    <m/>
    <m/>
  </r>
  <r>
    <n v="202301020"/>
    <x v="3"/>
    <s v="EUR"/>
    <x v="6"/>
    <x v="34"/>
    <d v="2022-10-10T00:00:00"/>
    <d v="2022-10-10T00:00:00"/>
    <n v="-33.979999999999997"/>
    <m/>
    <m/>
    <s v="ALDI 070 MUSSELKANAAL MUSSELKANAAL"/>
    <s v="UIT"/>
    <s v="BOODSCH"/>
    <s v="boodschappen"/>
    <s v="ba"/>
    <m/>
    <m/>
    <m/>
    <m/>
    <m/>
    <s v="Betaalautomaat 15:15 pasnr. 032"/>
    <s v=" "/>
    <m/>
    <m/>
  </r>
  <r>
    <n v="202301022"/>
    <x v="3"/>
    <s v="EUR"/>
    <x v="6"/>
    <x v="34"/>
    <d v="2022-10-11T00:00:00"/>
    <d v="2022-10-11T00:00:00"/>
    <n v="-2.46"/>
    <m/>
    <m/>
    <s v="CCV*PRIMERA MUSSELKANA MUSSELKANAAL"/>
    <s v="UIT"/>
    <s v="BOODSCH"/>
    <s v="boodschappen"/>
    <s v="bc"/>
    <m/>
    <m/>
    <m/>
    <m/>
    <m/>
    <s v="Betaalautomaat 16:04 pasnr. 032"/>
    <s v=" "/>
    <m/>
    <m/>
  </r>
  <r>
    <n v="202301023"/>
    <x v="3"/>
    <s v="EUR"/>
    <x v="6"/>
    <x v="34"/>
    <d v="2022-10-11T00:00:00"/>
    <d v="2022-10-11T00:00:00"/>
    <n v="-8.2100000000000009"/>
    <m/>
    <m/>
    <s v="Coop 2113 MUSSELKANAAL"/>
    <s v="UIT"/>
    <s v="BOODSCH"/>
    <s v="boodschappen"/>
    <s v="bc"/>
    <m/>
    <m/>
    <m/>
    <m/>
    <m/>
    <s v="Betaalautomaat 16:17 pasnr. 032"/>
    <s v=" "/>
    <m/>
    <m/>
  </r>
  <r>
    <n v="202301024"/>
    <x v="3"/>
    <s v="EUR"/>
    <x v="6"/>
    <x v="34"/>
    <d v="2022-10-12T00:00:00"/>
    <d v="2022-10-12T00:00:00"/>
    <n v="-7.25"/>
    <m/>
    <m/>
    <s v="CCV*PRIMERA MUSSELKANA MUSSELKANAAL"/>
    <s v="UIT"/>
    <s v="BOODSCH"/>
    <s v="boodschappen"/>
    <s v="bc"/>
    <m/>
    <m/>
    <m/>
    <m/>
    <m/>
    <s v="Betaalautomaat 14:30 pasnr. 032"/>
    <s v=" "/>
    <m/>
    <m/>
  </r>
  <r>
    <n v="202301025"/>
    <x v="3"/>
    <s v="EUR"/>
    <x v="6"/>
    <x v="34"/>
    <d v="2022-10-14T00:00:00"/>
    <d v="2022-10-14T00:00:00"/>
    <n v="-22.4"/>
    <m/>
    <m/>
    <s v="ALDI 070 MUSSELKANAAL MUSSELKANAAL"/>
    <s v="UIT"/>
    <s v="BOODSCH"/>
    <s v="boodschappen"/>
    <s v="bc"/>
    <m/>
    <m/>
    <m/>
    <m/>
    <m/>
    <s v="Betaalautomaat 11:33 pasnr. 032"/>
    <s v=" "/>
    <m/>
    <m/>
  </r>
  <r>
    <n v="202301026"/>
    <x v="3"/>
    <s v="EUR"/>
    <x v="6"/>
    <x v="34"/>
    <d v="2022-10-14T00:00:00"/>
    <d v="2022-10-14T00:00:00"/>
    <n v="-18.100000000000001"/>
    <m/>
    <m/>
    <s v="Coop 2113 MUSSELKANAAL"/>
    <s v="UIT"/>
    <s v="BOODSCH"/>
    <s v="boodschappen"/>
    <s v="bc"/>
    <m/>
    <m/>
    <m/>
    <m/>
    <m/>
    <s v="Betaalautomaat 11:52 pasnr. 032"/>
    <s v=" "/>
    <m/>
    <m/>
  </r>
  <r>
    <n v="202301032"/>
    <x v="3"/>
    <s v="EUR"/>
    <x v="6"/>
    <x v="34"/>
    <d v="2022-10-15T00:00:00"/>
    <d v="2022-10-15T00:00:00"/>
    <n v="201.36"/>
    <m/>
    <s v="NL10RBRB0948370114"/>
    <s v="W. Smit e/o W.R.F. Smit-Brands"/>
    <s v="UIT"/>
    <s v="BOODSCH"/>
    <s v="boodschappen"/>
    <s v="cb"/>
    <m/>
    <m/>
    <m/>
    <m/>
    <m/>
    <s v="reis Hamburg + boodschappen."/>
    <s v=" "/>
    <m/>
    <m/>
  </r>
  <r>
    <n v="202301045"/>
    <x v="3"/>
    <s v="EUR"/>
    <x v="6"/>
    <x v="35"/>
    <d v="2022-11-03T00:00:00"/>
    <d v="2022-11-03T00:00:00"/>
    <n v="-5.49"/>
    <m/>
    <m/>
    <s v="Kruidvat 6277 STADSKANAAL"/>
    <s v="UIT"/>
    <s v="BOODSCH"/>
    <s v="boodschappen"/>
    <s v="bc"/>
    <m/>
    <m/>
    <m/>
    <m/>
    <m/>
    <s v="Betaalautomaat 16:02 pasnr. 032"/>
    <s v=" "/>
    <m/>
    <m/>
  </r>
  <r>
    <n v="202301046"/>
    <x v="3"/>
    <s v="EUR"/>
    <x v="6"/>
    <x v="35"/>
    <d v="2022-11-03T00:00:00"/>
    <d v="2022-11-03T00:00:00"/>
    <n v="-2.69"/>
    <m/>
    <m/>
    <s v="Kruidvat 6277 STADSKANAAL"/>
    <s v="UIT"/>
    <s v="BOODSCH"/>
    <s v="boodschappen"/>
    <s v="bc"/>
    <m/>
    <m/>
    <m/>
    <m/>
    <m/>
    <s v="Betaalautomaat 16:03 pasnr. 032"/>
    <s v=" "/>
    <m/>
    <m/>
  </r>
  <r>
    <n v="202301050"/>
    <x v="3"/>
    <s v="EUR"/>
    <x v="6"/>
    <x v="35"/>
    <d v="2022-11-04T00:00:00"/>
    <d v="2022-11-04T00:00:00"/>
    <n v="-8.14"/>
    <m/>
    <m/>
    <s v="ALDI 070 MUSSELKANAAL MUSSELKANAAL"/>
    <s v="UIT"/>
    <s v="BOODSCH"/>
    <s v="boodschappen"/>
    <s v="bc"/>
    <m/>
    <m/>
    <m/>
    <m/>
    <m/>
    <s v="Betaalautomaat 14:19 pasnr. 032"/>
    <s v=" "/>
    <m/>
    <m/>
  </r>
  <r>
    <n v="202301051"/>
    <x v="3"/>
    <s v="EUR"/>
    <x v="6"/>
    <x v="35"/>
    <d v="2022-11-04T00:00:00"/>
    <d v="2022-11-04T00:00:00"/>
    <n v="-0.53"/>
    <m/>
    <m/>
    <s v="Coop 2113 MUSSELKANAAL"/>
    <s v="UIT"/>
    <s v="BOODSCH"/>
    <s v="boodschappen"/>
    <s v="bc"/>
    <m/>
    <m/>
    <m/>
    <m/>
    <m/>
    <s v="Betaalautomaat 14:40 pasnr. 032"/>
    <s v=" "/>
    <m/>
    <m/>
  </r>
  <r>
    <n v="202301053"/>
    <x v="3"/>
    <s v="EUR"/>
    <x v="6"/>
    <x v="35"/>
    <d v="2022-11-05T00:00:00"/>
    <d v="2022-11-05T00:00:00"/>
    <n v="-12.55"/>
    <m/>
    <m/>
    <s v="CCV*PRIMERA MUSSELKANA MUSSELKANAAL"/>
    <s v="UIT"/>
    <s v="BOODSCH"/>
    <s v="boodschappen"/>
    <s v="bc"/>
    <m/>
    <m/>
    <m/>
    <m/>
    <m/>
    <s v="Betaalautomaat 11:39 pasnr. 032"/>
    <s v=" "/>
    <m/>
    <m/>
  </r>
  <r>
    <n v="202301054"/>
    <x v="3"/>
    <s v="EUR"/>
    <x v="6"/>
    <x v="35"/>
    <d v="2022-11-05T00:00:00"/>
    <d v="2022-11-05T00:00:00"/>
    <n v="-15"/>
    <m/>
    <m/>
    <s v="Friese Vis Kollum"/>
    <s v="UIT"/>
    <s v="BOODSCH"/>
    <s v="boodschappen"/>
    <s v="bc"/>
    <m/>
    <m/>
    <m/>
    <m/>
    <m/>
    <s v="Betaalautomaat 14:01 pasnr. 032"/>
    <s v=" "/>
    <m/>
    <m/>
  </r>
  <r>
    <n v="202301055"/>
    <x v="3"/>
    <s v="EUR"/>
    <x v="6"/>
    <x v="35"/>
    <d v="2022-11-05T00:00:00"/>
    <d v="2022-11-05T00:00:00"/>
    <n v="45"/>
    <m/>
    <s v="NL10RBRB0948370114"/>
    <s v="W. Smit e/o W.R.F. Smit-Brands"/>
    <s v="UIT"/>
    <s v="BOODSCH"/>
    <s v="boodschappen"/>
    <s v="cb"/>
    <m/>
    <m/>
    <m/>
    <m/>
    <m/>
    <s v="bekend."/>
    <s v=" "/>
    <m/>
    <m/>
  </r>
  <r>
    <n v="202301059"/>
    <x v="3"/>
    <s v="EUR"/>
    <x v="6"/>
    <x v="35"/>
    <d v="2022-11-07T00:00:00"/>
    <d v="2022-11-07T00:00:00"/>
    <n v="-3.5"/>
    <m/>
    <m/>
    <s v="ALBERT HEIJN 1653 SCHIPHOL"/>
    <s v="UIT"/>
    <s v="BOODSCH"/>
    <s v="boodschappen"/>
    <s v="bc"/>
    <m/>
    <m/>
    <m/>
    <m/>
    <m/>
    <s v="Betaalautomaat 08:25 pasnr. 032"/>
    <s v=" "/>
    <m/>
    <m/>
  </r>
  <r>
    <n v="202301151"/>
    <x v="5"/>
    <m/>
    <x v="6"/>
    <x v="34"/>
    <d v="2022-10-14T00:00:00"/>
    <m/>
    <n v="-9.51"/>
    <m/>
    <m/>
    <s v="AH"/>
    <s v="UIT"/>
    <s v="BOODSCH"/>
    <s v="boodschappen"/>
    <m/>
    <m/>
    <m/>
    <m/>
    <m/>
    <m/>
    <m/>
    <m/>
    <m/>
    <m/>
  </r>
  <r>
    <n v="202301152"/>
    <x v="5"/>
    <m/>
    <x v="6"/>
    <x v="34"/>
    <d v="2022-10-15T00:00:00"/>
    <m/>
    <n v="-1.19"/>
    <m/>
    <m/>
    <s v="AH chips"/>
    <s v="UIT"/>
    <s v="BOODSCH"/>
    <s v="boodschappen"/>
    <m/>
    <m/>
    <m/>
    <m/>
    <m/>
    <m/>
    <m/>
    <m/>
    <m/>
    <m/>
  </r>
  <r>
    <n v="202301153"/>
    <x v="5"/>
    <m/>
    <x v="6"/>
    <x v="34"/>
    <d v="2022-10-15T00:00:00"/>
    <m/>
    <n v="-2.48"/>
    <m/>
    <m/>
    <s v="AH chips bannanen"/>
    <s v="UIT"/>
    <s v="BOODSCH"/>
    <s v="boodschappen"/>
    <m/>
    <m/>
    <m/>
    <m/>
    <m/>
    <m/>
    <m/>
    <m/>
    <m/>
    <m/>
  </r>
  <r>
    <n v="202301159"/>
    <x v="5"/>
    <m/>
    <x v="6"/>
    <x v="34"/>
    <d v="2022-10-17T00:00:00"/>
    <m/>
    <n v="0"/>
    <m/>
    <m/>
    <s v="AH boodschappen"/>
    <s v="UIT"/>
    <s v="BOODSCH"/>
    <s v="boodschappen"/>
    <m/>
    <m/>
    <m/>
    <m/>
    <m/>
    <m/>
    <m/>
    <m/>
    <m/>
    <m/>
  </r>
  <r>
    <n v="202301160"/>
    <x v="5"/>
    <m/>
    <x v="6"/>
    <x v="34"/>
    <d v="2022-10-17T00:00:00"/>
    <m/>
    <n v="-2.5"/>
    <m/>
    <m/>
    <s v="AH boodschappen brood + boter"/>
    <s v="UIT"/>
    <s v="BOODSCH"/>
    <s v="boodschappen"/>
    <m/>
    <m/>
    <m/>
    <m/>
    <m/>
    <m/>
    <m/>
    <m/>
    <m/>
    <m/>
  </r>
  <r>
    <n v="202301162"/>
    <x v="5"/>
    <m/>
    <x v="6"/>
    <x v="34"/>
    <d v="2022-10-19T00:00:00"/>
    <m/>
    <n v="-5.71"/>
    <m/>
    <m/>
    <s v="AH boodschappen"/>
    <s v="UIT"/>
    <s v="BOODSCH"/>
    <s v="boodschappen"/>
    <m/>
    <m/>
    <m/>
    <m/>
    <m/>
    <m/>
    <m/>
    <m/>
    <m/>
    <m/>
  </r>
  <r>
    <n v="202301163"/>
    <x v="5"/>
    <m/>
    <x v="6"/>
    <x v="34"/>
    <d v="2022-10-20T00:00:00"/>
    <m/>
    <n v="-8.7899999999999991"/>
    <m/>
    <m/>
    <s v="AH Boodschappen bier renee"/>
    <s v="UIT"/>
    <s v="BOODSCH"/>
    <s v="boodschappen"/>
    <m/>
    <m/>
    <m/>
    <m/>
    <m/>
    <m/>
    <m/>
    <m/>
    <m/>
    <m/>
  </r>
  <r>
    <n v="202301166"/>
    <x v="5"/>
    <m/>
    <x v="6"/>
    <x v="34"/>
    <d v="2022-10-21T00:00:00"/>
    <m/>
    <n v="-2"/>
    <m/>
    <m/>
    <s v="boodsch AH broodbeleg"/>
    <s v="UIT"/>
    <s v="BOODSCH"/>
    <s v="boodschappen"/>
    <m/>
    <m/>
    <m/>
    <m/>
    <m/>
    <m/>
    <m/>
    <m/>
    <m/>
    <m/>
  </r>
  <r>
    <n v="202301172"/>
    <x v="5"/>
    <m/>
    <x v="6"/>
    <x v="34"/>
    <d v="2022-10-22T00:00:00"/>
    <m/>
    <n v="-5.07"/>
    <m/>
    <m/>
    <s v="avondeten"/>
    <s v="UIT"/>
    <s v="BOODSCH"/>
    <s v="boodschappen"/>
    <m/>
    <m/>
    <m/>
    <m/>
    <m/>
    <m/>
    <m/>
    <m/>
    <m/>
    <m/>
  </r>
  <r>
    <n v="202301176"/>
    <x v="5"/>
    <m/>
    <x v="6"/>
    <x v="34"/>
    <d v="2022-10-23T00:00:00"/>
    <m/>
    <n v="0"/>
    <m/>
    <m/>
    <s v="dinner : pasta gemaakt door Lotta"/>
    <s v="UIT"/>
    <s v="BOODSCH"/>
    <s v="boodschappen"/>
    <m/>
    <m/>
    <m/>
    <m/>
    <m/>
    <m/>
    <m/>
    <m/>
    <m/>
    <m/>
  </r>
  <r>
    <n v="202301186"/>
    <x v="5"/>
    <m/>
    <x v="6"/>
    <x v="34"/>
    <d v="2022-10-24T00:00:00"/>
    <m/>
    <n v="-1"/>
    <m/>
    <m/>
    <s v="banaan+appel"/>
    <s v="UIT"/>
    <s v="BOODSCH"/>
    <s v="boodschappen"/>
    <m/>
    <m/>
    <m/>
    <m/>
    <m/>
    <m/>
    <m/>
    <m/>
    <m/>
    <m/>
  </r>
  <r>
    <n v="202305026"/>
    <x v="3"/>
    <s v="EUR"/>
    <x v="0"/>
    <x v="0"/>
    <d v="2023-02-22T00:00:00"/>
    <d v="2023-02-22T00:00:00"/>
    <n v="-1.05"/>
    <n v="364.7"/>
    <m/>
    <s v="PLUS Musselkanaal MUSSELKANAAL"/>
    <s v="UIT"/>
    <s v="BOODSCH"/>
    <s v="boodschappen"/>
    <n v="364.7"/>
    <m/>
    <m/>
    <m/>
    <m/>
    <m/>
    <s v="Betaalautomaat 16:16 pasnr. 032"/>
    <s v=" "/>
    <m/>
    <m/>
  </r>
  <r>
    <n v="202305029"/>
    <x v="3"/>
    <s v="EUR"/>
    <x v="0"/>
    <x v="0"/>
    <d v="2023-02-27T00:00:00"/>
    <d v="2023-02-27T00:00:00"/>
    <n v="-4.93"/>
    <n v="332.48"/>
    <m/>
    <s v="Spar Enjoy Schatberg SEVENUM"/>
    <s v="UIT"/>
    <s v="BOODSCH"/>
    <s v="boodschappen"/>
    <n v="332.48"/>
    <m/>
    <m/>
    <m/>
    <m/>
    <m/>
    <s v="Betaalautomaat 16:54 pasnr. 032"/>
    <s v=" "/>
    <m/>
    <m/>
  </r>
  <r>
    <n v="202305032"/>
    <x v="3"/>
    <s v="EUR"/>
    <x v="0"/>
    <x v="0"/>
    <d v="2023-02-28T00:00:00"/>
    <d v="2023-02-28T00:00:00"/>
    <n v="-88.37"/>
    <n v="190.25"/>
    <m/>
    <s v="Lidl 475 Panningen PANNINGEN"/>
    <s v="UIT"/>
    <s v="BOODSCH"/>
    <s v="boodschappen"/>
    <n v="190.25"/>
    <m/>
    <m/>
    <m/>
    <m/>
    <m/>
    <s v="Betaalautomaat 12:53 pasnr. 032"/>
    <s v=" "/>
    <m/>
    <m/>
  </r>
  <r>
    <n v="202305033"/>
    <x v="3"/>
    <s v="EUR"/>
    <x v="0"/>
    <x v="0"/>
    <d v="2023-02-28T00:00:00"/>
    <d v="2023-02-28T00:00:00"/>
    <n v="-19.75"/>
    <n v="170.5"/>
    <m/>
    <s v="Jumbo Panningen PANNINGEN"/>
    <s v="UIT"/>
    <s v="BOODSCH"/>
    <s v="boodschappen"/>
    <n v="170.5"/>
    <m/>
    <m/>
    <m/>
    <m/>
    <m/>
    <s v="Betaalautomaat 13:08 pasnr. 032"/>
    <s v=" "/>
    <m/>
    <m/>
  </r>
  <r>
    <n v="202305039"/>
    <x v="3"/>
    <s v="EUR"/>
    <x v="0"/>
    <x v="74"/>
    <d v="2023-03-03T00:00:00"/>
    <d v="2023-03-03T00:00:00"/>
    <n v="-1.65"/>
    <n v="13.83"/>
    <m/>
    <s v="Spar Enjoy Schatberg SEVENUM"/>
    <s v="UIT"/>
    <s v="BOODSCH"/>
    <s v="boodschappen"/>
    <n v="13.83"/>
    <m/>
    <m/>
    <m/>
    <m/>
    <m/>
    <s v="Betaalautomaat 17:44 pasnr. 032"/>
    <s v=" "/>
    <m/>
    <m/>
  </r>
  <r>
    <n v="202305040"/>
    <x v="3"/>
    <s v="EUR"/>
    <x v="0"/>
    <x v="74"/>
    <d v="2023-03-05T00:00:00"/>
    <d v="2023-03-05T00:00:00"/>
    <n v="-2.1800000000000002"/>
    <n v="11.65"/>
    <m/>
    <s v="Polish Supermarkt Pann PANNINGEN"/>
    <s v="UIT"/>
    <s v="BOODSCH"/>
    <s v="boodschappen"/>
    <n v="11.65"/>
    <m/>
    <m/>
    <m/>
    <m/>
    <m/>
    <s v="Betaalautomaat 12:06 pasnr. 032"/>
    <s v=" "/>
    <m/>
    <m/>
  </r>
  <r>
    <n v="202305041"/>
    <x v="3"/>
    <s v="EUR"/>
    <x v="0"/>
    <x v="74"/>
    <d v="2023-03-05T00:00:00"/>
    <d v="2023-03-05T00:00:00"/>
    <n v="-14.03"/>
    <n v="-2.38"/>
    <m/>
    <s v="Lidl 475 Panningen PANNINGEN"/>
    <s v="UIT"/>
    <s v="BOODSCH"/>
    <s v="boodschappen"/>
    <n v="-2.38"/>
    <m/>
    <m/>
    <m/>
    <m/>
    <m/>
    <s v="Betaalautomaat 12:31 pasnr. 032"/>
    <s v=" "/>
    <m/>
    <m/>
  </r>
  <r>
    <n v="202305042"/>
    <x v="3"/>
    <s v="EUR"/>
    <x v="0"/>
    <x v="74"/>
    <d v="2023-03-05T00:00:00"/>
    <d v="2023-03-05T00:00:00"/>
    <n v="-6.99"/>
    <n v="-9.3699999999999992"/>
    <m/>
    <s v="Jumbo Panningen PANNINGEN"/>
    <s v="UIT"/>
    <s v="BOODSCH"/>
    <s v="boodschappen"/>
    <n v="-9.3699999999999992"/>
    <m/>
    <m/>
    <m/>
    <m/>
    <m/>
    <s v="Betaalautomaat 12:41 pasnr. 032"/>
    <s v=" "/>
    <m/>
    <m/>
  </r>
  <r>
    <n v="202305045"/>
    <x v="3"/>
    <s v="EUR"/>
    <x v="0"/>
    <x v="74"/>
    <d v="2023-03-09T00:00:00"/>
    <d v="2023-03-09T00:00:00"/>
    <n v="-3.44"/>
    <n v="365.45"/>
    <m/>
    <s v="Spar Enjoy Schatberg SEVENUM"/>
    <s v="UIT"/>
    <s v="BOODSCH"/>
    <s v="boodschappen"/>
    <n v="365.45"/>
    <m/>
    <m/>
    <m/>
    <m/>
    <m/>
    <s v="Betaalautomaat 12:15 pasnr. 032"/>
    <s v=" "/>
    <m/>
    <m/>
  </r>
  <r>
    <n v="202305046"/>
    <x v="3"/>
    <s v="EUR"/>
    <x v="0"/>
    <x v="74"/>
    <d v="2023-03-10T00:00:00"/>
    <d v="2023-03-10T00:00:00"/>
    <n v="-1.0900000000000001"/>
    <n v="364.36"/>
    <m/>
    <s v="Spar Enjoy Schatberg SEVENUM"/>
    <s v="UIT"/>
    <s v="BOODSCH"/>
    <s v="boodschappen"/>
    <n v="364.36"/>
    <m/>
    <m/>
    <m/>
    <m/>
    <m/>
    <s v="Betaalautomaat 12:57 pasnr. 032"/>
    <s v=" "/>
    <m/>
    <m/>
  </r>
  <r>
    <n v="202305047"/>
    <x v="3"/>
    <s v="EUR"/>
    <x v="0"/>
    <x v="74"/>
    <d v="2023-03-13T00:00:00"/>
    <d v="2023-03-13T00:00:00"/>
    <n v="-1.85"/>
    <n v="362.51"/>
    <m/>
    <s v="Spar Enjoy Schatberg SEVENUM"/>
    <s v="UIT"/>
    <s v="BOODSCH"/>
    <s v="boodschappen"/>
    <n v="362.51"/>
    <m/>
    <m/>
    <m/>
    <m/>
    <m/>
    <s v="Betaalautomaat 16:13 pasnr. 032"/>
    <s v=" "/>
    <m/>
    <m/>
  </r>
  <r>
    <n v="202305049"/>
    <x v="3"/>
    <s v="EUR"/>
    <x v="0"/>
    <x v="74"/>
    <d v="2023-03-14T00:00:00"/>
    <d v="2023-03-14T00:00:00"/>
    <n v="-14.78"/>
    <n v="325.73"/>
    <m/>
    <s v="Lidl 475 Panningen PANNINGEN"/>
    <s v="UIT"/>
    <s v="BOODSCH"/>
    <s v="boodschappen"/>
    <n v="325.73"/>
    <m/>
    <m/>
    <m/>
    <m/>
    <m/>
    <s v="Betaalautomaat 16:10 pasnr. 032"/>
    <s v=" "/>
    <m/>
    <m/>
  </r>
  <r>
    <n v="202305050"/>
    <x v="3"/>
    <s v="EUR"/>
    <x v="0"/>
    <x v="74"/>
    <d v="2023-03-17T00:00:00"/>
    <d v="2023-03-17T00:00:00"/>
    <n v="-42.85"/>
    <n v="282.88"/>
    <m/>
    <s v="Lidl 475 Panningen PANNINGEN"/>
    <s v="UIT"/>
    <s v="BOODSCH"/>
    <s v="boodschappen"/>
    <n v="282.88"/>
    <m/>
    <m/>
    <m/>
    <m/>
    <m/>
    <s v="Betaalautomaat 16:18 pasnr. 032"/>
    <s v=" "/>
    <m/>
    <m/>
  </r>
  <r>
    <n v="202305057"/>
    <x v="3"/>
    <s v="EUR"/>
    <x v="0"/>
    <x v="74"/>
    <d v="2023-03-25T00:00:00"/>
    <d v="2023-03-25T00:00:00"/>
    <n v="-26.42"/>
    <n v="391.72"/>
    <m/>
    <s v="Jumbo PhicoopSevenum SEVENUM"/>
    <s v="UIT"/>
    <s v="BOODSCH"/>
    <s v="boodschappen"/>
    <n v="391.72"/>
    <m/>
    <m/>
    <m/>
    <m/>
    <m/>
    <s v="Betaalautomaat 11:20 pasnr. 032"/>
    <s v=" "/>
    <m/>
    <m/>
  </r>
  <r>
    <n v="202305060"/>
    <x v="3"/>
    <s v="EUR"/>
    <x v="0"/>
    <x v="74"/>
    <d v="2023-03-27T00:00:00"/>
    <d v="2023-03-27T00:00:00"/>
    <n v="-2.99"/>
    <n v="339.9"/>
    <m/>
    <s v="Spar Enjoy Schatberg SEVENUM"/>
    <s v="UIT"/>
    <s v="BOODSCH"/>
    <s v="boodschappen"/>
    <n v="339.9"/>
    <m/>
    <m/>
    <m/>
    <m/>
    <m/>
    <s v="Betaalautomaat 10:10 pasnr. 032"/>
    <s v=" "/>
    <m/>
    <m/>
  </r>
  <r>
    <n v="202305063"/>
    <x v="3"/>
    <s v="EUR"/>
    <x v="0"/>
    <x v="74"/>
    <d v="2023-03-29T00:00:00"/>
    <d v="2023-03-29T00:00:00"/>
    <n v="-37"/>
    <n v="258.27"/>
    <m/>
    <s v="Lidl 475 Panningen PANNINGEN"/>
    <s v="UIT"/>
    <s v="BOODSCH"/>
    <s v="boodschappen"/>
    <n v="258.27"/>
    <m/>
    <m/>
    <m/>
    <m/>
    <m/>
    <s v="Betaalautomaat 16:40 pasnr. 032"/>
    <s v=" "/>
    <m/>
    <m/>
  </r>
  <r>
    <n v="202305068"/>
    <x v="3"/>
    <s v="EUR"/>
    <x v="0"/>
    <x v="75"/>
    <d v="2023-04-05T00:00:00"/>
    <d v="2023-04-05T00:00:00"/>
    <n v="-34.11"/>
    <n v="75.84"/>
    <m/>
    <s v="Lidl 475 Panningen PANNINGEN"/>
    <s v="UIT"/>
    <s v="BOODSCH"/>
    <s v="boodschappen"/>
    <n v="75.84"/>
    <m/>
    <m/>
    <m/>
    <m/>
    <m/>
    <s v="Betaalautomaat 14:46 pasnr. 032"/>
    <s v=" "/>
    <m/>
    <m/>
  </r>
  <r>
    <n v="202305069"/>
    <x v="3"/>
    <s v="EUR"/>
    <x v="0"/>
    <x v="75"/>
    <d v="2023-04-07T00:00:00"/>
    <d v="2023-04-07T00:00:00"/>
    <n v="-2.89"/>
    <n v="72.95"/>
    <m/>
    <s v="Spar Enjoy Schatberg SEVENUM"/>
    <s v="UIT"/>
    <s v="BOODSCH"/>
    <s v="boodschappen"/>
    <n v="72.95"/>
    <m/>
    <m/>
    <m/>
    <m/>
    <m/>
    <s v="Betaalautomaat 18:59 pasnr. 032"/>
    <s v=" "/>
    <m/>
    <m/>
  </r>
  <r>
    <n v="202305071"/>
    <x v="3"/>
    <s v="EUR"/>
    <x v="0"/>
    <x v="75"/>
    <d v="2023-04-09T00:00:00"/>
    <d v="2023-04-09T00:00:00"/>
    <n v="-3.69"/>
    <n v="66.760000000000005"/>
    <m/>
    <s v="Spar Enjoy Schatberg SEVENUM"/>
    <s v="UIT"/>
    <s v="BOODSCH"/>
    <s v="boodschappen"/>
    <n v="66.760000000000005"/>
    <m/>
    <m/>
    <m/>
    <m/>
    <m/>
    <s v="Betaalautomaat 11:41 pasnr. 032"/>
    <s v=" "/>
    <m/>
    <m/>
  </r>
  <r>
    <n v="202305073"/>
    <x v="3"/>
    <s v="EUR"/>
    <x v="0"/>
    <x v="75"/>
    <d v="2023-04-10T00:00:00"/>
    <d v="2023-04-10T00:00:00"/>
    <n v="-1.95"/>
    <n v="59.51"/>
    <m/>
    <s v="Spar Enjoy Schatberg SEVENUM"/>
    <s v="UIT"/>
    <s v="BOODSCH"/>
    <s v="boodschappen"/>
    <n v="59.51"/>
    <m/>
    <m/>
    <m/>
    <m/>
    <m/>
    <s v="Betaalautomaat 13:05 pasnr. 032"/>
    <s v=" "/>
    <m/>
    <m/>
  </r>
  <r>
    <n v="202305075"/>
    <x v="3"/>
    <s v="EUR"/>
    <x v="0"/>
    <x v="75"/>
    <d v="2023-04-12T00:00:00"/>
    <d v="2023-04-12T00:00:00"/>
    <n v="-18.12"/>
    <n v="32.39"/>
    <m/>
    <s v="Jumbo Panningen PANNINGEN"/>
    <s v="UIT"/>
    <s v="BOODSCH"/>
    <s v="boodschappen"/>
    <n v="32.39"/>
    <m/>
    <m/>
    <m/>
    <m/>
    <m/>
    <s v="Betaalautomaat 13:46 pasnr. 032"/>
    <s v=" "/>
    <m/>
    <m/>
  </r>
  <r>
    <n v="202305078"/>
    <x v="3"/>
    <s v="EUR"/>
    <x v="0"/>
    <x v="75"/>
    <d v="2023-04-12T00:00:00"/>
    <d v="2023-04-12T00:00:00"/>
    <n v="-4.25"/>
    <n v="14.95"/>
    <m/>
    <s v="Jan Reijnen B.V. PANNINGEN"/>
    <s v="UIT"/>
    <s v="BOODSCH"/>
    <s v="boodschappen"/>
    <n v="14.95"/>
    <m/>
    <m/>
    <m/>
    <m/>
    <m/>
    <s v="Betaalautomaat 14:14 pasnr. 032"/>
    <s v=" "/>
    <m/>
    <m/>
  </r>
  <r>
    <n v="202305079"/>
    <x v="3"/>
    <s v="EUR"/>
    <x v="0"/>
    <x v="75"/>
    <d v="2023-04-12T00:00:00"/>
    <d v="2023-04-12T00:00:00"/>
    <n v="-18.829999999999998"/>
    <n v="-3.88"/>
    <m/>
    <s v="Lidl 475 Panningen PANNINGEN"/>
    <s v="UIT"/>
    <s v="BOODSCH"/>
    <s v="boodschappen"/>
    <n v="-3.88"/>
    <m/>
    <m/>
    <m/>
    <m/>
    <m/>
    <s v="Betaalautomaat 14:34 pasnr. 032"/>
    <s v=" "/>
    <m/>
    <m/>
  </r>
  <r>
    <n v="202305083"/>
    <x v="3"/>
    <s v="EUR"/>
    <x v="0"/>
    <x v="75"/>
    <d v="2023-04-15T00:00:00"/>
    <d v="2023-04-15T00:00:00"/>
    <n v="-29.92"/>
    <n v="141.69999999999999"/>
    <m/>
    <s v="Lidl 475 Panningen PANNINGEN"/>
    <s v="UIT"/>
    <s v="BOODSCH"/>
    <s v="boodschappen"/>
    <n v="141.69999999999999"/>
    <m/>
    <m/>
    <m/>
    <m/>
    <m/>
    <s v="Betaalautomaat 15:43 pasnr. 032"/>
    <s v=" "/>
    <m/>
    <m/>
  </r>
  <r>
    <n v="202305084"/>
    <x v="3"/>
    <s v="EUR"/>
    <x v="0"/>
    <x v="75"/>
    <d v="2023-04-15T00:00:00"/>
    <d v="2023-04-15T00:00:00"/>
    <n v="-25.59"/>
    <n v="116.11"/>
    <m/>
    <s v="Lidl 475 Panningen PANNINGEN"/>
    <s v="UIT"/>
    <s v="BOODSCH"/>
    <s v="boodschappen"/>
    <n v="116.11"/>
    <m/>
    <m/>
    <m/>
    <m/>
    <m/>
    <s v="Betaalautomaat 15:44 pasnr. 032"/>
    <s v=" "/>
    <m/>
    <m/>
  </r>
  <r>
    <n v="202305093"/>
    <x v="3"/>
    <s v="EUR"/>
    <x v="0"/>
    <x v="75"/>
    <d v="2023-04-19T00:00:00"/>
    <d v="2023-04-19T00:00:00"/>
    <n v="-12.81"/>
    <n v="50.06"/>
    <m/>
    <s v="Jumbo Sevenum SEVENUM"/>
    <s v="UIT"/>
    <s v="BOODSCH"/>
    <s v="boodschappen"/>
    <n v="50.06"/>
    <m/>
    <m/>
    <m/>
    <m/>
    <m/>
    <s v="Betaalautomaat 19:28 pasnr. 032"/>
    <s v=" "/>
    <m/>
    <m/>
  </r>
  <r>
    <n v="202305099"/>
    <x v="3"/>
    <s v="EUR"/>
    <x v="0"/>
    <x v="75"/>
    <d v="2023-04-21T00:00:00"/>
    <d v="2023-04-21T00:00:00"/>
    <n v="-12.6"/>
    <n v="178.16"/>
    <m/>
    <s v="Lidl 475 Panningen PANNINGEN"/>
    <s v="UIT"/>
    <s v="BOODSCH"/>
    <s v="boodschappen"/>
    <n v="178.16"/>
    <m/>
    <m/>
    <m/>
    <m/>
    <m/>
    <s v="Betaalautomaat 18:00 pasnr. 032"/>
    <s v=" "/>
    <m/>
    <m/>
  </r>
  <r>
    <n v="202305107"/>
    <x v="3"/>
    <s v="EUR"/>
    <x v="0"/>
    <x v="75"/>
    <d v="2023-04-26T00:00:00"/>
    <d v="2023-04-26T00:00:00"/>
    <n v="-17.34"/>
    <n v="529.41"/>
    <m/>
    <s v="Lidl 475 Panningen PANNINGEN"/>
    <s v="UIT"/>
    <s v="BOODSCH"/>
    <s v="boodschappen"/>
    <n v="529.41"/>
    <m/>
    <m/>
    <m/>
    <m/>
    <m/>
    <s v="Betaalautomaat 16:27 pasnr. 032"/>
    <s v=" "/>
    <m/>
    <m/>
  </r>
  <r>
    <n v="202305108"/>
    <x v="3"/>
    <s v="EUR"/>
    <x v="0"/>
    <x v="75"/>
    <d v="2023-04-26T00:00:00"/>
    <d v="2023-04-26T00:00:00"/>
    <n v="-9.86"/>
    <n v="519.54999999999995"/>
    <m/>
    <s v="Jumbo Panningen PANNINGEN"/>
    <s v="UIT"/>
    <s v="BOODSCH"/>
    <s v="boodschappen"/>
    <n v="519.54999999999995"/>
    <m/>
    <m/>
    <m/>
    <m/>
    <m/>
    <s v="Betaalautomaat 16:41 pasnr. 032"/>
    <s v=" "/>
    <m/>
    <m/>
  </r>
  <r>
    <n v="202305109"/>
    <x v="3"/>
    <s v="EUR"/>
    <x v="0"/>
    <x v="75"/>
    <d v="2023-04-26T00:00:00"/>
    <d v="2023-04-26T00:00:00"/>
    <n v="-2"/>
    <n v="517.54999999999995"/>
    <m/>
    <s v="Jumbo Panningen PANNINGEN"/>
    <s v="UIT"/>
    <s v="BOODSCH"/>
    <s v="boodschappen"/>
    <n v="517.54999999999995"/>
    <m/>
    <m/>
    <m/>
    <m/>
    <m/>
    <s v="Betaalautomaat 16:43 pasnr. 032"/>
    <s v=" "/>
    <m/>
    <m/>
  </r>
  <r>
    <n v="202305112"/>
    <x v="3"/>
    <s v="EUR"/>
    <x v="0"/>
    <x v="75"/>
    <d v="2023-04-30T00:00:00"/>
    <d v="2023-04-30T00:00:00"/>
    <n v="-23.45"/>
    <n v="483.72"/>
    <m/>
    <s v="Lidl 475 Panningen PANNINGEN"/>
    <s v="UIT"/>
    <s v="BOODSCH"/>
    <s v="boodschappen"/>
    <n v="483.72"/>
    <m/>
    <m/>
    <m/>
    <m/>
    <m/>
    <s v="Betaalautomaat 12:06 pasnr. 032"/>
    <s v=" "/>
    <m/>
    <m/>
  </r>
  <r>
    <n v="202305113"/>
    <x v="3"/>
    <s v="EUR"/>
    <x v="0"/>
    <x v="75"/>
    <d v="2023-04-30T00:00:00"/>
    <d v="2023-04-30T00:00:00"/>
    <n v="-55.63"/>
    <n v="428.09"/>
    <m/>
    <s v="Lidl 475 Panningen PANNINGEN"/>
    <s v="UIT"/>
    <s v="BOODSCH"/>
    <s v="boodschappen"/>
    <n v="428.09"/>
    <m/>
    <m/>
    <m/>
    <m/>
    <m/>
    <s v="Betaalautomaat 12:07 pasnr. 032"/>
    <s v=" "/>
    <m/>
    <m/>
  </r>
  <r>
    <n v="202305121"/>
    <x v="3"/>
    <s v="EUR"/>
    <x v="0"/>
    <x v="76"/>
    <d v="2023-05-03T00:00:00"/>
    <d v="2023-05-03T00:00:00"/>
    <n v="-15.92"/>
    <n v="230.58"/>
    <m/>
    <s v="Jan Linders Sevenum SEVENUM"/>
    <s v="UIT"/>
    <s v="BOODSCH"/>
    <s v="boodschappen"/>
    <n v="230.58"/>
    <m/>
    <m/>
    <m/>
    <m/>
    <m/>
    <s v="Betaalautomaat 16:30 pasnr. 032"/>
    <s v=" "/>
    <m/>
    <m/>
  </r>
  <r>
    <n v="202305122"/>
    <x v="3"/>
    <s v="EUR"/>
    <x v="0"/>
    <x v="76"/>
    <d v="2023-05-05T00:00:00"/>
    <d v="2023-05-05T00:00:00"/>
    <n v="-4.05"/>
    <n v="226.53"/>
    <m/>
    <s v="Spar Enjoy Schatberg SEVENUM"/>
    <s v="UIT"/>
    <s v="BOODSCH"/>
    <s v="boodschappen"/>
    <n v="226.53"/>
    <m/>
    <m/>
    <m/>
    <m/>
    <m/>
    <s v="Betaalautomaat 17:36 pasnr. 032"/>
    <s v=" "/>
    <m/>
    <m/>
  </r>
  <r>
    <n v="202305127"/>
    <x v="3"/>
    <s v="EUR"/>
    <x v="0"/>
    <x v="76"/>
    <d v="2023-05-06T00:00:00"/>
    <d v="2023-05-06T00:00:00"/>
    <n v="-7.56"/>
    <n v="187.88"/>
    <m/>
    <s v="Lidl 475 Panningen PANNINGEN"/>
    <s v="UIT"/>
    <s v="BOODSCH"/>
    <s v="boodschappen"/>
    <n v="187.88"/>
    <m/>
    <m/>
    <m/>
    <m/>
    <m/>
    <s v="Betaalautomaat 17:17 pasnr. 032"/>
    <s v=" "/>
    <m/>
    <m/>
  </r>
  <r>
    <n v="202305128"/>
    <x v="3"/>
    <s v="EUR"/>
    <x v="0"/>
    <x v="76"/>
    <d v="2023-05-06T00:00:00"/>
    <d v="2023-05-06T00:00:00"/>
    <n v="-16.010000000000002"/>
    <n v="171.87"/>
    <m/>
    <s v="Lidl 475 Panningen PANNINGEN"/>
    <s v="UIT"/>
    <s v="BOODSCH"/>
    <s v="boodschappen"/>
    <n v="171.87"/>
    <m/>
    <m/>
    <m/>
    <m/>
    <m/>
    <s v="Betaalautomaat 17:17 pasnr. 032"/>
    <s v=" "/>
    <m/>
    <m/>
  </r>
  <r>
    <n v="202305163"/>
    <x v="7"/>
    <m/>
    <x v="0"/>
    <x v="75"/>
    <s v="31/04/2023"/>
    <m/>
    <n v="59.09"/>
    <m/>
    <m/>
    <s v="Iris Kocks TOTAAL 74,14"/>
    <s v="UIT"/>
    <s v="BOODSCH"/>
    <s v="boodschappen"/>
    <m/>
    <m/>
    <m/>
    <m/>
    <m/>
    <m/>
    <m/>
    <m/>
    <m/>
    <m/>
  </r>
  <r>
    <n v="202305163"/>
    <x v="7"/>
    <m/>
    <x v="0"/>
    <x v="76"/>
    <d v="2023-05-07T00:00:00"/>
    <m/>
    <n v="2.5900000000000034"/>
    <m/>
    <m/>
    <s v="Iris Kocks TOTAAL 74,14"/>
    <s v="UIT"/>
    <s v="BOODSCH"/>
    <s v="boodschappen"/>
    <m/>
    <m/>
    <m/>
    <m/>
    <m/>
    <m/>
    <m/>
    <m/>
    <m/>
    <m/>
  </r>
  <r>
    <n v="202305163"/>
    <x v="7"/>
    <m/>
    <x v="0"/>
    <x v="76"/>
    <d v="2023-05-07T00:00:00"/>
    <m/>
    <n v="8.85"/>
    <m/>
    <m/>
    <s v="Iris Kocks LOPENDE REKENING"/>
    <s v="UIT"/>
    <s v="BOODSCH"/>
    <s v="boodschappen"/>
    <m/>
    <m/>
    <m/>
    <m/>
    <m/>
    <m/>
    <m/>
    <m/>
    <m/>
    <m/>
  </r>
  <r>
    <n v="8"/>
    <x v="1"/>
    <m/>
    <x v="1"/>
    <x v="1"/>
    <d v="2017-01-02T00:00:00"/>
    <d v="2017-01-02T00:00:00"/>
    <n v="-0.99"/>
    <n v="0.99"/>
    <m/>
    <s v="itunes"/>
    <s v="UIT"/>
    <s v="DIV"/>
    <s v="itunes"/>
    <m/>
    <m/>
    <m/>
    <m/>
    <m/>
    <m/>
    <m/>
    <m/>
    <m/>
    <m/>
  </r>
  <r>
    <n v="18"/>
    <x v="1"/>
    <m/>
    <x v="1"/>
    <x v="2"/>
    <d v="2017-02-02T00:00:00"/>
    <d v="2017-02-02T00:00:00"/>
    <n v="-5"/>
    <n v="5"/>
    <m/>
    <s v="paypal"/>
    <s v="UIT"/>
    <s v="DIV"/>
    <s v="div"/>
    <m/>
    <m/>
    <m/>
    <m/>
    <m/>
    <m/>
    <m/>
    <m/>
    <m/>
    <m/>
  </r>
  <r>
    <n v="19"/>
    <x v="1"/>
    <m/>
    <x v="1"/>
    <x v="2"/>
    <d v="2017-02-02T00:00:00"/>
    <d v="2017-02-02T00:00:00"/>
    <n v="-11.24"/>
    <n v="11.24"/>
    <m/>
    <s v="paypal"/>
    <s v="UIT"/>
    <s v="DIV"/>
    <s v="div"/>
    <m/>
    <m/>
    <m/>
    <m/>
    <m/>
    <m/>
    <m/>
    <m/>
    <m/>
    <m/>
  </r>
  <r>
    <n v="20"/>
    <x v="1"/>
    <m/>
    <x v="1"/>
    <x v="2"/>
    <d v="2017-02-02T00:00:00"/>
    <d v="2017-02-02T00:00:00"/>
    <n v="-0.99"/>
    <n v="0.99"/>
    <m/>
    <s v="itunes"/>
    <s v="UIT"/>
    <s v="DIV"/>
    <s v="itunes"/>
    <m/>
    <m/>
    <m/>
    <m/>
    <m/>
    <m/>
    <m/>
    <m/>
    <m/>
    <m/>
  </r>
  <r>
    <n v="24"/>
    <x v="1"/>
    <m/>
    <x v="1"/>
    <x v="2"/>
    <d v="2017-02-27T00:00:00"/>
    <d v="2017-02-27T00:00:00"/>
    <n v="-1.4"/>
    <n v="1.4"/>
    <m/>
    <s v="relay"/>
    <s v="UIT"/>
    <s v="DIV"/>
    <s v="onbekend"/>
    <m/>
    <m/>
    <m/>
    <m/>
    <m/>
    <m/>
    <m/>
    <m/>
    <m/>
    <m/>
  </r>
  <r>
    <n v="25"/>
    <x v="1"/>
    <m/>
    <x v="1"/>
    <x v="2"/>
    <d v="2017-02-27T00:00:00"/>
    <d v="2017-02-27T00:00:00"/>
    <n v="18.98"/>
    <n v="18.98"/>
    <m/>
    <s v="boek Yoga Sutras"/>
    <s v="UIT"/>
    <s v="DIV"/>
    <s v="boeken"/>
    <m/>
    <m/>
    <m/>
    <m/>
    <m/>
    <m/>
    <m/>
    <m/>
    <m/>
    <m/>
  </r>
  <r>
    <n v="26"/>
    <x v="1"/>
    <m/>
    <x v="1"/>
    <x v="43"/>
    <d v="2017-03-02T00:00:00"/>
    <d v="2017-03-02T00:00:00"/>
    <n v="-1.99"/>
    <n v="1.99"/>
    <m/>
    <s v="paypal"/>
    <s v="UIT"/>
    <s v="DIV"/>
    <s v="div"/>
    <m/>
    <m/>
    <m/>
    <m/>
    <m/>
    <m/>
    <m/>
    <m/>
    <m/>
    <m/>
  </r>
  <r>
    <n v="27"/>
    <x v="1"/>
    <m/>
    <x v="1"/>
    <x v="43"/>
    <d v="2017-03-03T00:00:00"/>
    <d v="2017-03-03T00:00:00"/>
    <n v="-1.99"/>
    <n v="1.99"/>
    <m/>
    <s v="PRLV SEPA PAYPAL EUROPE S.A.R.L. ET CIE S.C.A ECH/"/>
    <s v="UIT"/>
    <s v="DIV"/>
    <s v="div"/>
    <m/>
    <m/>
    <m/>
    <m/>
    <m/>
    <m/>
    <m/>
    <m/>
    <m/>
    <m/>
  </r>
  <r>
    <n v="28"/>
    <x v="1"/>
    <m/>
    <x v="1"/>
    <x v="43"/>
    <d v="2017-03-03T00:00:00"/>
    <d v="2017-03-03T00:00:00"/>
    <n v="-0.99"/>
    <n v="0.99"/>
    <m/>
    <s v="FACTURE CARTE DU 020317 ITUNES.COM/BILL CARTE 4974XXXX"/>
    <s v="UIT"/>
    <s v="DIV"/>
    <s v="itunes"/>
    <m/>
    <m/>
    <m/>
    <m/>
    <m/>
    <m/>
    <m/>
    <m/>
    <m/>
    <m/>
  </r>
  <r>
    <n v="40"/>
    <x v="1"/>
    <m/>
    <x v="1"/>
    <x v="43"/>
    <d v="2017-03-30T00:00:00"/>
    <d v="2017-03-30T00:00:00"/>
    <n v="-2.8"/>
    <n v="2.8"/>
    <m/>
    <s v="FACTURE CARTE DU 280317 TRANSAVIA CARTE 4974XXXXXXXX87"/>
    <s v="UIT"/>
    <s v="DIV"/>
    <s v="div"/>
    <m/>
    <m/>
    <m/>
    <m/>
    <m/>
    <m/>
    <m/>
    <m/>
    <m/>
    <m/>
  </r>
  <r>
    <n v="41"/>
    <x v="1"/>
    <m/>
    <x v="1"/>
    <x v="44"/>
    <d v="2017-04-03T00:00:00"/>
    <d v="2017-04-03T00:00:00"/>
    <n v="-0.99"/>
    <n v="0.99"/>
    <m/>
    <s v="FACTURE CARTE DU 020417 ITUNES.COM/BILL CARTE 4974XXXX"/>
    <s v="UIT"/>
    <s v="DIV"/>
    <s v="itunes"/>
    <m/>
    <m/>
    <m/>
    <m/>
    <m/>
    <m/>
    <m/>
    <m/>
    <m/>
    <m/>
  </r>
  <r>
    <n v="47"/>
    <x v="1"/>
    <m/>
    <x v="1"/>
    <x v="45"/>
    <d v="2017-05-03T00:00:00"/>
    <d v="2017-05-03T00:00:00"/>
    <n v="-0.99"/>
    <n v="0.99"/>
    <m/>
    <s v="FACTURE CARTE DU 020517 ITUNES.COM/BILL CARTE 4974XXXX"/>
    <s v="UIT"/>
    <s v="DIV"/>
    <s v="itunes"/>
    <m/>
    <m/>
    <m/>
    <m/>
    <m/>
    <m/>
    <m/>
    <m/>
    <m/>
    <m/>
  </r>
  <r>
    <n v="54"/>
    <x v="1"/>
    <m/>
    <x v="1"/>
    <x v="46"/>
    <d v="2017-06-06T00:00:00"/>
    <d v="2017-06-06T00:00:00"/>
    <n v="-0.99"/>
    <n v="0.99"/>
    <m/>
    <s v="FACTURE CARTE DU 020617 ITUNES.COM/BILL CARTE 4974XXXX"/>
    <s v="UIT"/>
    <s v="DIV"/>
    <s v="itunes"/>
    <m/>
    <m/>
    <m/>
    <m/>
    <m/>
    <m/>
    <m/>
    <m/>
    <m/>
    <m/>
  </r>
  <r>
    <n v="58"/>
    <x v="1"/>
    <m/>
    <x v="1"/>
    <x v="36"/>
    <d v="2017-07-03T00:00:00"/>
    <d v="2017-07-03T00:00:00"/>
    <n v="-0.99"/>
    <n v="0.99"/>
    <m/>
    <s v="FACTURE CARTE DU 020717 ITUNES.COM/BILL CARTE 4974XXXX"/>
    <s v="UIT"/>
    <s v="DIV"/>
    <s v="itunes"/>
    <m/>
    <m/>
    <m/>
    <m/>
    <m/>
    <m/>
    <m/>
    <m/>
    <m/>
    <m/>
  </r>
  <r>
    <n v="67"/>
    <x v="1"/>
    <m/>
    <x v="1"/>
    <x v="47"/>
    <d v="2017-08-03T00:00:00"/>
    <d v="2017-08-03T00:00:00"/>
    <n v="-0.99"/>
    <n v="0.99"/>
    <m/>
    <s v="FACTURE CARTE DU 020817 ITUNES.COM/BILL CARTE 4974XXXX"/>
    <s v="UIT"/>
    <s v="DIV"/>
    <s v="itunes"/>
    <m/>
    <m/>
    <m/>
    <m/>
    <m/>
    <m/>
    <m/>
    <m/>
    <m/>
    <m/>
  </r>
  <r>
    <n v="73"/>
    <x v="1"/>
    <m/>
    <x v="1"/>
    <x v="48"/>
    <d v="2017-09-04T00:00:00"/>
    <d v="2017-09-04T00:00:00"/>
    <n v="-0.99"/>
    <n v="0.99"/>
    <m/>
    <s v="FACTURE CARTE DU 020917 ITUNES.COM/BILL CARTE 4974XXXX"/>
    <s v="UIT"/>
    <s v="DIV"/>
    <s v="itunes"/>
    <m/>
    <m/>
    <m/>
    <m/>
    <m/>
    <m/>
    <m/>
    <m/>
    <m/>
    <m/>
  </r>
  <r>
    <n v="78"/>
    <x v="1"/>
    <m/>
    <x v="1"/>
    <x v="3"/>
    <d v="2017-10-04T00:00:00"/>
    <d v="2017-10-04T00:00:00"/>
    <n v="-0.99"/>
    <n v="0.99"/>
    <m/>
    <s v="FACTURE CARTE DU 031017 ITUNES.COM/BILL CARTE 4974XXXX"/>
    <s v="UIT"/>
    <s v="DIV"/>
    <s v="itunes"/>
    <m/>
    <m/>
    <m/>
    <m/>
    <m/>
    <m/>
    <m/>
    <m/>
    <m/>
    <m/>
  </r>
  <r>
    <n v="80"/>
    <x v="1"/>
    <m/>
    <x v="1"/>
    <x v="3"/>
    <d v="2017-10-09T00:00:00"/>
    <d v="2017-10-09T00:00:00"/>
    <n v="-6.01"/>
    <n v="6.01"/>
    <m/>
    <s v="FACTURE CARTE DU 061017 AMAZON DIGITAL CARTE 4974XXXXX"/>
    <s v="UIT"/>
    <s v="DIV"/>
    <s v="boeken"/>
    <m/>
    <m/>
    <m/>
    <m/>
    <m/>
    <m/>
    <m/>
    <m/>
    <m/>
    <m/>
  </r>
  <r>
    <n v="90"/>
    <x v="1"/>
    <m/>
    <x v="1"/>
    <x v="4"/>
    <d v="2017-11-06T00:00:00"/>
    <d v="2017-11-06T00:00:00"/>
    <n v="-0.99"/>
    <n v="0.99"/>
    <m/>
    <s v="FACTURE CARTE DU 021117 ITUNES.COM/BILL CARTE 4974XXXX"/>
    <s v="UIT"/>
    <s v="DIV"/>
    <s v="itunes"/>
    <m/>
    <m/>
    <m/>
    <m/>
    <m/>
    <m/>
    <m/>
    <m/>
    <m/>
    <m/>
  </r>
  <r>
    <n v="92"/>
    <x v="1"/>
    <m/>
    <x v="1"/>
    <x v="4"/>
    <d v="2017-11-21T00:00:00"/>
    <d v="2017-11-21T00:00:00"/>
    <n v="-2.99"/>
    <n v="2.99"/>
    <m/>
    <s v="FACTURE CARTE DU 201117 AMAZON DIGITAL CARTE 4974XXXXX"/>
    <s v="UIT"/>
    <s v="DIV"/>
    <s v="boeken"/>
    <m/>
    <m/>
    <m/>
    <m/>
    <m/>
    <m/>
    <m/>
    <m/>
    <m/>
    <m/>
  </r>
  <r>
    <n v="97"/>
    <x v="1"/>
    <m/>
    <x v="1"/>
    <x v="5"/>
    <d v="2017-12-05T00:00:00"/>
    <d v="2017-12-05T00:00:00"/>
    <n v="-0.99"/>
    <n v="0.99"/>
    <m/>
    <s v="FACTURE CARTE DU 021217 ITUNES.COM/BILL CARTE 4974XXXX"/>
    <s v="UIT"/>
    <s v="DIV"/>
    <s v="itunes"/>
    <m/>
    <m/>
    <m/>
    <m/>
    <m/>
    <m/>
    <m/>
    <m/>
    <m/>
    <m/>
  </r>
  <r>
    <n v="103"/>
    <x v="5"/>
    <m/>
    <x v="1"/>
    <x v="2"/>
    <d v="2017-02-23T00:00:00"/>
    <d v="2017-02-23T00:00:00"/>
    <n v="-10"/>
    <n v="10"/>
    <m/>
    <s v="kas tekort"/>
    <s v="UIT"/>
    <s v="DIV"/>
    <s v="kasverschil"/>
    <m/>
    <m/>
    <m/>
    <m/>
    <m/>
    <m/>
    <m/>
    <m/>
    <m/>
    <m/>
  </r>
  <r>
    <n v="104"/>
    <x v="5"/>
    <m/>
    <x v="1"/>
    <x v="43"/>
    <d v="2017-03-04T00:00:00"/>
    <d v="2017-03-04T00:00:00"/>
    <n v="-1.5"/>
    <n v="1.5"/>
    <m/>
    <s v="muis"/>
    <s v="UIT"/>
    <s v="DIV"/>
    <s v="div"/>
    <m/>
    <m/>
    <m/>
    <m/>
    <m/>
    <m/>
    <m/>
    <m/>
    <m/>
    <m/>
  </r>
  <r>
    <n v="105"/>
    <x v="5"/>
    <m/>
    <x v="1"/>
    <x v="43"/>
    <d v="2017-03-04T00:00:00"/>
    <d v="2017-03-04T00:00:00"/>
    <n v="-4.3499999999999996"/>
    <n v="4.3499999999999996"/>
    <m/>
    <s v="visitekaartjes"/>
    <s v="UIT"/>
    <s v="DIV"/>
    <s v="div"/>
    <m/>
    <m/>
    <m/>
    <m/>
    <m/>
    <m/>
    <m/>
    <m/>
    <m/>
    <m/>
  </r>
  <r>
    <n v="106"/>
    <x v="5"/>
    <m/>
    <x v="1"/>
    <x v="43"/>
    <d v="2017-03-05T00:00:00"/>
    <d v="2017-03-05T00:00:00"/>
    <n v="-2.65"/>
    <n v="2.65"/>
    <m/>
    <s v="kastekort 4 dgn"/>
    <s v="UIT"/>
    <s v="DIV"/>
    <s v="kasverschil"/>
    <m/>
    <m/>
    <m/>
    <m/>
    <m/>
    <m/>
    <m/>
    <m/>
    <m/>
    <m/>
  </r>
  <r>
    <n v="108"/>
    <x v="5"/>
    <m/>
    <x v="1"/>
    <x v="43"/>
    <d v="2017-03-12T00:00:00"/>
    <d v="2017-03-12T00:00:00"/>
    <n v="-4.5999999999999996"/>
    <n v="4.5999999999999996"/>
    <m/>
    <s v="kastekort 7 dgn"/>
    <s v="UIT"/>
    <s v="DIV"/>
    <s v="kasverschil"/>
    <m/>
    <m/>
    <m/>
    <m/>
    <m/>
    <m/>
    <m/>
    <m/>
    <m/>
    <m/>
  </r>
  <r>
    <n v="110"/>
    <x v="5"/>
    <m/>
    <x v="1"/>
    <x v="43"/>
    <d v="2017-03-21T00:00:00"/>
    <d v="2017-03-21T00:00:00"/>
    <n v="-4.0999999999999996"/>
    <n v="4.0999999999999996"/>
    <m/>
    <s v="kastdkort 9 dgn"/>
    <s v="UIT"/>
    <s v="DIV"/>
    <s v="kasverschil"/>
    <m/>
    <m/>
    <m/>
    <m/>
    <m/>
    <m/>
    <m/>
    <m/>
    <m/>
    <m/>
  </r>
  <r>
    <n v="116"/>
    <x v="5"/>
    <m/>
    <x v="1"/>
    <x v="43"/>
    <d v="2017-03-27T00:00:00"/>
    <d v="2017-03-27T00:00:00"/>
    <n v="-19.100000000000001"/>
    <n v="19.100000000000001"/>
    <m/>
    <s v="kastekort 6 dgn wisselgeld supermarkt???"/>
    <s v="UIT"/>
    <s v="DIV"/>
    <s v="kasverschil"/>
    <m/>
    <m/>
    <m/>
    <m/>
    <m/>
    <m/>
    <m/>
    <m/>
    <m/>
    <m/>
  </r>
  <r>
    <n v="117"/>
    <x v="5"/>
    <m/>
    <x v="1"/>
    <x v="43"/>
    <d v="2017-03-27T00:00:00"/>
    <d v="2017-03-27T00:00:00"/>
    <n v="-4"/>
    <n v="4"/>
    <m/>
    <s v="ontbijt"/>
    <s v="UIT"/>
    <s v="DIV"/>
    <s v="div"/>
    <m/>
    <m/>
    <m/>
    <m/>
    <m/>
    <m/>
    <m/>
    <m/>
    <m/>
    <m/>
  </r>
  <r>
    <n v="122"/>
    <x v="5"/>
    <m/>
    <x v="1"/>
    <x v="43"/>
    <d v="2017-03-31T00:00:00"/>
    <d v="2017-03-31T00:00:00"/>
    <n v="-0.4"/>
    <n v="0.4"/>
    <m/>
    <s v="kasverschil"/>
    <s v="UIT"/>
    <s v="DIV"/>
    <s v="kasverschil"/>
    <m/>
    <m/>
    <m/>
    <m/>
    <m/>
    <m/>
    <m/>
    <m/>
    <m/>
    <m/>
  </r>
  <r>
    <n v="127"/>
    <x v="5"/>
    <m/>
    <x v="1"/>
    <x v="43"/>
    <d v="2017-03-31T00:00:00"/>
    <d v="2017-03-31T00:00:00"/>
    <n v="-0.4"/>
    <n v="0.4"/>
    <m/>
    <s v="kastekort"/>
    <s v="UIT"/>
    <s v="DIV"/>
    <s v="kasverschil"/>
    <m/>
    <m/>
    <m/>
    <m/>
    <m/>
    <m/>
    <m/>
    <m/>
    <m/>
    <m/>
  </r>
  <r>
    <n v="130"/>
    <x v="5"/>
    <m/>
    <x v="1"/>
    <x v="44"/>
    <d v="2017-04-01T00:00:00"/>
    <d v="2017-04-01T00:00:00"/>
    <n v="-0.7"/>
    <n v="0.7"/>
    <m/>
    <s v="kasverschil"/>
    <s v="UIT"/>
    <s v="DIV"/>
    <s v="kasverschil"/>
    <m/>
    <m/>
    <m/>
    <m/>
    <m/>
    <m/>
    <m/>
    <m/>
    <m/>
    <m/>
  </r>
  <r>
    <n v="140"/>
    <x v="5"/>
    <m/>
    <x v="1"/>
    <x v="44"/>
    <d v="2017-04-07T00:00:00"/>
    <d v="2017-04-07T00:00:00"/>
    <n v="-1"/>
    <n v="1"/>
    <m/>
    <s v="touw"/>
    <s v="UIT"/>
    <s v="DIV"/>
    <s v="div"/>
    <m/>
    <m/>
    <m/>
    <m/>
    <m/>
    <m/>
    <m/>
    <m/>
    <m/>
    <m/>
  </r>
  <r>
    <n v="141"/>
    <x v="5"/>
    <m/>
    <x v="1"/>
    <x v="44"/>
    <d v="2017-04-07T00:00:00"/>
    <d v="2017-04-07T00:00:00"/>
    <n v="-1.3"/>
    <n v="1.3"/>
    <m/>
    <s v="kasverschil 5 dgn "/>
    <s v="UIT"/>
    <s v="DIV"/>
    <s v="kasverschil"/>
    <m/>
    <m/>
    <m/>
    <m/>
    <m/>
    <m/>
    <m/>
    <m/>
    <m/>
    <m/>
  </r>
  <r>
    <n v="151"/>
    <x v="5"/>
    <m/>
    <x v="1"/>
    <x v="44"/>
    <d v="2017-04-11T00:00:00"/>
    <d v="2017-04-11T00:00:00"/>
    <n v="-2.6"/>
    <n v="2.6"/>
    <m/>
    <s v="sproeiflesjes"/>
    <s v="UIT"/>
    <s v="DIV"/>
    <s v="div"/>
    <m/>
    <m/>
    <m/>
    <m/>
    <m/>
    <m/>
    <m/>
    <m/>
    <m/>
    <m/>
  </r>
  <r>
    <n v="152"/>
    <x v="5"/>
    <m/>
    <x v="1"/>
    <x v="44"/>
    <d v="2017-04-11T00:00:00"/>
    <d v="2017-04-11T00:00:00"/>
    <n v="-1.8"/>
    <n v="1.8"/>
    <m/>
    <s v="sleutelhanger"/>
    <s v="UIT"/>
    <s v="DIV"/>
    <s v="div"/>
    <m/>
    <m/>
    <m/>
    <m/>
    <m/>
    <m/>
    <m/>
    <m/>
    <m/>
    <m/>
  </r>
  <r>
    <n v="155"/>
    <x v="5"/>
    <m/>
    <x v="1"/>
    <x v="44"/>
    <d v="2017-04-14T00:00:00"/>
    <d v="2017-04-14T00:00:00"/>
    <n v="-2"/>
    <n v="2"/>
    <m/>
    <s v="m oofie"/>
    <s v="UIT"/>
    <s v="DIV"/>
    <s v="div"/>
    <m/>
    <m/>
    <m/>
    <m/>
    <m/>
    <m/>
    <m/>
    <m/>
    <m/>
    <m/>
  </r>
  <r>
    <n v="156"/>
    <x v="5"/>
    <m/>
    <x v="1"/>
    <x v="44"/>
    <d v="2017-04-17T00:00:00"/>
    <d v="2017-04-17T00:00:00"/>
    <n v="-7.13"/>
    <n v="7.13"/>
    <m/>
    <s v="kasverschil"/>
    <s v="UIT"/>
    <s v="DIV"/>
    <s v="kasverschil"/>
    <m/>
    <m/>
    <m/>
    <m/>
    <m/>
    <m/>
    <m/>
    <m/>
    <m/>
    <m/>
  </r>
  <r>
    <n v="158"/>
    <x v="5"/>
    <m/>
    <x v="1"/>
    <x v="44"/>
    <d v="2017-04-17T00:00:00"/>
    <d v="2017-04-17T00:00:00"/>
    <n v="-1.8"/>
    <n v="1.8"/>
    <m/>
    <s v="spuitflesjes"/>
    <s v="UIT"/>
    <s v="DIV"/>
    <s v="div"/>
    <m/>
    <m/>
    <m/>
    <m/>
    <m/>
    <m/>
    <m/>
    <m/>
    <m/>
    <m/>
  </r>
  <r>
    <n v="169"/>
    <x v="5"/>
    <m/>
    <x v="1"/>
    <x v="44"/>
    <d v="2017-04-17T00:00:00"/>
    <d v="2017-04-17T00:00:00"/>
    <n v="-1.75"/>
    <n v="1.75"/>
    <m/>
    <s v="kasverschil"/>
    <s v="UIT"/>
    <s v="DIV"/>
    <s v="kasverschil"/>
    <m/>
    <m/>
    <m/>
    <m/>
    <m/>
    <m/>
    <m/>
    <m/>
    <m/>
    <m/>
  </r>
  <r>
    <n v="174"/>
    <x v="5"/>
    <m/>
    <x v="1"/>
    <x v="44"/>
    <d v="2017-04-22T00:00:00"/>
    <d v="2017-04-22T00:00:00"/>
    <n v="-2.1"/>
    <n v="2.1"/>
    <m/>
    <s v="kasverschil "/>
    <s v="UIT"/>
    <s v="DIV"/>
    <s v="kasverschil"/>
    <m/>
    <m/>
    <m/>
    <m/>
    <m/>
    <m/>
    <m/>
    <m/>
    <m/>
    <m/>
  </r>
  <r>
    <n v="177"/>
    <x v="5"/>
    <m/>
    <x v="1"/>
    <x v="44"/>
    <d v="2017-04-22T00:00:00"/>
    <d v="2017-04-22T00:00:00"/>
    <n v="-1.5"/>
    <n v="1.5"/>
    <m/>
    <s v="netje fietsmand"/>
    <s v="UIT"/>
    <s v="DIV"/>
    <s v="div"/>
    <m/>
    <m/>
    <m/>
    <m/>
    <m/>
    <m/>
    <m/>
    <m/>
    <m/>
    <m/>
  </r>
  <r>
    <n v="181"/>
    <x v="5"/>
    <m/>
    <x v="1"/>
    <x v="44"/>
    <d v="2017-04-26T00:00:00"/>
    <d v="2017-04-26T00:00:00"/>
    <n v="-3.6"/>
    <n v="3.6"/>
    <m/>
    <s v="kasverschil 5 dgn"/>
    <s v="UIT"/>
    <s v="DIV"/>
    <s v="kasverschil"/>
    <m/>
    <m/>
    <m/>
    <m/>
    <m/>
    <m/>
    <m/>
    <m/>
    <m/>
    <m/>
  </r>
  <r>
    <n v="188"/>
    <x v="5"/>
    <m/>
    <x v="1"/>
    <x v="44"/>
    <d v="2017-04-26T00:00:00"/>
    <d v="2017-04-26T00:00:00"/>
    <n v="-5.4"/>
    <n v="5.4"/>
    <m/>
    <s v="kasverschil 4 dgn"/>
    <s v="UIT"/>
    <s v="DIV"/>
    <s v="kasverschil"/>
    <m/>
    <m/>
    <m/>
    <m/>
    <m/>
    <m/>
    <m/>
    <m/>
    <m/>
    <m/>
  </r>
  <r>
    <n v="193"/>
    <x v="5"/>
    <m/>
    <x v="1"/>
    <x v="45"/>
    <d v="2017-05-02T00:00:00"/>
    <d v="2017-05-02T00:00:00"/>
    <n v="-5.5"/>
    <n v="5.5"/>
    <m/>
    <s v="screen iphone"/>
    <s v="UIT"/>
    <s v="DIV"/>
    <s v="div"/>
    <m/>
    <m/>
    <m/>
    <m/>
    <m/>
    <m/>
    <m/>
    <m/>
    <m/>
    <m/>
  </r>
  <r>
    <n v="208"/>
    <x v="5"/>
    <m/>
    <x v="1"/>
    <x v="45"/>
    <d v="2017-05-09T00:00:00"/>
    <d v="2017-05-09T00:00:00"/>
    <n v="-1.5"/>
    <n v="1.5"/>
    <m/>
    <s v="fietsbel"/>
    <s v="UIT"/>
    <s v="DIV"/>
    <s v="div"/>
    <m/>
    <m/>
    <m/>
    <m/>
    <m/>
    <m/>
    <m/>
    <m/>
    <m/>
    <m/>
  </r>
  <r>
    <n v="210"/>
    <x v="5"/>
    <m/>
    <x v="1"/>
    <x v="45"/>
    <d v="2017-05-09T00:00:00"/>
    <d v="2017-05-09T00:00:00"/>
    <n v="-2"/>
    <n v="2"/>
    <m/>
    <s v="sleutels kopie"/>
    <s v="UIT"/>
    <s v="DIV"/>
    <s v="div"/>
    <m/>
    <m/>
    <m/>
    <m/>
    <m/>
    <m/>
    <m/>
    <m/>
    <m/>
    <m/>
  </r>
  <r>
    <n v="211"/>
    <x v="5"/>
    <m/>
    <x v="1"/>
    <x v="45"/>
    <d v="2017-05-09T00:00:00"/>
    <d v="2017-05-09T00:00:00"/>
    <n v="-2.8"/>
    <n v="2.8"/>
    <m/>
    <s v="aanzetstaal + karabijn"/>
    <s v="UIT"/>
    <s v="DIV"/>
    <s v="div"/>
    <m/>
    <m/>
    <m/>
    <m/>
    <m/>
    <m/>
    <m/>
    <m/>
    <m/>
    <m/>
  </r>
  <r>
    <n v="212"/>
    <x v="5"/>
    <m/>
    <x v="1"/>
    <x v="45"/>
    <d v="2017-05-09T00:00:00"/>
    <d v="2017-05-09T00:00:00"/>
    <n v="-2.71"/>
    <n v="2.71"/>
    <m/>
    <s v="kasverschil"/>
    <s v="UIT"/>
    <s v="DIV"/>
    <s v="kasverschil"/>
    <m/>
    <m/>
    <m/>
    <m/>
    <m/>
    <m/>
    <m/>
    <m/>
    <m/>
    <m/>
  </r>
  <r>
    <n v="226"/>
    <x v="5"/>
    <m/>
    <x v="1"/>
    <x v="45"/>
    <d v="2017-05-17T00:00:00"/>
    <d v="2017-05-17T00:00:00"/>
    <n v="-4.17"/>
    <n v="4.17"/>
    <m/>
    <s v="ksstekort 4 dgn"/>
    <s v="UIT"/>
    <s v="DIV"/>
    <s v="kasverschil"/>
    <m/>
    <m/>
    <m/>
    <m/>
    <m/>
    <m/>
    <m/>
    <m/>
    <m/>
    <m/>
  </r>
  <r>
    <n v="233"/>
    <x v="5"/>
    <m/>
    <x v="1"/>
    <x v="45"/>
    <d v="2017-05-20T00:00:00"/>
    <d v="2017-05-20T00:00:00"/>
    <n v="-4.3"/>
    <n v="4.3"/>
    <m/>
    <s v="kasverschil"/>
    <s v="UIT"/>
    <s v="DIV"/>
    <s v="kasverschil"/>
    <m/>
    <m/>
    <m/>
    <m/>
    <m/>
    <m/>
    <m/>
    <m/>
    <m/>
    <m/>
  </r>
  <r>
    <n v="240"/>
    <x v="5"/>
    <m/>
    <x v="1"/>
    <x v="45"/>
    <d v="2017-05-25T00:00:00"/>
    <d v="2017-05-25T00:00:00"/>
    <n v="6.57"/>
    <n v="6.57"/>
    <m/>
    <s v="kasverschil"/>
    <s v="UIT"/>
    <s v="DIV"/>
    <s v="kasverschil"/>
    <m/>
    <m/>
    <m/>
    <m/>
    <m/>
    <m/>
    <m/>
    <m/>
    <m/>
    <m/>
  </r>
  <r>
    <n v="249"/>
    <x v="5"/>
    <m/>
    <x v="1"/>
    <x v="45"/>
    <d v="2017-05-29T00:00:00"/>
    <d v="2017-05-29T00:00:00"/>
    <n v="-4.66"/>
    <n v="4.66"/>
    <m/>
    <s v="kasverschil"/>
    <s v="UIT"/>
    <s v="DIV"/>
    <s v="kasverschil"/>
    <m/>
    <m/>
    <m/>
    <m/>
    <m/>
    <m/>
    <m/>
    <m/>
    <m/>
    <m/>
  </r>
  <r>
    <n v="264"/>
    <x v="5"/>
    <m/>
    <x v="1"/>
    <x v="46"/>
    <d v="2017-06-10T00:00:00"/>
    <d v="2017-06-10T00:00:00"/>
    <n v="-5.85"/>
    <n v="5.85"/>
    <m/>
    <s v="kasverschil 9 dgn"/>
    <s v="UIT"/>
    <s v="DIV"/>
    <s v="kasverschil"/>
    <m/>
    <m/>
    <m/>
    <m/>
    <m/>
    <m/>
    <m/>
    <m/>
    <m/>
    <m/>
  </r>
  <r>
    <n v="270"/>
    <x v="5"/>
    <m/>
    <x v="1"/>
    <x v="46"/>
    <d v="2017-06-10T00:00:00"/>
    <d v="2017-06-10T00:00:00"/>
    <n v="-6.5"/>
    <n v="6.5"/>
    <m/>
    <s v="kado jamy"/>
    <s v="UIT"/>
    <s v="DIV"/>
    <s v="repre"/>
    <m/>
    <m/>
    <m/>
    <m/>
    <m/>
    <m/>
    <m/>
    <m/>
    <m/>
    <m/>
  </r>
  <r>
    <n v="276"/>
    <x v="5"/>
    <m/>
    <x v="1"/>
    <x v="46"/>
    <d v="2017-06-12T00:00:00"/>
    <d v="2017-06-12T00:00:00"/>
    <n v="-1.01"/>
    <n v="1.01"/>
    <m/>
    <s v="kasverschil"/>
    <s v="UIT"/>
    <s v="DIV"/>
    <s v="kasverschil"/>
    <m/>
    <m/>
    <m/>
    <m/>
    <m/>
    <m/>
    <m/>
    <m/>
    <m/>
    <m/>
  </r>
  <r>
    <n v="281"/>
    <x v="5"/>
    <m/>
    <x v="1"/>
    <x v="46"/>
    <d v="2017-06-12T00:00:00"/>
    <d v="2017-06-12T00:00:00"/>
    <n v="-1"/>
    <n v="1"/>
    <m/>
    <s v="speeltjes"/>
    <s v="UIT"/>
    <s v="DIV"/>
    <s v="div"/>
    <m/>
    <m/>
    <m/>
    <m/>
    <m/>
    <m/>
    <m/>
    <m/>
    <m/>
    <m/>
  </r>
  <r>
    <n v="282"/>
    <x v="5"/>
    <m/>
    <x v="1"/>
    <x v="46"/>
    <d v="2017-06-12T00:00:00"/>
    <d v="2017-06-12T00:00:00"/>
    <n v="-1.06"/>
    <n v="1.06"/>
    <m/>
    <s v="kasverschil 5 dgn"/>
    <s v="UIT"/>
    <s v="DIV"/>
    <s v="kasverschil"/>
    <m/>
    <m/>
    <m/>
    <m/>
    <m/>
    <m/>
    <m/>
    <m/>
    <m/>
    <m/>
  </r>
  <r>
    <n v="286"/>
    <x v="5"/>
    <m/>
    <x v="1"/>
    <x v="46"/>
    <d v="2017-06-24T00:00:00"/>
    <d v="2017-06-24T00:00:00"/>
    <n v="-4"/>
    <n v="4"/>
    <m/>
    <s v="rob"/>
    <s v="UIT"/>
    <s v="DIV"/>
    <s v="div"/>
    <m/>
    <m/>
    <m/>
    <m/>
    <m/>
    <m/>
    <m/>
    <m/>
    <m/>
    <m/>
  </r>
  <r>
    <n v="290"/>
    <x v="5"/>
    <m/>
    <x v="1"/>
    <x v="46"/>
    <d v="2017-06-24T00:00:00"/>
    <d v="2017-06-24T00:00:00"/>
    <n v="-1"/>
    <n v="1"/>
    <m/>
    <s v="sleutel tennislerares"/>
    <s v="UIT"/>
    <s v="DIV"/>
    <s v="div"/>
    <m/>
    <m/>
    <m/>
    <m/>
    <m/>
    <m/>
    <m/>
    <m/>
    <m/>
    <m/>
  </r>
  <r>
    <n v="293"/>
    <x v="5"/>
    <m/>
    <x v="1"/>
    <x v="46"/>
    <d v="2017-06-24T00:00:00"/>
    <d v="2017-06-24T00:00:00"/>
    <n v="-1.3"/>
    <n v="1.3"/>
    <m/>
    <s v="kasverschil"/>
    <s v="UIT"/>
    <s v="DIV"/>
    <s v="kasverschil"/>
    <m/>
    <m/>
    <m/>
    <m/>
    <m/>
    <m/>
    <m/>
    <m/>
    <m/>
    <m/>
  </r>
  <r>
    <n v="319"/>
    <x v="5"/>
    <m/>
    <x v="1"/>
    <x v="36"/>
    <d v="2017-07-16T00:00:00"/>
    <d v="2017-07-16T00:00:00"/>
    <n v="-8.85"/>
    <n v="8.85"/>
    <m/>
    <s v="oogdruppels rob"/>
    <s v="UIT"/>
    <s v="DIV"/>
    <s v="div"/>
    <m/>
    <m/>
    <m/>
    <m/>
    <m/>
    <m/>
    <m/>
    <m/>
    <m/>
    <m/>
  </r>
  <r>
    <n v="321"/>
    <x v="5"/>
    <m/>
    <x v="1"/>
    <x v="36"/>
    <d v="2017-07-16T00:00:00"/>
    <d v="2017-07-16T00:00:00"/>
    <n v="-1"/>
    <n v="1"/>
    <m/>
    <s v="sleutel"/>
    <s v="UIT"/>
    <s v="DIV"/>
    <s v="div"/>
    <m/>
    <m/>
    <m/>
    <m/>
    <m/>
    <m/>
    <m/>
    <m/>
    <m/>
    <m/>
  </r>
  <r>
    <n v="325"/>
    <x v="5"/>
    <m/>
    <x v="1"/>
    <x v="36"/>
    <d v="2017-07-16T00:00:00"/>
    <d v="2017-07-16T00:00:00"/>
    <n v="-5.75"/>
    <n v="5.75"/>
    <m/>
    <s v="kasverschil/ijsjes"/>
    <s v="UIT"/>
    <s v="DIV"/>
    <s v="kasverschil"/>
    <m/>
    <m/>
    <m/>
    <m/>
    <m/>
    <m/>
    <m/>
    <m/>
    <m/>
    <m/>
  </r>
  <r>
    <n v="344"/>
    <x v="5"/>
    <m/>
    <x v="1"/>
    <x v="47"/>
    <d v="2017-08-08T00:00:00"/>
    <d v="2017-08-08T00:00:00"/>
    <n v="-4.4000000000000004"/>
    <n v="4.4000000000000004"/>
    <m/>
    <s v="kaarsjes verjaardag rob + kado rob"/>
    <s v="UIT"/>
    <s v="DIV"/>
    <s v="div"/>
    <m/>
    <m/>
    <m/>
    <m/>
    <m/>
    <m/>
    <m/>
    <m/>
    <m/>
    <m/>
  </r>
  <r>
    <n v="358"/>
    <x v="5"/>
    <m/>
    <x v="1"/>
    <x v="47"/>
    <d v="2017-08-21T00:00:00"/>
    <d v="2017-08-21T00:00:00"/>
    <n v="-26.78"/>
    <n v="26.78"/>
    <m/>
    <s v="kasverschil 7 dgn / bier / ijsjes"/>
    <s v="UIT"/>
    <s v="DIV"/>
    <s v="kasverschil"/>
    <m/>
    <m/>
    <m/>
    <m/>
    <m/>
    <m/>
    <m/>
    <m/>
    <m/>
    <m/>
  </r>
  <r>
    <n v="365"/>
    <x v="5"/>
    <m/>
    <x v="1"/>
    <x v="48"/>
    <d v="2017-09-05T00:00:00"/>
    <d v="2017-09-05T00:00:00"/>
    <n v="-2.8"/>
    <n v="2.8"/>
    <m/>
    <s v=" clipboard"/>
    <s v="UIT"/>
    <s v="DIV"/>
    <s v="div"/>
    <m/>
    <m/>
    <m/>
    <m/>
    <m/>
    <m/>
    <m/>
    <m/>
    <m/>
    <m/>
  </r>
  <r>
    <n v="368"/>
    <x v="5"/>
    <m/>
    <x v="1"/>
    <x v="48"/>
    <d v="2017-09-05T00:00:00"/>
    <d v="2017-09-05T00:00:00"/>
    <n v="-0.8"/>
    <n v="0.8"/>
    <m/>
    <s v="schriftje"/>
    <s v="UIT"/>
    <s v="DIV"/>
    <s v="div"/>
    <m/>
    <m/>
    <m/>
    <m/>
    <m/>
    <m/>
    <m/>
    <m/>
    <m/>
    <m/>
  </r>
  <r>
    <n v="373"/>
    <x v="5"/>
    <m/>
    <x v="1"/>
    <x v="48"/>
    <d v="2017-09-05T00:00:00"/>
    <d v="2017-09-05T00:00:00"/>
    <n v="-10"/>
    <n v="10"/>
    <m/>
    <s v="anna "/>
    <s v="UIT"/>
    <s v="DIV"/>
    <s v="repre"/>
    <m/>
    <m/>
    <m/>
    <m/>
    <m/>
    <m/>
    <m/>
    <m/>
    <m/>
    <m/>
  </r>
  <r>
    <n v="374"/>
    <x v="5"/>
    <m/>
    <x v="1"/>
    <x v="48"/>
    <d v="2017-09-05T00:00:00"/>
    <d v="2017-09-05T00:00:00"/>
    <n v="15.3"/>
    <n v="15.3"/>
    <m/>
    <s v="kasverschil"/>
    <s v="UIT"/>
    <s v="DIV"/>
    <s v="kasverschil"/>
    <m/>
    <m/>
    <m/>
    <m/>
    <m/>
    <m/>
    <m/>
    <m/>
    <m/>
    <m/>
  </r>
  <r>
    <n v="386"/>
    <x v="5"/>
    <m/>
    <x v="1"/>
    <x v="48"/>
    <d v="2017-09-14T00:00:00"/>
    <d v="2017-09-14T00:00:00"/>
    <n v="-1.47"/>
    <n v="1.47"/>
    <m/>
    <s v="kasverschil"/>
    <s v="UIT"/>
    <s v="DIV"/>
    <s v="kasverschil"/>
    <m/>
    <m/>
    <m/>
    <m/>
    <m/>
    <m/>
    <m/>
    <m/>
    <m/>
    <m/>
  </r>
  <r>
    <n v="393"/>
    <x v="5"/>
    <m/>
    <x v="1"/>
    <x v="48"/>
    <d v="2017-09-14T00:00:00"/>
    <d v="2017-09-14T00:00:00"/>
    <n v="1.38"/>
    <n v="1.38"/>
    <m/>
    <s v="kasverschil"/>
    <s v="UIT"/>
    <s v="DIV"/>
    <s v="kasverschil"/>
    <m/>
    <m/>
    <m/>
    <m/>
    <m/>
    <m/>
    <m/>
    <m/>
    <m/>
    <m/>
  </r>
  <r>
    <n v="400"/>
    <x v="5"/>
    <m/>
    <x v="1"/>
    <x v="3"/>
    <d v="2017-10-01T00:00:00"/>
    <d v="2017-10-01T00:00:00"/>
    <n v="-1"/>
    <n v="1"/>
    <m/>
    <s v="fooi caspar"/>
    <s v="UIT"/>
    <s v="DIV"/>
    <s v="div"/>
    <m/>
    <m/>
    <m/>
    <m/>
    <m/>
    <m/>
    <m/>
    <m/>
    <m/>
    <m/>
  </r>
  <r>
    <n v="401"/>
    <x v="5"/>
    <m/>
    <x v="1"/>
    <x v="3"/>
    <d v="2017-10-01T00:00:00"/>
    <d v="2017-10-01T00:00:00"/>
    <n v="-6.2"/>
    <n v="6.2"/>
    <m/>
    <s v="kasverschil 10 dgn"/>
    <s v="UIT"/>
    <s v="DIV"/>
    <s v="kasverschil"/>
    <m/>
    <m/>
    <m/>
    <m/>
    <m/>
    <m/>
    <m/>
    <m/>
    <m/>
    <m/>
  </r>
  <r>
    <n v="407"/>
    <x v="5"/>
    <m/>
    <x v="1"/>
    <x v="3"/>
    <d v="2017-10-01T00:00:00"/>
    <d v="2017-10-01T00:00:00"/>
    <n v="-1"/>
    <n v="1"/>
    <m/>
    <s v="fooi caspar"/>
    <s v="UIT"/>
    <s v="DIV"/>
    <s v="div"/>
    <m/>
    <m/>
    <m/>
    <m/>
    <m/>
    <m/>
    <m/>
    <m/>
    <m/>
    <m/>
  </r>
  <r>
    <n v="410"/>
    <x v="5"/>
    <m/>
    <x v="1"/>
    <x v="3"/>
    <d v="2017-10-01T00:00:00"/>
    <d v="2017-10-01T00:00:00"/>
    <n v="-0.8"/>
    <n v="0.8"/>
    <m/>
    <s v="kasverschil"/>
    <s v="UIT"/>
    <s v="DIV"/>
    <s v="kasverschil"/>
    <m/>
    <m/>
    <m/>
    <m/>
    <m/>
    <m/>
    <m/>
    <m/>
    <m/>
    <m/>
  </r>
  <r>
    <n v="411"/>
    <x v="5"/>
    <m/>
    <x v="1"/>
    <x v="3"/>
    <d v="2017-10-01T00:00:00"/>
    <d v="2017-10-01T00:00:00"/>
    <n v="-1"/>
    <n v="1"/>
    <m/>
    <s v="fooi bar absolute"/>
    <s v="UIT"/>
    <s v="DIV"/>
    <s v="div"/>
    <m/>
    <m/>
    <m/>
    <m/>
    <m/>
    <m/>
    <m/>
    <m/>
    <m/>
    <m/>
  </r>
  <r>
    <n v="416"/>
    <x v="5"/>
    <m/>
    <x v="1"/>
    <x v="3"/>
    <d v="2017-10-01T00:00:00"/>
    <d v="2017-10-01T00:00:00"/>
    <n v="-1.2"/>
    <n v="1.2"/>
    <m/>
    <s v="kaartjes"/>
    <s v="UIT"/>
    <s v="DIV"/>
    <s v="div"/>
    <m/>
    <m/>
    <m/>
    <m/>
    <m/>
    <m/>
    <m/>
    <m/>
    <m/>
    <m/>
  </r>
  <r>
    <n v="417"/>
    <x v="5"/>
    <m/>
    <x v="1"/>
    <x v="3"/>
    <d v="2017-10-01T00:00:00"/>
    <d v="2017-10-01T00:00:00"/>
    <n v="-3.4"/>
    <n v="3.4"/>
    <m/>
    <s v="kasverschil"/>
    <s v="UIT"/>
    <s v="DIV"/>
    <s v="kasverschil"/>
    <m/>
    <m/>
    <m/>
    <m/>
    <m/>
    <m/>
    <m/>
    <m/>
    <m/>
    <m/>
  </r>
  <r>
    <n v="418"/>
    <x v="5"/>
    <m/>
    <x v="1"/>
    <x v="3"/>
    <d v="2017-10-01T00:00:00"/>
    <d v="2017-10-01T00:00:00"/>
    <n v="-30"/>
    <n v="30"/>
    <m/>
    <s v="kasverschil"/>
    <s v="UIT"/>
    <s v="DIV"/>
    <s v="kasverschil"/>
    <m/>
    <m/>
    <m/>
    <m/>
    <m/>
    <m/>
    <m/>
    <m/>
    <m/>
    <m/>
  </r>
  <r>
    <n v="427"/>
    <x v="3"/>
    <m/>
    <x v="1"/>
    <x v="1"/>
    <d v="2017-01-25T00:00:00"/>
    <d v="2017-01-25T00:00:00"/>
    <n v="-5"/>
    <n v="5"/>
    <m/>
    <s v="STICHTING J O H O"/>
    <s v="UIT"/>
    <s v="DIV"/>
    <s v="div"/>
    <m/>
    <m/>
    <m/>
    <m/>
    <m/>
    <m/>
    <m/>
    <m/>
    <m/>
    <m/>
  </r>
  <r>
    <n v="428"/>
    <x v="3"/>
    <m/>
    <x v="1"/>
    <x v="2"/>
    <d v="2017-02-03T00:00:00"/>
    <d v="2017-02-03T00:00:00"/>
    <n v="-0.1"/>
    <n v="0.1"/>
    <m/>
    <s v="Debetrente"/>
    <s v="UIT"/>
    <s v="DIV"/>
    <s v="rente"/>
    <m/>
    <m/>
    <m/>
    <m/>
    <m/>
    <m/>
    <m/>
    <m/>
    <m/>
    <m/>
  </r>
  <r>
    <n v="435"/>
    <x v="3"/>
    <m/>
    <x v="1"/>
    <x v="2"/>
    <d v="2017-02-23T00:00:00"/>
    <d v="2017-02-23T00:00:00"/>
    <n v="-9.99"/>
    <n v="9.99"/>
    <m/>
    <s v="toetsenbord"/>
    <s v="UIT"/>
    <s v="DIV"/>
    <s v="div"/>
    <m/>
    <m/>
    <m/>
    <m/>
    <m/>
    <m/>
    <m/>
    <m/>
    <m/>
    <m/>
  </r>
  <r>
    <n v="436"/>
    <x v="3"/>
    <m/>
    <x v="1"/>
    <x v="2"/>
    <d v="2017-02-23T00:00:00"/>
    <d v="2017-02-23T00:00:00"/>
    <n v="-3.6"/>
    <n v="3.6"/>
    <m/>
    <s v="volkskrant"/>
    <s v="UIT"/>
    <s v="DIV"/>
    <s v="div"/>
    <m/>
    <m/>
    <m/>
    <m/>
    <m/>
    <m/>
    <m/>
    <m/>
    <m/>
    <m/>
  </r>
  <r>
    <n v="438"/>
    <x v="3"/>
    <m/>
    <x v="1"/>
    <x v="2"/>
    <d v="2017-02-25T00:00:00"/>
    <d v="2017-02-25T00:00:00"/>
    <n v="-3.6"/>
    <n v="3.6"/>
    <m/>
    <s v="113  DIO-Readshop MUSSELKANAAL"/>
    <s v="UIT"/>
    <s v="DIV"/>
    <s v="div"/>
    <m/>
    <m/>
    <m/>
    <m/>
    <m/>
    <m/>
    <m/>
    <m/>
    <m/>
    <m/>
  </r>
  <r>
    <n v="440"/>
    <x v="3"/>
    <m/>
    <x v="1"/>
    <x v="2"/>
    <d v="2017-02-28T00:00:00"/>
    <d v="2017-02-28T00:00:00"/>
    <n v="-9.99"/>
    <n v="9.99"/>
    <m/>
    <s v="CCV*HOBBIX COMPUTERS STADSKANAAL"/>
    <s v="UIT"/>
    <s v="DIV"/>
    <s v="div"/>
    <m/>
    <m/>
    <m/>
    <m/>
    <m/>
    <m/>
    <m/>
    <m/>
    <m/>
    <m/>
  </r>
  <r>
    <n v="443"/>
    <x v="3"/>
    <m/>
    <x v="1"/>
    <x v="43"/>
    <d v="2017-03-01T00:00:00"/>
    <d v="2017-03-01T00:00:00"/>
    <n v="-3.21"/>
    <n v="3.21"/>
    <m/>
    <s v="action wissellijst en lampjes"/>
    <s v="UIT"/>
    <s v="DIV"/>
    <s v="div"/>
    <m/>
    <m/>
    <m/>
    <m/>
    <m/>
    <m/>
    <m/>
    <m/>
    <m/>
    <m/>
  </r>
  <r>
    <n v="453"/>
    <x v="3"/>
    <m/>
    <x v="1"/>
    <x v="43"/>
    <d v="2017-03-06T00:00:00"/>
    <d v="2017-03-06T00:00:00"/>
    <n v="-1.98"/>
    <n v="1.98"/>
    <m/>
    <s v="1283 Action Arnhem ARNHEM"/>
    <s v="UIT"/>
    <s v="DIV"/>
    <s v="div"/>
    <m/>
    <m/>
    <m/>
    <m/>
    <m/>
    <m/>
    <m/>
    <m/>
    <m/>
    <m/>
  </r>
  <r>
    <n v="461"/>
    <x v="3"/>
    <m/>
    <x v="1"/>
    <x v="43"/>
    <d v="2017-03-09T00:00:00"/>
    <d v="2017-03-09T00:00:00"/>
    <n v="-2.5"/>
    <n v="2.5"/>
    <m/>
    <s v="So-Low Arnhem ARNHEM"/>
    <s v="UIT"/>
    <s v="DIV"/>
    <s v="div"/>
    <m/>
    <m/>
    <m/>
    <m/>
    <m/>
    <m/>
    <m/>
    <m/>
    <m/>
    <m/>
  </r>
  <r>
    <n v="471"/>
    <x v="3"/>
    <m/>
    <x v="1"/>
    <x v="43"/>
    <d v="2017-03-13T00:00:00"/>
    <d v="2017-03-13T00:00:00"/>
    <n v="-1.58"/>
    <n v="1.58"/>
    <m/>
    <s v="ZEEMAN ARNHEM MUSISKWA ARNHEM"/>
    <s v="UIT"/>
    <s v="DIV"/>
    <s v="div"/>
    <m/>
    <m/>
    <m/>
    <m/>
    <m/>
    <m/>
    <m/>
    <m/>
    <m/>
    <m/>
  </r>
  <r>
    <n v="487"/>
    <x v="3"/>
    <m/>
    <x v="1"/>
    <x v="43"/>
    <d v="2017-03-16T00:00:00"/>
    <d v="2017-03-16T00:00:00"/>
    <n v="-10"/>
    <n v="10"/>
    <m/>
    <s v="VFW Nijmegen NIJMEGEN"/>
    <s v="UIT"/>
    <s v="DIV"/>
    <s v="onbekend"/>
    <m/>
    <m/>
    <m/>
    <m/>
    <m/>
    <m/>
    <m/>
    <m/>
    <m/>
    <m/>
  </r>
  <r>
    <n v="488"/>
    <x v="3"/>
    <m/>
    <x v="1"/>
    <x v="43"/>
    <d v="2017-03-16T00:00:00"/>
    <d v="2017-03-16T00:00:00"/>
    <n v="-7.98"/>
    <n v="7.98"/>
    <m/>
    <s v="1289 Action Nijmegen NIJMEGEN"/>
    <s v="UIT"/>
    <s v="DIV"/>
    <s v="div"/>
    <m/>
    <m/>
    <m/>
    <m/>
    <m/>
    <m/>
    <m/>
    <m/>
    <m/>
    <m/>
  </r>
  <r>
    <n v="499"/>
    <x v="3"/>
    <m/>
    <x v="1"/>
    <x v="43"/>
    <d v="2017-03-18T00:00:00"/>
    <d v="2017-03-18T00:00:00"/>
    <n v="-11"/>
    <n v="11"/>
    <m/>
    <s v="CCV*FACINT BV ARNHEM"/>
    <s v="UIT"/>
    <s v="DIV"/>
    <s v="div"/>
    <m/>
    <m/>
    <m/>
    <m/>
    <m/>
    <m/>
    <m/>
    <m/>
    <m/>
    <m/>
  </r>
  <r>
    <n v="507"/>
    <x v="3"/>
    <m/>
    <x v="1"/>
    <x v="43"/>
    <d v="2017-03-20T00:00:00"/>
    <d v="2017-03-20T00:00:00"/>
    <n v="-21"/>
    <n v="21"/>
    <m/>
    <s v="Pathe Arnhem ARNHEM"/>
    <s v="UIT"/>
    <s v="DIV"/>
    <s v="joost repre"/>
    <m/>
    <m/>
    <m/>
    <m/>
    <m/>
    <m/>
    <m/>
    <m/>
    <m/>
    <m/>
  </r>
  <r>
    <n v="513"/>
    <x v="3"/>
    <m/>
    <x v="1"/>
    <x v="43"/>
    <d v="2017-03-22T00:00:00"/>
    <d v="2017-03-22T00:00:00"/>
    <n v="-3.95"/>
    <n v="3.95"/>
    <m/>
    <s v="CCV*PRIMERA MUSSELKANA MUSSELKANAAL"/>
    <s v="UIT"/>
    <s v="DIV"/>
    <s v="boeken"/>
    <m/>
    <m/>
    <m/>
    <m/>
    <m/>
    <m/>
    <m/>
    <m/>
    <m/>
    <m/>
  </r>
  <r>
    <n v="520"/>
    <x v="3"/>
    <m/>
    <x v="1"/>
    <x v="43"/>
    <d v="2017-03-28T00:00:00"/>
    <d v="2017-03-28T00:00:00"/>
    <n v="-10"/>
    <n v="10"/>
    <m/>
    <s v="7701 AKO R'dam Airp ROTTERDAM"/>
    <s v="UIT"/>
    <s v="DIV"/>
    <s v="boeken"/>
    <m/>
    <m/>
    <m/>
    <m/>
    <m/>
    <m/>
    <m/>
    <m/>
    <m/>
    <m/>
  </r>
  <r>
    <n v="522"/>
    <x v="3"/>
    <m/>
    <x v="1"/>
    <x v="43"/>
    <d v="2017-03-30T00:00:00"/>
    <d v="2017-03-30T00:00:00"/>
    <n v="-1.1100000000000001"/>
    <n v="1.1100000000000001"/>
    <m/>
    <s v="Jj siecker"/>
    <s v="UIT"/>
    <s v="DIV"/>
    <s v="div"/>
    <m/>
    <m/>
    <m/>
    <m/>
    <m/>
    <m/>
    <m/>
    <m/>
    <m/>
    <m/>
  </r>
  <r>
    <n v="529"/>
    <x v="3"/>
    <m/>
    <x v="1"/>
    <x v="44"/>
    <d v="2017-04-06T00:00:00"/>
    <d v="2017-04-06T00:00:00"/>
    <n v="-25.93"/>
    <n v="25.93"/>
    <m/>
    <s v="BUCKAROO ST.DERDENGELDEN"/>
    <s v="UIT"/>
    <s v="DIV"/>
    <s v="joost repre"/>
    <m/>
    <m/>
    <m/>
    <m/>
    <m/>
    <m/>
    <m/>
    <m/>
    <m/>
    <m/>
  </r>
  <r>
    <n v="535"/>
    <x v="3"/>
    <m/>
    <x v="1"/>
    <x v="44"/>
    <d v="2017-04-11T00:00:00"/>
    <d v="2017-04-11T00:00:00"/>
    <n v="-33.85"/>
    <n v="33.85"/>
    <m/>
    <s v="ING Bank"/>
    <s v="UIT"/>
    <s v="DIV"/>
    <s v="div"/>
    <m/>
    <m/>
    <m/>
    <m/>
    <m/>
    <m/>
    <m/>
    <m/>
    <m/>
    <m/>
  </r>
  <r>
    <n v="549"/>
    <x v="3"/>
    <m/>
    <x v="1"/>
    <x v="45"/>
    <d v="2017-05-01T00:00:00"/>
    <d v="2017-05-01T00:00:00"/>
    <n v="-0.99"/>
    <n v="0.99"/>
    <m/>
    <s v="RABOBANK NEDERLAND"/>
    <s v="UIT"/>
    <s v="DIV"/>
    <s v="itunes"/>
    <m/>
    <m/>
    <m/>
    <m/>
    <m/>
    <m/>
    <m/>
    <m/>
    <m/>
    <m/>
  </r>
  <r>
    <n v="552"/>
    <x v="3"/>
    <m/>
    <x v="1"/>
    <x v="45"/>
    <d v="2017-05-04T00:00:00"/>
    <d v="2017-05-04T00:00:00"/>
    <n v="-19"/>
    <n v="19"/>
    <m/>
    <s v="BUCKAROO ST.DERDENGELDEN"/>
    <s v="UIT"/>
    <s v="DIV"/>
    <s v="joost repre"/>
    <m/>
    <m/>
    <m/>
    <m/>
    <m/>
    <m/>
    <m/>
    <m/>
    <m/>
    <m/>
  </r>
  <r>
    <n v="568"/>
    <x v="3"/>
    <m/>
    <x v="1"/>
    <x v="46"/>
    <d v="2017-06-06T00:00:00"/>
    <d v="2017-06-06T00:00:00"/>
    <n v="-19"/>
    <n v="19"/>
    <m/>
    <s v="BUCKAROO ST.DERDENGELDEN"/>
    <s v="UIT"/>
    <s v="DIV"/>
    <s v="joost repre"/>
    <m/>
    <m/>
    <m/>
    <m/>
    <m/>
    <m/>
    <m/>
    <m/>
    <m/>
    <m/>
  </r>
  <r>
    <n v="580"/>
    <x v="3"/>
    <m/>
    <x v="1"/>
    <x v="46"/>
    <d v="2017-06-29T00:00:00"/>
    <d v="2017-06-29T00:00:00"/>
    <n v="-13"/>
    <n v="13"/>
    <m/>
    <s v="SCAVI DI POMPEI       \POMPEI       \"/>
    <s v="UIT"/>
    <s v="DIV"/>
    <s v="div"/>
    <m/>
    <m/>
    <m/>
    <m/>
    <m/>
    <m/>
    <m/>
    <m/>
    <m/>
    <m/>
  </r>
  <r>
    <n v="582"/>
    <x v="3"/>
    <m/>
    <x v="1"/>
    <x v="36"/>
    <d v="2017-07-06T00:00:00"/>
    <d v="2017-07-06T00:00:00"/>
    <n v="-19"/>
    <n v="19"/>
    <m/>
    <s v="BUCKAROO ST.DERDENGELDEN"/>
    <s v="UIT"/>
    <s v="DIV"/>
    <s v="joost repre"/>
    <m/>
    <m/>
    <m/>
    <m/>
    <m/>
    <m/>
    <m/>
    <m/>
    <m/>
    <m/>
  </r>
  <r>
    <n v="594"/>
    <x v="3"/>
    <m/>
    <x v="1"/>
    <x v="36"/>
    <d v="2017-07-31T00:00:00"/>
    <d v="2017-07-31T00:00:00"/>
    <n v="-0.95"/>
    <n v="0.95"/>
    <m/>
    <s v="COIN PART.ACQ.DISTRIB.\RAVENNA      \"/>
    <s v="UIT"/>
    <s v="DIV"/>
    <s v="div"/>
    <m/>
    <m/>
    <m/>
    <m/>
    <m/>
    <m/>
    <m/>
    <m/>
    <m/>
    <m/>
  </r>
  <r>
    <n v="595"/>
    <x v="3"/>
    <m/>
    <x v="1"/>
    <x v="47"/>
    <d v="2017-08-04T00:00:00"/>
    <d v="2017-08-04T00:00:00"/>
    <n v="-19"/>
    <n v="19"/>
    <m/>
    <s v="BUCKAROO ST.DERDENGELDEN"/>
    <s v="UIT"/>
    <s v="DIV"/>
    <s v="joost repre"/>
    <m/>
    <m/>
    <m/>
    <m/>
    <m/>
    <m/>
    <m/>
    <m/>
    <m/>
    <m/>
  </r>
  <r>
    <n v="613"/>
    <x v="3"/>
    <m/>
    <x v="1"/>
    <x v="48"/>
    <d v="2017-09-06T00:00:00"/>
    <d v="2017-09-06T00:00:00"/>
    <n v="-19"/>
    <n v="19"/>
    <m/>
    <s v="BUCKAROO ST.DERDENGELDEN"/>
    <s v="UIT"/>
    <s v="DIV"/>
    <s v="joost repre"/>
    <m/>
    <m/>
    <m/>
    <m/>
    <m/>
    <m/>
    <m/>
    <m/>
    <m/>
    <m/>
  </r>
  <r>
    <n v="615"/>
    <x v="3"/>
    <m/>
    <x v="1"/>
    <x v="48"/>
    <d v="2017-09-07T00:00:00"/>
    <d v="2017-09-07T00:00:00"/>
    <n v="-0.99"/>
    <n v="0.99"/>
    <m/>
    <s v="bol.com b.v."/>
    <s v="UIT"/>
    <s v="DIV"/>
    <s v="repre"/>
    <m/>
    <m/>
    <m/>
    <m/>
    <m/>
    <m/>
    <m/>
    <m/>
    <m/>
    <m/>
  </r>
  <r>
    <n v="616"/>
    <x v="3"/>
    <m/>
    <x v="1"/>
    <x v="48"/>
    <d v="2017-09-08T00:00:00"/>
    <d v="2017-09-08T00:00:00"/>
    <n v="0.99"/>
    <n v="0.99"/>
    <m/>
    <s v="BOL.COM BV"/>
    <s v="UIT"/>
    <s v="DIV"/>
    <s v="repre"/>
    <m/>
    <m/>
    <m/>
    <m/>
    <m/>
    <m/>
    <m/>
    <m/>
    <m/>
    <m/>
  </r>
  <r>
    <n v="621"/>
    <x v="3"/>
    <m/>
    <x v="1"/>
    <x v="48"/>
    <d v="2017-09-21T00:00:00"/>
    <d v="2017-09-21T00:00:00"/>
    <n v="-12.99"/>
    <n v="12.99"/>
    <m/>
    <s v="UNIEURO 353 ROMA ITA"/>
    <s v="UIT"/>
    <s v="DIV"/>
    <s v="div"/>
    <m/>
    <m/>
    <m/>
    <m/>
    <m/>
    <m/>
    <m/>
    <m/>
    <m/>
    <m/>
  </r>
  <r>
    <n v="628"/>
    <x v="3"/>
    <m/>
    <x v="1"/>
    <x v="3"/>
    <d v="2017-10-03T00:00:00"/>
    <d v="2017-10-03T00:00:00"/>
    <n v="-3.81"/>
    <n v="3.81"/>
    <m/>
    <s v="Action 1072 Stadskanaal"/>
    <s v="UIT"/>
    <s v="DIV"/>
    <s v="div"/>
    <m/>
    <m/>
    <m/>
    <m/>
    <m/>
    <m/>
    <m/>
    <m/>
    <m/>
    <m/>
  </r>
  <r>
    <n v="631"/>
    <x v="3"/>
    <m/>
    <x v="1"/>
    <x v="3"/>
    <d v="2017-10-06T00:00:00"/>
    <d v="2017-10-06T00:00:00"/>
    <n v="-19"/>
    <n v="19"/>
    <m/>
    <s v="BUCKAROO ST.DERDENGELDEN"/>
    <s v="UIT"/>
    <s v="DIV"/>
    <s v="joost repre"/>
    <m/>
    <m/>
    <m/>
    <m/>
    <m/>
    <m/>
    <m/>
    <m/>
    <m/>
    <m/>
  </r>
  <r>
    <n v="639"/>
    <x v="3"/>
    <m/>
    <x v="1"/>
    <x v="3"/>
    <d v="2017-10-11T00:00:00"/>
    <d v="2017-10-11T00:00:00"/>
    <n v="-5.54"/>
    <n v="5.54"/>
    <m/>
    <s v="PostMasters Arnhem ARNHEM"/>
    <s v="UIT"/>
    <s v="DIV"/>
    <s v="div"/>
    <m/>
    <m/>
    <m/>
    <m/>
    <m/>
    <m/>
    <m/>
    <m/>
    <m/>
    <m/>
  </r>
  <r>
    <n v="642"/>
    <x v="3"/>
    <m/>
    <x v="1"/>
    <x v="3"/>
    <d v="2017-10-12T00:00:00"/>
    <d v="2017-10-12T00:00:00"/>
    <n v="-1.05"/>
    <n v="1.05"/>
    <m/>
    <s v="Primera Arnhem Centr ARNHEM"/>
    <s v="UIT"/>
    <s v="DIV"/>
    <s v="div"/>
    <m/>
    <m/>
    <m/>
    <m/>
    <m/>
    <m/>
    <m/>
    <m/>
    <m/>
    <m/>
  </r>
  <r>
    <n v="658"/>
    <x v="3"/>
    <m/>
    <x v="1"/>
    <x v="3"/>
    <d v="2017-10-19T00:00:00"/>
    <d v="2017-10-19T00:00:00"/>
    <n v="-5"/>
    <n v="5"/>
    <m/>
    <s v="FOTO VIDEO SMITS BV ARNHEM"/>
    <s v="UIT"/>
    <s v="DIV"/>
    <s v="div"/>
    <m/>
    <m/>
    <m/>
    <m/>
    <m/>
    <m/>
    <m/>
    <m/>
    <m/>
    <m/>
  </r>
  <r>
    <n v="681"/>
    <x v="3"/>
    <m/>
    <x v="1"/>
    <x v="3"/>
    <d v="2017-10-25T00:00:00"/>
    <d v="2017-10-25T00:00:00"/>
    <n v="-3.5"/>
    <n v="3.5"/>
    <m/>
    <s v="CCV*HOBBIX COMPUTERS STADSKANAAL"/>
    <s v="UIT"/>
    <s v="DIV"/>
    <s v="div"/>
    <m/>
    <m/>
    <m/>
    <m/>
    <m/>
    <m/>
    <m/>
    <m/>
    <m/>
    <m/>
  </r>
  <r>
    <n v="684"/>
    <x v="3"/>
    <m/>
    <x v="1"/>
    <x v="3"/>
    <d v="2017-10-27T00:00:00"/>
    <d v="2017-10-27T00:00:00"/>
    <n v="-0.49"/>
    <n v="0.49"/>
    <m/>
    <s v="CCV*HOBBIX COMPUTERS STADSKANAAL"/>
    <s v="UIT"/>
    <s v="DIV"/>
    <s v="div"/>
    <m/>
    <m/>
    <m/>
    <m/>
    <m/>
    <m/>
    <m/>
    <m/>
    <m/>
    <m/>
  </r>
  <r>
    <n v="690"/>
    <x v="3"/>
    <m/>
    <x v="1"/>
    <x v="3"/>
    <d v="2017-10-31T00:00:00"/>
    <d v="2017-10-31T00:00:00"/>
    <n v="-6.98"/>
    <n v="6.98"/>
    <m/>
    <s v="Blokker554 Musselkan MUSSELKANAAL"/>
    <s v="UIT"/>
    <s v="DIV"/>
    <s v="div"/>
    <m/>
    <m/>
    <m/>
    <m/>
    <m/>
    <m/>
    <m/>
    <m/>
    <m/>
    <m/>
  </r>
  <r>
    <n v="691"/>
    <x v="3"/>
    <m/>
    <x v="1"/>
    <x v="3"/>
    <d v="2017-10-31T00:00:00"/>
    <d v="2017-10-31T00:00:00"/>
    <n v="-1.99"/>
    <n v="1.99"/>
    <m/>
    <s v="Action 1072 Stadskanaal"/>
    <s v="UIT"/>
    <s v="DIV"/>
    <s v="div"/>
    <m/>
    <m/>
    <m/>
    <m/>
    <m/>
    <m/>
    <m/>
    <m/>
    <m/>
    <m/>
  </r>
  <r>
    <n v="694"/>
    <x v="3"/>
    <m/>
    <x v="1"/>
    <x v="3"/>
    <d v="2017-10-31T00:00:00"/>
    <d v="2017-10-31T00:00:00"/>
    <n v="-13.99"/>
    <n v="13.99"/>
    <m/>
    <s v="bol.com b.v."/>
    <s v="UIT"/>
    <s v="DIV"/>
    <s v="repre"/>
    <m/>
    <m/>
    <m/>
    <m/>
    <m/>
    <m/>
    <m/>
    <m/>
    <m/>
    <m/>
  </r>
  <r>
    <n v="700"/>
    <x v="3"/>
    <m/>
    <x v="1"/>
    <x v="4"/>
    <d v="2017-11-03T00:00:00"/>
    <d v="2017-11-03T00:00:00"/>
    <n v="-15.12"/>
    <n v="15.12"/>
    <m/>
    <s v="PATHE THEATRES BV"/>
    <s v="UIT"/>
    <s v="DIV"/>
    <s v="joost repre"/>
    <m/>
    <m/>
    <m/>
    <m/>
    <m/>
    <m/>
    <m/>
    <m/>
    <m/>
    <m/>
  </r>
  <r>
    <n v="705"/>
    <x v="3"/>
    <m/>
    <x v="1"/>
    <x v="4"/>
    <d v="2017-11-24T00:00:00"/>
    <d v="2017-11-24T00:00:00"/>
    <n v="1"/>
    <n v="1"/>
    <m/>
    <s v="BOL.COM BV"/>
    <s v="UIT"/>
    <s v="DIV"/>
    <s v="repre"/>
    <m/>
    <m/>
    <m/>
    <m/>
    <m/>
    <m/>
    <m/>
    <m/>
    <m/>
    <m/>
  </r>
  <r>
    <n v="708"/>
    <x v="3"/>
    <m/>
    <x v="1"/>
    <x v="5"/>
    <d v="2017-12-05T00:00:00"/>
    <d v="2017-12-05T00:00:00"/>
    <n v="-0.17"/>
    <n v="0.17"/>
    <m/>
    <s v="Debetrente"/>
    <s v="UIT"/>
    <s v="DIV"/>
    <s v="rente"/>
    <m/>
    <m/>
    <m/>
    <m/>
    <m/>
    <m/>
    <m/>
    <m/>
    <m/>
    <m/>
  </r>
  <r>
    <n v="711"/>
    <x v="3"/>
    <m/>
    <x v="1"/>
    <x v="5"/>
    <d v="2017-12-19T00:00:00"/>
    <d v="2017-12-19T00:00:00"/>
    <n v="8.25"/>
    <n v="8.25"/>
    <m/>
    <s v="Ait Amirat Anais"/>
    <s v="UIT"/>
    <s v="DIV"/>
    <s v="div"/>
    <m/>
    <m/>
    <m/>
    <m/>
    <m/>
    <m/>
    <m/>
    <m/>
    <m/>
    <m/>
  </r>
  <r>
    <n v="713"/>
    <x v="3"/>
    <m/>
    <x v="1"/>
    <x v="5"/>
    <d v="2017-12-22T00:00:00"/>
    <d v="2017-12-22T00:00:00"/>
    <n v="-5"/>
    <n v="5"/>
    <m/>
    <s v="STICHTING J O H O"/>
    <s v="UIT"/>
    <s v="DIV"/>
    <s v="div"/>
    <m/>
    <m/>
    <m/>
    <m/>
    <m/>
    <m/>
    <m/>
    <m/>
    <m/>
    <m/>
  </r>
  <r>
    <n v="716"/>
    <x v="0"/>
    <m/>
    <x v="1"/>
    <x v="44"/>
    <d v="2017-04-18T00:00:00"/>
    <d v="2017-04-18T00:00:00"/>
    <n v="0.99"/>
    <n v="0.99"/>
    <m/>
    <s v="ITUNES.COM/BILL ITUNES.COM IRL"/>
    <s v="UIT"/>
    <s v="DIV"/>
    <s v="itunes"/>
    <m/>
    <m/>
    <m/>
    <m/>
    <m/>
    <m/>
    <m/>
    <m/>
    <m/>
    <m/>
  </r>
  <r>
    <n v="722"/>
    <x v="1"/>
    <m/>
    <x v="2"/>
    <x v="6"/>
    <d v="2018-01-02T00:00:00"/>
    <d v="2018-01-02T00:00:00"/>
    <n v="-2.08"/>
    <n v="2.08"/>
    <m/>
    <s v="PRLV SEPA PAYPAL EUROPE S.A.R.L. ET CIE S.C.A ECH/"/>
    <s v="UIT"/>
    <s v="DIV"/>
    <s v="div"/>
    <m/>
    <m/>
    <m/>
    <m/>
    <m/>
    <m/>
    <m/>
    <m/>
    <m/>
    <m/>
  </r>
  <r>
    <n v="725"/>
    <x v="1"/>
    <m/>
    <x v="2"/>
    <x v="6"/>
    <d v="2018-01-03T00:00:00"/>
    <d v="2018-01-03T00:00:00"/>
    <n v="-0.99"/>
    <n v="0.99"/>
    <m/>
    <s v="FACTURE CARTE DU 020118 ITUNES.COM/BILL CARTE 4974XXXX"/>
    <s v="UIT"/>
    <s v="DIV"/>
    <s v="itunes"/>
    <m/>
    <m/>
    <m/>
    <m/>
    <m/>
    <m/>
    <m/>
    <m/>
    <m/>
    <m/>
  </r>
  <r>
    <n v="732"/>
    <x v="1"/>
    <m/>
    <x v="2"/>
    <x v="9"/>
    <d v="2018-02-05T00:00:00"/>
    <d v="2018-02-05T00:00:00"/>
    <n v="-0.99"/>
    <n v="0.99"/>
    <m/>
    <s v="FACTURE CARTE DU 020218 ITUNES.COM/BILL CARTE 4974XXXX"/>
    <s v="UIT"/>
    <s v="DIV"/>
    <s v="itunes"/>
    <m/>
    <m/>
    <m/>
    <m/>
    <m/>
    <m/>
    <m/>
    <m/>
    <m/>
    <m/>
  </r>
  <r>
    <n v="739"/>
    <x v="1"/>
    <m/>
    <x v="2"/>
    <x v="10"/>
    <d v="2018-03-05T00:00:00"/>
    <d v="2018-03-05T00:00:00"/>
    <n v="-5.44"/>
    <n v="5.44"/>
    <m/>
    <s v="PRLV SEPA PAYPAL EUROPE S.A.R.L. ET CIE S.C.A ECH/"/>
    <s v="UIT"/>
    <s v="DIV"/>
    <s v="div"/>
    <m/>
    <m/>
    <m/>
    <m/>
    <m/>
    <m/>
    <m/>
    <m/>
    <m/>
    <m/>
  </r>
  <r>
    <n v="740"/>
    <x v="1"/>
    <m/>
    <x v="2"/>
    <x v="10"/>
    <d v="2018-03-05T00:00:00"/>
    <d v="2018-03-05T00:00:00"/>
    <n v="-0.99"/>
    <n v="0.99"/>
    <m/>
    <s v="FACTURE CARTE DU 020318 ITUNES.COM/BILL CARTE 4974XXXX"/>
    <s v="UIT"/>
    <s v="DIV"/>
    <s v="itunes"/>
    <m/>
    <m/>
    <m/>
    <m/>
    <m/>
    <m/>
    <m/>
    <m/>
    <m/>
    <m/>
  </r>
  <r>
    <n v="746"/>
    <x v="1"/>
    <m/>
    <x v="2"/>
    <x v="49"/>
    <d v="2018-04-15T00:00:00"/>
    <d v="2018-04-15T00:00:00"/>
    <n v="-0.99"/>
    <n v="0.99"/>
    <m/>
    <s v="itunes"/>
    <s v="UIT"/>
    <s v="DIV"/>
    <s v="itunes"/>
    <m/>
    <m/>
    <m/>
    <m/>
    <m/>
    <m/>
    <m/>
    <m/>
    <m/>
    <m/>
  </r>
  <r>
    <n v="751"/>
    <x v="1"/>
    <m/>
    <x v="2"/>
    <x v="50"/>
    <d v="2018-05-15T00:00:00"/>
    <d v="2018-05-15T00:00:00"/>
    <n v="-0.99"/>
    <n v="0.99"/>
    <m/>
    <s v="itunes"/>
    <s v="UIT"/>
    <s v="DIV"/>
    <s v="itunes"/>
    <m/>
    <m/>
    <m/>
    <m/>
    <m/>
    <m/>
    <m/>
    <m/>
    <m/>
    <m/>
  </r>
  <r>
    <n v="757"/>
    <x v="1"/>
    <m/>
    <x v="2"/>
    <x v="51"/>
    <d v="2018-06-15T00:00:00"/>
    <d v="2018-06-15T00:00:00"/>
    <n v="-0.99"/>
    <n v="0.99"/>
    <m/>
    <s v="itunes"/>
    <s v="UIT"/>
    <s v="DIV"/>
    <s v="itunes"/>
    <m/>
    <m/>
    <m/>
    <m/>
    <m/>
    <m/>
    <m/>
    <m/>
    <m/>
    <m/>
  </r>
  <r>
    <n v="762"/>
    <x v="1"/>
    <m/>
    <x v="2"/>
    <x v="52"/>
    <d v="2018-07-15T00:00:00"/>
    <d v="2018-07-15T00:00:00"/>
    <n v="-0.99"/>
    <n v="0.99"/>
    <m/>
    <s v="itunes"/>
    <s v="UIT"/>
    <s v="DIV"/>
    <s v="itunes"/>
    <m/>
    <m/>
    <m/>
    <m/>
    <m/>
    <m/>
    <m/>
    <m/>
    <m/>
    <m/>
  </r>
  <r>
    <n v="769"/>
    <x v="1"/>
    <m/>
    <x v="2"/>
    <x v="37"/>
    <d v="2018-08-15T00:00:00"/>
    <d v="2018-08-15T00:00:00"/>
    <n v="0.99"/>
    <n v="0.99"/>
    <m/>
    <s v="itunes"/>
    <s v="UIT"/>
    <s v="DIV"/>
    <s v="itunes"/>
    <m/>
    <m/>
    <m/>
    <m/>
    <m/>
    <m/>
    <m/>
    <m/>
    <m/>
    <m/>
  </r>
  <r>
    <n v="786"/>
    <x v="1"/>
    <m/>
    <x v="2"/>
    <x v="7"/>
    <d v="2018-11-01T00:00:00"/>
    <d v="2018-11-01T00:00:00"/>
    <n v="-3"/>
    <n v="3"/>
    <m/>
    <s v="relay"/>
    <s v="UIT"/>
    <s v="DIV"/>
    <s v="parijs"/>
    <s v="PARIJS"/>
    <m/>
    <m/>
    <m/>
    <m/>
    <m/>
    <m/>
    <m/>
    <m/>
    <m/>
  </r>
  <r>
    <n v="787"/>
    <x v="1"/>
    <m/>
    <x v="2"/>
    <x v="7"/>
    <d v="2018-11-01T00:00:00"/>
    <d v="2018-11-01T00:00:00"/>
    <n v="-7.6"/>
    <n v="7.6"/>
    <m/>
    <s v="ratp"/>
    <s v="UIT"/>
    <s v="DIV"/>
    <s v="parijs"/>
    <s v="PARIJS"/>
    <m/>
    <m/>
    <m/>
    <m/>
    <m/>
    <m/>
    <m/>
    <m/>
    <m/>
  </r>
  <r>
    <n v="788"/>
    <x v="1"/>
    <m/>
    <x v="2"/>
    <x v="7"/>
    <d v="2018-11-01T00:00:00"/>
    <d v="2018-11-01T00:00:00"/>
    <n v="-1.95"/>
    <n v="1.95"/>
    <m/>
    <s v="rapt"/>
    <s v="UIT"/>
    <s v="DIV"/>
    <s v="parijs"/>
    <s v="PARIJS"/>
    <m/>
    <m/>
    <m/>
    <m/>
    <m/>
    <m/>
    <m/>
    <m/>
    <m/>
  </r>
  <r>
    <n v="789"/>
    <x v="1"/>
    <m/>
    <x v="2"/>
    <x v="7"/>
    <d v="2018-11-01T00:00:00"/>
    <d v="2018-11-01T00:00:00"/>
    <n v="-10.3"/>
    <n v="10.3"/>
    <m/>
    <s v="rapt"/>
    <s v="UIT"/>
    <s v="DIV"/>
    <s v="parijs"/>
    <s v="PARIJS"/>
    <m/>
    <m/>
    <m/>
    <m/>
    <m/>
    <m/>
    <m/>
    <m/>
    <m/>
  </r>
  <r>
    <n v="790"/>
    <x v="1"/>
    <m/>
    <x v="2"/>
    <x v="7"/>
    <d v="2018-11-01T00:00:00"/>
    <d v="2018-11-01T00:00:00"/>
    <n v="-4"/>
    <n v="4"/>
    <m/>
    <s v="food"/>
    <s v="UIT"/>
    <s v="DIV"/>
    <s v="parijs"/>
    <s v="PARIJS"/>
    <m/>
    <m/>
    <m/>
    <m/>
    <m/>
    <m/>
    <m/>
    <m/>
    <m/>
  </r>
  <r>
    <n v="792"/>
    <x v="1"/>
    <m/>
    <x v="2"/>
    <x v="7"/>
    <d v="2018-11-01T00:00:00"/>
    <d v="2018-11-01T00:00:00"/>
    <n v="-137.33000000000001"/>
    <n v="137.33000000000001"/>
    <m/>
    <s v="hostel paris"/>
    <s v="UIT"/>
    <s v="DIV"/>
    <s v="hotel vooraf"/>
    <s v="PARIJS"/>
    <m/>
    <m/>
    <m/>
    <m/>
    <m/>
    <m/>
    <m/>
    <m/>
    <m/>
  </r>
  <r>
    <n v="793"/>
    <x v="1"/>
    <m/>
    <x v="2"/>
    <x v="7"/>
    <d v="2018-11-01T00:00:00"/>
    <d v="2018-11-01T00:00:00"/>
    <n v="-14.9"/>
    <n v="14.9"/>
    <m/>
    <s v="ratp"/>
    <s v="UIT"/>
    <s v="DIV"/>
    <s v="parijs"/>
    <s v="PARIJS"/>
    <m/>
    <m/>
    <m/>
    <m/>
    <m/>
    <m/>
    <m/>
    <m/>
    <m/>
  </r>
  <r>
    <n v="794"/>
    <x v="1"/>
    <m/>
    <x v="2"/>
    <x v="7"/>
    <d v="2018-11-01T00:00:00"/>
    <d v="2018-11-01T00:00:00"/>
    <n v="-9"/>
    <n v="9"/>
    <m/>
    <s v="hotel food"/>
    <s v="UIT"/>
    <s v="DIV"/>
    <s v="parijs"/>
    <s v="PARIJS"/>
    <m/>
    <m/>
    <m/>
    <m/>
    <m/>
    <m/>
    <m/>
    <m/>
    <m/>
  </r>
  <r>
    <n v="795"/>
    <x v="1"/>
    <m/>
    <x v="2"/>
    <x v="7"/>
    <d v="2018-11-01T00:00:00"/>
    <d v="2018-11-01T00:00:00"/>
    <n v="-5"/>
    <n v="5"/>
    <m/>
    <s v="div parijs"/>
    <s v="UIT"/>
    <s v="DIV"/>
    <s v="parijs"/>
    <s v="PARIJS"/>
    <m/>
    <m/>
    <m/>
    <m/>
    <m/>
    <m/>
    <m/>
    <m/>
    <m/>
  </r>
  <r>
    <n v="796"/>
    <x v="1"/>
    <m/>
    <x v="2"/>
    <x v="7"/>
    <d v="2018-11-01T00:00:00"/>
    <d v="2018-11-01T00:00:00"/>
    <n v="-8"/>
    <n v="8"/>
    <m/>
    <s v="div parijs"/>
    <s v="UIT"/>
    <s v="DIV"/>
    <s v="parijs"/>
    <s v="PARIJS"/>
    <m/>
    <m/>
    <m/>
    <m/>
    <m/>
    <m/>
    <m/>
    <m/>
    <m/>
  </r>
  <r>
    <n v="797"/>
    <x v="1"/>
    <m/>
    <x v="2"/>
    <x v="7"/>
    <d v="2018-11-01T00:00:00"/>
    <d v="2018-11-01T00:00:00"/>
    <n v="-3"/>
    <n v="3"/>
    <m/>
    <s v="div parijs"/>
    <s v="UIT"/>
    <s v="DIV"/>
    <s v="parijs"/>
    <s v="PARIJS"/>
    <m/>
    <m/>
    <m/>
    <m/>
    <m/>
    <m/>
    <m/>
    <m/>
    <m/>
  </r>
  <r>
    <n v="799"/>
    <x v="1"/>
    <m/>
    <x v="2"/>
    <x v="7"/>
    <d v="2018-11-01T00:00:00"/>
    <d v="2018-11-01T00:00:00"/>
    <n v="-16.62"/>
    <n v="16.62"/>
    <m/>
    <s v="amazon book kids yoga"/>
    <s v="UIT"/>
    <s v="DIV"/>
    <s v="boeken"/>
    <m/>
    <m/>
    <m/>
    <m/>
    <m/>
    <m/>
    <m/>
    <m/>
    <m/>
    <m/>
  </r>
  <r>
    <n v="822"/>
    <x v="5"/>
    <m/>
    <x v="2"/>
    <x v="9"/>
    <d v="2018-02-21T00:00:00"/>
    <d v="2018-02-21T00:00:00"/>
    <n v="-4.5"/>
    <n v="4.5"/>
    <m/>
    <s v="Postzegel Nicky"/>
    <s v="UIT"/>
    <s v="DIV"/>
    <s v="div"/>
    <m/>
    <m/>
    <m/>
    <m/>
    <m/>
    <m/>
    <m/>
    <m/>
    <m/>
    <m/>
  </r>
  <r>
    <n v="826"/>
    <x v="5"/>
    <m/>
    <x v="2"/>
    <x v="10"/>
    <d v="2018-03-02T00:00:00"/>
    <d v="2018-03-02T00:00:00"/>
    <n v="-3.3"/>
    <n v="3.3"/>
    <m/>
    <s v="kasverschil"/>
    <s v="UIT"/>
    <s v="DIV"/>
    <s v="kasverschil"/>
    <m/>
    <m/>
    <m/>
    <m/>
    <m/>
    <m/>
    <m/>
    <m/>
    <m/>
    <m/>
  </r>
  <r>
    <n v="827"/>
    <x v="5"/>
    <m/>
    <x v="2"/>
    <x v="10"/>
    <d v="2018-03-02T00:00:00"/>
    <d v="2018-03-02T00:00:00"/>
    <n v="-5"/>
    <n v="5"/>
    <m/>
    <s v="sleutel"/>
    <s v="UIT"/>
    <s v="DIV"/>
    <s v="div"/>
    <m/>
    <m/>
    <m/>
    <m/>
    <m/>
    <m/>
    <m/>
    <m/>
    <m/>
    <m/>
  </r>
  <r>
    <n v="828"/>
    <x v="5"/>
    <m/>
    <x v="2"/>
    <x v="10"/>
    <d v="2018-03-02T00:00:00"/>
    <d v="2018-03-02T00:00:00"/>
    <n v="-3.6"/>
    <n v="3.6"/>
    <m/>
    <s v="prints en verzenden contract Vacansoleil"/>
    <s v="UIT"/>
    <s v="DIV"/>
    <s v="div"/>
    <m/>
    <m/>
    <m/>
    <m/>
    <m/>
    <m/>
    <m/>
    <m/>
    <m/>
    <m/>
  </r>
  <r>
    <n v="829"/>
    <x v="5"/>
    <m/>
    <x v="2"/>
    <x v="10"/>
    <d v="2018-03-02T00:00:00"/>
    <d v="2018-03-02T00:00:00"/>
    <n v="-2"/>
    <n v="2"/>
    <m/>
    <s v="keychords"/>
    <s v="UIT"/>
    <s v="DIV"/>
    <s v="div"/>
    <m/>
    <m/>
    <m/>
    <m/>
    <m/>
    <m/>
    <m/>
    <m/>
    <m/>
    <m/>
  </r>
  <r>
    <n v="833"/>
    <x v="5"/>
    <m/>
    <x v="2"/>
    <x v="10"/>
    <d v="2018-03-02T00:00:00"/>
    <d v="2018-03-02T00:00:00"/>
    <n v="-12"/>
    <n v="12"/>
    <m/>
    <s v="wasmunten + drogen"/>
    <s v="UIT"/>
    <s v="DIV"/>
    <s v="div"/>
    <m/>
    <m/>
    <m/>
    <m/>
    <m/>
    <m/>
    <m/>
    <m/>
    <m/>
    <m/>
  </r>
  <r>
    <n v="834"/>
    <x v="5"/>
    <m/>
    <x v="2"/>
    <x v="10"/>
    <d v="2018-03-02T00:00:00"/>
    <d v="2018-03-02T00:00:00"/>
    <n v="-0.7"/>
    <n v="0.7"/>
    <m/>
    <s v="plectrum"/>
    <s v="UIT"/>
    <s v="DIV"/>
    <s v="div"/>
    <m/>
    <m/>
    <m/>
    <m/>
    <m/>
    <m/>
    <m/>
    <m/>
    <m/>
    <m/>
  </r>
  <r>
    <n v="835"/>
    <x v="5"/>
    <m/>
    <x v="2"/>
    <x v="10"/>
    <d v="2018-03-09T00:00:00"/>
    <d v="2018-03-09T00:00:00"/>
    <n v="-0.2"/>
    <n v="0.2"/>
    <m/>
    <s v="kasverschil"/>
    <s v="UIT"/>
    <s v="DIV"/>
    <s v="kasverschil"/>
    <m/>
    <m/>
    <m/>
    <m/>
    <m/>
    <m/>
    <m/>
    <m/>
    <m/>
    <m/>
  </r>
  <r>
    <n v="841"/>
    <x v="5"/>
    <m/>
    <x v="2"/>
    <x v="10"/>
    <d v="2018-03-09T00:00:00"/>
    <d v="2018-03-09T00:00:00"/>
    <n v="-1"/>
    <n v="1"/>
    <m/>
    <s v="sponsjes"/>
    <s v="UIT"/>
    <s v="DIV"/>
    <s v="div"/>
    <m/>
    <m/>
    <m/>
    <m/>
    <m/>
    <m/>
    <m/>
    <m/>
    <m/>
    <m/>
  </r>
  <r>
    <n v="846"/>
    <x v="5"/>
    <m/>
    <x v="2"/>
    <x v="10"/>
    <d v="2018-03-09T00:00:00"/>
    <d v="2018-03-09T00:00:00"/>
    <n v="-1.31"/>
    <n v="1.31"/>
    <m/>
    <s v="kasverschil"/>
    <s v="UIT"/>
    <s v="DIV"/>
    <s v="kasverschil"/>
    <m/>
    <m/>
    <m/>
    <m/>
    <m/>
    <m/>
    <m/>
    <m/>
    <m/>
    <m/>
  </r>
  <r>
    <n v="850"/>
    <x v="5"/>
    <m/>
    <x v="2"/>
    <x v="10"/>
    <d v="2018-03-31T00:00:00"/>
    <d v="2018-03-31T00:00:00"/>
    <n v="-19.100000000000001"/>
    <n v="19.100000000000001"/>
    <m/>
    <s v="kasverschil 6 dgn wisselgeld supermarkt???"/>
    <s v="UIT"/>
    <s v="DIV"/>
    <s v="kasverschil"/>
    <m/>
    <m/>
    <m/>
    <m/>
    <m/>
    <m/>
    <m/>
    <m/>
    <m/>
    <m/>
  </r>
  <r>
    <n v="854"/>
    <x v="5"/>
    <m/>
    <x v="2"/>
    <x v="49"/>
    <d v="2018-04-15T00:00:00"/>
    <d v="2018-04-15T00:00:00"/>
    <n v="-12"/>
    <n v="12"/>
    <m/>
    <s v="kasverschil vs"/>
    <s v="UIT"/>
    <s v="DIV"/>
    <s v="kasverschil"/>
    <m/>
    <m/>
    <m/>
    <m/>
    <m/>
    <m/>
    <m/>
    <m/>
    <m/>
    <m/>
  </r>
  <r>
    <n v="856"/>
    <x v="5"/>
    <m/>
    <x v="2"/>
    <x v="49"/>
    <d v="2018-04-15T00:00:00"/>
    <d v="2018-04-15T00:00:00"/>
    <n v="-1"/>
    <n v="1"/>
    <m/>
    <s v="sleutel fiji8"/>
    <s v="UIT"/>
    <s v="DIV"/>
    <s v="div"/>
    <m/>
    <m/>
    <m/>
    <m/>
    <m/>
    <m/>
    <m/>
    <m/>
    <m/>
    <m/>
  </r>
  <r>
    <n v="862"/>
    <x v="5"/>
    <m/>
    <x v="2"/>
    <x v="49"/>
    <d v="2018-04-15T00:00:00"/>
    <d v="2018-04-15T00:00:00"/>
    <n v="-12.5"/>
    <n v="12.5"/>
    <m/>
    <s v="waskaart"/>
    <s v="UIT"/>
    <s v="DIV"/>
    <s v="div"/>
    <m/>
    <m/>
    <m/>
    <m/>
    <m/>
    <m/>
    <m/>
    <m/>
    <m/>
    <m/>
  </r>
  <r>
    <n v="863"/>
    <x v="5"/>
    <m/>
    <x v="2"/>
    <x v="49"/>
    <d v="2018-04-15T00:00:00"/>
    <d v="2018-04-15T00:00:00"/>
    <n v="-10"/>
    <n v="10"/>
    <m/>
    <s v="borg waskaart"/>
    <s v="UIT"/>
    <s v="DIV"/>
    <s v="div"/>
    <m/>
    <m/>
    <m/>
    <m/>
    <m/>
    <m/>
    <m/>
    <m/>
    <m/>
    <m/>
  </r>
  <r>
    <n v="868"/>
    <x v="5"/>
    <m/>
    <x v="2"/>
    <x v="49"/>
    <d v="2018-04-15T00:00:00"/>
    <d v="2018-04-15T00:00:00"/>
    <n v="-2.9"/>
    <n v="2.9"/>
    <m/>
    <s v="bakjes KASsa"/>
    <s v="UIT"/>
    <s v="DIV"/>
    <s v="div"/>
    <m/>
    <m/>
    <m/>
    <m/>
    <m/>
    <m/>
    <m/>
    <m/>
    <m/>
    <m/>
  </r>
  <r>
    <n v="877"/>
    <x v="5"/>
    <m/>
    <x v="2"/>
    <x v="49"/>
    <d v="2018-04-15T00:00:00"/>
    <d v="2018-04-15T00:00:00"/>
    <n v="-1"/>
    <n v="1"/>
    <m/>
    <s v="kasverschilvs"/>
    <s v="UIT"/>
    <s v="DIV"/>
    <s v="kasverschil"/>
    <m/>
    <m/>
    <m/>
    <m/>
    <m/>
    <m/>
    <m/>
    <m/>
    <m/>
    <m/>
  </r>
  <r>
    <n v="885"/>
    <x v="5"/>
    <m/>
    <x v="2"/>
    <x v="49"/>
    <d v="2018-04-15T00:00:00"/>
    <d v="2018-04-15T00:00:00"/>
    <n v="-1.47"/>
    <n v="1.47"/>
    <m/>
    <s v="kasverschil"/>
    <s v="UIT"/>
    <s v="DIV"/>
    <s v="kasverschil"/>
    <m/>
    <m/>
    <m/>
    <m/>
    <m/>
    <m/>
    <m/>
    <m/>
    <m/>
    <m/>
  </r>
  <r>
    <n v="888"/>
    <x v="5"/>
    <m/>
    <x v="2"/>
    <x v="49"/>
    <d v="2018-04-15T00:00:00"/>
    <d v="2018-04-15T00:00:00"/>
    <n v="-5"/>
    <n v="5"/>
    <m/>
    <s v="selfiestick"/>
    <s v="UIT"/>
    <s v="DIV"/>
    <s v="div"/>
    <m/>
    <m/>
    <m/>
    <m/>
    <m/>
    <m/>
    <m/>
    <m/>
    <m/>
    <m/>
  </r>
  <r>
    <n v="891"/>
    <x v="5"/>
    <m/>
    <x v="2"/>
    <x v="49"/>
    <d v="2018-04-15T00:00:00"/>
    <d v="2018-04-15T00:00:00"/>
    <n v="-1.8"/>
    <n v="1.8"/>
    <m/>
    <s v="vanity fair francesca"/>
    <s v="UIT"/>
    <s v="DIV"/>
    <s v="div"/>
    <m/>
    <m/>
    <m/>
    <m/>
    <m/>
    <m/>
    <m/>
    <m/>
    <m/>
    <m/>
  </r>
  <r>
    <n v="899"/>
    <x v="5"/>
    <m/>
    <x v="2"/>
    <x v="49"/>
    <d v="2018-04-15T00:00:00"/>
    <d v="2018-04-15T00:00:00"/>
    <n v="-2"/>
    <n v="2"/>
    <m/>
    <s v="chinesewinkel"/>
    <s v="UIT"/>
    <s v="DIV"/>
    <s v="div"/>
    <m/>
    <m/>
    <m/>
    <m/>
    <m/>
    <m/>
    <m/>
    <m/>
    <m/>
    <m/>
  </r>
  <r>
    <n v="901"/>
    <x v="5"/>
    <m/>
    <x v="2"/>
    <x v="49"/>
    <d v="2018-04-15T00:00:00"/>
    <d v="2018-04-15T00:00:00"/>
    <n v="-7.03"/>
    <n v="7.03"/>
    <m/>
    <s v="kasverschil"/>
    <s v="UIT"/>
    <s v="DIV"/>
    <s v="kasverschil"/>
    <m/>
    <m/>
    <m/>
    <m/>
    <m/>
    <m/>
    <m/>
    <m/>
    <m/>
    <m/>
  </r>
  <r>
    <n v="903"/>
    <x v="5"/>
    <m/>
    <x v="2"/>
    <x v="50"/>
    <d v="2018-05-15T00:00:00"/>
    <d v="2018-05-15T00:00:00"/>
    <n v="-3"/>
    <n v="3"/>
    <m/>
    <s v="sleutels"/>
    <s v="UIT"/>
    <s v="DIV"/>
    <s v="div"/>
    <m/>
    <m/>
    <m/>
    <m/>
    <m/>
    <m/>
    <m/>
    <m/>
    <m/>
    <m/>
  </r>
  <r>
    <n v="912"/>
    <x v="5"/>
    <m/>
    <x v="2"/>
    <x v="50"/>
    <d v="2018-05-15T00:00:00"/>
    <d v="2018-05-15T00:00:00"/>
    <n v="-8"/>
    <n v="8"/>
    <m/>
    <s v="tripod"/>
    <s v="UIT"/>
    <s v="DIV"/>
    <s v="div"/>
    <m/>
    <m/>
    <m/>
    <m/>
    <m/>
    <m/>
    <m/>
    <m/>
    <m/>
    <m/>
  </r>
  <r>
    <n v="919"/>
    <x v="5"/>
    <m/>
    <x v="2"/>
    <x v="50"/>
    <d v="2018-05-15T00:00:00"/>
    <d v="2018-05-15T00:00:00"/>
    <n v="-2"/>
    <n v="2"/>
    <m/>
    <s v="tiger"/>
    <s v="UIT"/>
    <s v="DIV"/>
    <s v="div"/>
    <m/>
    <m/>
    <m/>
    <m/>
    <m/>
    <m/>
    <m/>
    <m/>
    <m/>
    <m/>
  </r>
  <r>
    <n v="923"/>
    <x v="5"/>
    <m/>
    <x v="2"/>
    <x v="50"/>
    <d v="2018-05-15T00:00:00"/>
    <d v="2018-05-15T00:00:00"/>
    <n v="-1.81"/>
    <n v="1.81"/>
    <m/>
    <s v="kasverschil"/>
    <s v="UIT"/>
    <s v="DIV"/>
    <s v="kasverschil"/>
    <m/>
    <m/>
    <m/>
    <m/>
    <m/>
    <m/>
    <m/>
    <m/>
    <m/>
    <m/>
  </r>
  <r>
    <n v="926"/>
    <x v="5"/>
    <m/>
    <x v="2"/>
    <x v="50"/>
    <d v="2018-05-15T00:00:00"/>
    <d v="2018-05-15T00:00:00"/>
    <n v="-8"/>
    <n v="8"/>
    <m/>
    <s v="iphone cable"/>
    <s v="UIT"/>
    <s v="DIV"/>
    <s v="div"/>
    <m/>
    <m/>
    <m/>
    <m/>
    <m/>
    <m/>
    <m/>
    <m/>
    <m/>
    <m/>
  </r>
  <r>
    <n v="929"/>
    <x v="5"/>
    <m/>
    <x v="2"/>
    <x v="50"/>
    <d v="2018-05-15T00:00:00"/>
    <d v="2018-05-15T00:00:00"/>
    <n v="1.27"/>
    <n v="1.27"/>
    <m/>
    <s v="kasverschil"/>
    <s v="UIT"/>
    <s v="DIV"/>
    <s v="kasverschil"/>
    <m/>
    <m/>
    <m/>
    <m/>
    <m/>
    <m/>
    <m/>
    <m/>
    <m/>
    <m/>
  </r>
  <r>
    <n v="933"/>
    <x v="5"/>
    <m/>
    <x v="2"/>
    <x v="50"/>
    <d v="2018-05-15T00:00:00"/>
    <d v="2018-05-15T00:00:00"/>
    <n v="-1.5"/>
    <n v="1.5"/>
    <m/>
    <s v="veters+naaigerei"/>
    <s v="UIT"/>
    <s v="DIV"/>
    <s v="div"/>
    <m/>
    <m/>
    <m/>
    <m/>
    <m/>
    <m/>
    <m/>
    <m/>
    <m/>
    <m/>
  </r>
  <r>
    <n v="937"/>
    <x v="5"/>
    <m/>
    <x v="2"/>
    <x v="50"/>
    <d v="2018-05-15T00:00:00"/>
    <d v="2018-05-15T00:00:00"/>
    <n v="-0.8"/>
    <n v="0.8"/>
    <m/>
    <s v="kasverschil 8 dgn"/>
    <s v="UIT"/>
    <s v="DIV"/>
    <s v="kasverschil"/>
    <m/>
    <m/>
    <m/>
    <m/>
    <m/>
    <m/>
    <m/>
    <m/>
    <m/>
    <m/>
  </r>
  <r>
    <n v="939"/>
    <x v="5"/>
    <m/>
    <x v="2"/>
    <x v="50"/>
    <d v="2018-05-15T00:00:00"/>
    <d v="2018-05-15T00:00:00"/>
    <n v="-3"/>
    <n v="3"/>
    <m/>
    <s v="kasverschil  "/>
    <s v="UIT"/>
    <s v="DIV"/>
    <s v="kasverschil"/>
    <m/>
    <m/>
    <m/>
    <m/>
    <m/>
    <m/>
    <m/>
    <m/>
    <m/>
    <m/>
  </r>
  <r>
    <n v="948"/>
    <x v="5"/>
    <m/>
    <x v="2"/>
    <x v="51"/>
    <d v="2018-06-03T00:00:00"/>
    <d v="2018-06-03T00:00:00"/>
    <n v="4.7"/>
    <n v="4.7"/>
    <m/>
    <s v="kasverschil"/>
    <s v="UIT"/>
    <s v="DIV"/>
    <s v="kasverschil"/>
    <m/>
    <m/>
    <m/>
    <m/>
    <m/>
    <m/>
    <m/>
    <m/>
    <m/>
    <m/>
  </r>
  <r>
    <n v="949"/>
    <x v="5"/>
    <m/>
    <x v="2"/>
    <x v="51"/>
    <d v="2018-06-03T00:00:00"/>
    <d v="2018-06-03T00:00:00"/>
    <n v="-2"/>
    <n v="2"/>
    <m/>
    <s v="cheyenne kado"/>
    <s v="UIT"/>
    <s v="DIV"/>
    <s v="repre"/>
    <m/>
    <m/>
    <m/>
    <m/>
    <m/>
    <m/>
    <m/>
    <m/>
    <m/>
    <m/>
  </r>
  <r>
    <n v="950"/>
    <x v="5"/>
    <m/>
    <x v="2"/>
    <x v="51"/>
    <d v="2018-06-03T00:00:00"/>
    <d v="2018-06-03T00:00:00"/>
    <n v="-2"/>
    <n v="2"/>
    <m/>
    <s v="voetbalpool"/>
    <s v="UIT"/>
    <s v="DIV"/>
    <s v="div"/>
    <m/>
    <m/>
    <m/>
    <m/>
    <m/>
    <m/>
    <m/>
    <m/>
    <m/>
    <m/>
  </r>
  <r>
    <n v="961"/>
    <x v="5"/>
    <m/>
    <x v="2"/>
    <x v="51"/>
    <d v="2018-06-03T00:00:00"/>
    <d v="2018-06-03T00:00:00"/>
    <n v="-11.54"/>
    <n v="11.54"/>
    <m/>
    <s v="kasverschil"/>
    <s v="UIT"/>
    <s v="DIV"/>
    <s v="kasverschil"/>
    <m/>
    <m/>
    <m/>
    <m/>
    <m/>
    <m/>
    <m/>
    <m/>
    <m/>
    <m/>
  </r>
  <r>
    <n v="972"/>
    <x v="5"/>
    <m/>
    <x v="2"/>
    <x v="52"/>
    <d v="2018-07-03T00:00:00"/>
    <d v="2018-07-03T00:00:00"/>
    <n v="-5.65"/>
    <n v="5.65"/>
    <m/>
    <s v="kasverschil"/>
    <s v="UIT"/>
    <s v="DIV"/>
    <s v="kasverschil"/>
    <m/>
    <m/>
    <m/>
    <m/>
    <m/>
    <m/>
    <m/>
    <m/>
    <m/>
    <m/>
  </r>
  <r>
    <n v="974"/>
    <x v="5"/>
    <m/>
    <x v="2"/>
    <x v="52"/>
    <d v="2018-07-03T00:00:00"/>
    <d v="2018-07-03T00:00:00"/>
    <n v="-2"/>
    <n v="2"/>
    <m/>
    <s v="Kado JJoan"/>
    <s v="UIT"/>
    <s v="DIV"/>
    <s v="repre"/>
    <m/>
    <m/>
    <m/>
    <m/>
    <m/>
    <m/>
    <m/>
    <m/>
    <m/>
    <m/>
  </r>
  <r>
    <n v="982"/>
    <x v="5"/>
    <m/>
    <x v="2"/>
    <x v="52"/>
    <d v="2018-07-03T00:00:00"/>
    <d v="2018-07-03T00:00:00"/>
    <n v="8.1300000000000008"/>
    <n v="8.1300000000000008"/>
    <m/>
    <s v="kasverschil 1 dgn"/>
    <s v="UIT"/>
    <s v="DIV"/>
    <s v="kasverschil"/>
    <m/>
    <m/>
    <m/>
    <m/>
    <m/>
    <m/>
    <m/>
    <m/>
    <m/>
    <m/>
  </r>
  <r>
    <n v="989"/>
    <x v="5"/>
    <m/>
    <x v="2"/>
    <x v="52"/>
    <d v="2018-07-03T00:00:00"/>
    <d v="2018-07-03T00:00:00"/>
    <n v="-3.9"/>
    <n v="3.9"/>
    <m/>
    <s v="binnenband"/>
    <s v="UIT"/>
    <s v="DIV"/>
    <s v="repre"/>
    <m/>
    <m/>
    <m/>
    <m/>
    <m/>
    <m/>
    <m/>
    <m/>
    <m/>
    <m/>
  </r>
  <r>
    <n v="990"/>
    <x v="5"/>
    <m/>
    <x v="2"/>
    <x v="52"/>
    <d v="2018-07-03T00:00:00"/>
    <d v="2018-07-03T00:00:00"/>
    <n v="-1"/>
    <n v="1"/>
    <m/>
    <s v="kasverschil"/>
    <s v="UIT"/>
    <s v="DIV"/>
    <s v="kasverschil"/>
    <m/>
    <m/>
    <m/>
    <m/>
    <m/>
    <m/>
    <m/>
    <m/>
    <m/>
    <m/>
  </r>
  <r>
    <n v="1003"/>
    <x v="5"/>
    <m/>
    <x v="2"/>
    <x v="37"/>
    <d v="2018-08-01T00:00:00"/>
    <d v="2018-08-01T00:00:00"/>
    <n v="-4.6900000000000004"/>
    <n v="4.6900000000000004"/>
    <m/>
    <s v="kastekort"/>
    <s v="UIT"/>
    <s v="DIV"/>
    <s v="kasverschil"/>
    <m/>
    <m/>
    <m/>
    <m/>
    <m/>
    <m/>
    <m/>
    <m/>
    <m/>
    <m/>
  </r>
  <r>
    <n v="1016"/>
    <x v="5"/>
    <m/>
    <x v="2"/>
    <x v="37"/>
    <d v="2018-08-01T00:00:00"/>
    <d v="2018-08-01T00:00:00"/>
    <n v="4"/>
    <n v="4"/>
    <m/>
    <s v="kasverschil"/>
    <s v="UIT"/>
    <s v="DIV"/>
    <s v="kasverschil"/>
    <m/>
    <m/>
    <m/>
    <m/>
    <m/>
    <m/>
    <m/>
    <m/>
    <m/>
    <m/>
  </r>
  <r>
    <n v="1017"/>
    <x v="5"/>
    <m/>
    <x v="2"/>
    <x v="37"/>
    <d v="2018-08-01T00:00:00"/>
    <d v="2018-08-01T00:00:00"/>
    <n v="-1"/>
    <n v="1"/>
    <m/>
    <s v="keychain voor poi ballen"/>
    <s v="UIT"/>
    <s v="DIV"/>
    <s v="div"/>
    <m/>
    <m/>
    <m/>
    <m/>
    <m/>
    <m/>
    <m/>
    <m/>
    <m/>
    <m/>
  </r>
  <r>
    <n v="1024"/>
    <x v="5"/>
    <m/>
    <x v="2"/>
    <x v="37"/>
    <d v="2018-08-01T00:00:00"/>
    <d v="2018-08-01T00:00:00"/>
    <n v="-4"/>
    <n v="4"/>
    <m/>
    <s v="museum 23/78"/>
    <s v="UIT"/>
    <s v="DIV"/>
    <s v="div"/>
    <m/>
    <m/>
    <m/>
    <m/>
    <m/>
    <m/>
    <m/>
    <m/>
    <m/>
    <m/>
  </r>
  <r>
    <n v="1027"/>
    <x v="5"/>
    <m/>
    <x v="2"/>
    <x v="37"/>
    <d v="2018-08-01T00:00:00"/>
    <d v="2018-08-01T00:00:00"/>
    <n v="-10.02"/>
    <n v="10.02"/>
    <m/>
    <s v="kastekort 15/8-27/8"/>
    <s v="UIT"/>
    <s v="DIV"/>
    <s v="kasverschil"/>
    <m/>
    <m/>
    <m/>
    <m/>
    <m/>
    <m/>
    <m/>
    <m/>
    <m/>
    <m/>
  </r>
  <r>
    <n v="1028"/>
    <x v="5"/>
    <m/>
    <x v="2"/>
    <x v="37"/>
    <d v="2018-08-01T00:00:00"/>
    <d v="2018-08-01T00:00:00"/>
    <n v="-3.5"/>
    <n v="3.5"/>
    <m/>
    <s v="voor monika"/>
    <s v="UIT"/>
    <s v="DIV"/>
    <s v="div"/>
    <m/>
    <m/>
    <m/>
    <m/>
    <m/>
    <m/>
    <m/>
    <m/>
    <m/>
    <m/>
  </r>
  <r>
    <n v="1046"/>
    <x v="5"/>
    <m/>
    <x v="2"/>
    <x v="12"/>
    <d v="2018-09-01T00:00:00"/>
    <d v="2018-09-01T00:00:00"/>
    <n v="-2.54"/>
    <n v="2.54"/>
    <m/>
    <s v="kastekort"/>
    <s v="UIT"/>
    <s v="DIV"/>
    <s v="kasverschil"/>
    <m/>
    <m/>
    <m/>
    <m/>
    <m/>
    <m/>
    <m/>
    <m/>
    <m/>
    <m/>
  </r>
  <r>
    <n v="1056"/>
    <x v="5"/>
    <m/>
    <x v="2"/>
    <x v="12"/>
    <d v="2018-09-01T00:00:00"/>
    <d v="2018-09-01T00:00:00"/>
    <n v="-8"/>
    <n v="8"/>
    <m/>
    <s v="fietsbanden"/>
    <s v="UIT"/>
    <s v="DIV"/>
    <s v="div"/>
    <m/>
    <m/>
    <m/>
    <m/>
    <m/>
    <m/>
    <m/>
    <m/>
    <m/>
    <m/>
  </r>
  <r>
    <n v="1057"/>
    <x v="5"/>
    <m/>
    <x v="2"/>
    <x v="12"/>
    <d v="2018-09-01T00:00:00"/>
    <d v="2018-09-01T00:00:00"/>
    <n v="-2.5"/>
    <n v="2.5"/>
    <m/>
    <s v="Plakset"/>
    <s v="UIT"/>
    <s v="DIV"/>
    <s v="div"/>
    <m/>
    <m/>
    <m/>
    <m/>
    <m/>
    <m/>
    <m/>
    <m/>
    <m/>
    <m/>
  </r>
  <r>
    <n v="1060"/>
    <x v="5"/>
    <m/>
    <x v="2"/>
    <x v="12"/>
    <d v="2018-09-01T00:00:00"/>
    <d v="2018-09-01T00:00:00"/>
    <n v="2.75"/>
    <n v="2.75"/>
    <m/>
    <s v="kasverschil"/>
    <s v="UIT"/>
    <s v="DIV"/>
    <s v="kasverschil"/>
    <m/>
    <m/>
    <m/>
    <m/>
    <m/>
    <m/>
    <m/>
    <m/>
    <m/>
    <m/>
  </r>
  <r>
    <n v="1069"/>
    <x v="5"/>
    <m/>
    <x v="2"/>
    <x v="12"/>
    <d v="2018-09-01T00:00:00"/>
    <d v="2018-09-01T00:00:00"/>
    <n v="-25"/>
    <n v="25"/>
    <m/>
    <s v="shuttle fco"/>
    <s v="UIT"/>
    <s v="DIV"/>
    <s v="div"/>
    <m/>
    <m/>
    <m/>
    <m/>
    <m/>
    <m/>
    <m/>
    <m/>
    <m/>
    <m/>
  </r>
  <r>
    <n v="1080"/>
    <x v="5"/>
    <m/>
    <x v="2"/>
    <x v="12"/>
    <d v="2018-09-01T00:00:00"/>
    <d v="2018-09-01T00:00:00"/>
    <n v="15.48"/>
    <n v="15.48"/>
    <m/>
    <s v="overschot"/>
    <s v="UIT"/>
    <s v="DIV"/>
    <s v="kasverschil"/>
    <m/>
    <m/>
    <m/>
    <m/>
    <m/>
    <m/>
    <m/>
    <m/>
    <m/>
    <m/>
  </r>
  <r>
    <n v="1087"/>
    <x v="5"/>
    <m/>
    <x v="2"/>
    <x v="11"/>
    <d v="2018-10-01T00:00:00"/>
    <d v="2018-10-01T00:00:00"/>
    <n v="-8.31"/>
    <n v="8.31"/>
    <m/>
    <s v="kastekort"/>
    <s v="UIT"/>
    <s v="DIV"/>
    <s v="kasverschil"/>
    <m/>
    <m/>
    <m/>
    <m/>
    <m/>
    <m/>
    <m/>
    <m/>
    <m/>
    <m/>
  </r>
  <r>
    <n v="1088"/>
    <x v="5"/>
    <m/>
    <x v="2"/>
    <x v="11"/>
    <d v="2018-10-01T00:00:00"/>
    <d v="2018-10-01T00:00:00"/>
    <n v="-50"/>
    <n v="50"/>
    <m/>
    <s v="oplichting 50 euro biljet"/>
    <s v="UIT"/>
    <s v="DIV"/>
    <s v="div"/>
    <m/>
    <m/>
    <m/>
    <m/>
    <m/>
    <m/>
    <m/>
    <m/>
    <m/>
    <m/>
  </r>
  <r>
    <n v="1094"/>
    <x v="5"/>
    <m/>
    <x v="2"/>
    <x v="11"/>
    <d v="2018-10-01T00:00:00"/>
    <d v="2018-10-01T00:00:00"/>
    <n v="2.65"/>
    <n v="2.65"/>
    <m/>
    <s v="kasoverschot"/>
    <s v="UIT"/>
    <s v="DIV"/>
    <s v="kasverschil"/>
    <m/>
    <m/>
    <m/>
    <m/>
    <m/>
    <m/>
    <m/>
    <m/>
    <m/>
    <m/>
  </r>
  <r>
    <n v="1096"/>
    <x v="5"/>
    <m/>
    <x v="2"/>
    <x v="11"/>
    <d v="2018-10-01T00:00:00"/>
    <d v="2018-10-01T00:00:00"/>
    <n v="-2.5"/>
    <n v="2.5"/>
    <m/>
    <s v="boek"/>
    <s v="UIT"/>
    <s v="DIV"/>
    <s v="boeken"/>
    <m/>
    <m/>
    <m/>
    <m/>
    <m/>
    <m/>
    <m/>
    <m/>
    <m/>
    <m/>
  </r>
  <r>
    <n v="1101"/>
    <x v="5"/>
    <m/>
    <x v="2"/>
    <x v="11"/>
    <d v="2018-10-01T00:00:00"/>
    <d v="2018-10-01T00:00:00"/>
    <n v="-6.05"/>
    <n v="6.05"/>
    <m/>
    <s v="kastekort"/>
    <s v="UIT"/>
    <s v="DIV"/>
    <s v="kasverschil"/>
    <m/>
    <m/>
    <m/>
    <m/>
    <m/>
    <m/>
    <m/>
    <m/>
    <m/>
    <m/>
  </r>
  <r>
    <n v="1105"/>
    <x v="5"/>
    <m/>
    <x v="2"/>
    <x v="11"/>
    <d v="2018-10-01T00:00:00"/>
    <d v="2018-10-01T00:00:00"/>
    <n v="7.15"/>
    <n v="7.15"/>
    <m/>
    <s v="kasverschil"/>
    <s v="UIT"/>
    <s v="DIV"/>
    <s v="kasverschil"/>
    <m/>
    <m/>
    <m/>
    <m/>
    <m/>
    <m/>
    <m/>
    <m/>
    <m/>
    <m/>
  </r>
  <r>
    <n v="1109"/>
    <x v="5"/>
    <m/>
    <x v="2"/>
    <x v="11"/>
    <d v="2018-10-01T00:00:00"/>
    <d v="2018-10-01T00:00:00"/>
    <n v="-2.25"/>
    <n v="2.25"/>
    <m/>
    <s v="kastekort"/>
    <s v="UIT"/>
    <s v="DIV"/>
    <s v="kasverschil"/>
    <m/>
    <m/>
    <m/>
    <m/>
    <m/>
    <m/>
    <m/>
    <m/>
    <m/>
    <m/>
  </r>
  <r>
    <n v="1111"/>
    <x v="5"/>
    <m/>
    <x v="2"/>
    <x v="11"/>
    <d v="2018-10-01T00:00:00"/>
    <d v="2018-10-01T00:00:00"/>
    <n v="0.14000000000000001"/>
    <n v="0.14000000000000001"/>
    <m/>
    <s v="kasverschil"/>
    <s v="UIT"/>
    <s v="DIV"/>
    <s v="kasverschil"/>
    <m/>
    <m/>
    <m/>
    <m/>
    <m/>
    <m/>
    <m/>
    <m/>
    <m/>
    <m/>
  </r>
  <r>
    <n v="1112"/>
    <x v="5"/>
    <m/>
    <x v="2"/>
    <x v="7"/>
    <d v="2018-11-04T00:00:00"/>
    <d v="2018-11-04T00:00:00"/>
    <n v="-93.85"/>
    <n v="93.85"/>
    <m/>
    <s v="Parijs Contant"/>
    <s v="UIT"/>
    <s v="DIV"/>
    <s v="parijs"/>
    <s v="PARIJS"/>
    <m/>
    <m/>
    <m/>
    <m/>
    <m/>
    <m/>
    <m/>
    <m/>
    <m/>
  </r>
  <r>
    <n v="1113"/>
    <x v="2"/>
    <m/>
    <x v="2"/>
    <x v="11"/>
    <d v="2018-10-24T00:00:00"/>
    <d v="2018-10-24T00:00:00"/>
    <n v="-42"/>
    <n v="42"/>
    <m/>
    <s v="bijdrage woonlasten joost"/>
    <s v="UIT"/>
    <s v="DIV"/>
    <s v="joost"/>
    <m/>
    <m/>
    <m/>
    <m/>
    <m/>
    <m/>
    <m/>
    <m/>
    <m/>
    <m/>
  </r>
  <r>
    <n v="1135"/>
    <x v="3"/>
    <m/>
    <x v="2"/>
    <x v="9"/>
    <d v="2018-02-28T00:00:00"/>
    <d v="2018-02-28T00:00:00"/>
    <n v="-16.95"/>
    <n v="16.95"/>
    <m/>
    <s v="LOFT ARNHEM"/>
    <s v="UIT"/>
    <s v="DIV"/>
    <s v="boeken"/>
    <m/>
    <m/>
    <m/>
    <m/>
    <m/>
    <m/>
    <m/>
    <m/>
    <m/>
    <m/>
  </r>
  <r>
    <n v="1136"/>
    <x v="3"/>
    <m/>
    <x v="2"/>
    <x v="9"/>
    <d v="2018-02-28T00:00:00"/>
    <d v="2018-02-28T00:00:00"/>
    <n v="-1.44"/>
    <n v="1.44"/>
    <m/>
    <s v="Action 1283 Arnhem"/>
    <s v="UIT"/>
    <s v="DIV"/>
    <s v="div"/>
    <m/>
    <m/>
    <m/>
    <m/>
    <m/>
    <m/>
    <m/>
    <m/>
    <m/>
    <m/>
  </r>
  <r>
    <n v="1146"/>
    <x v="3"/>
    <m/>
    <x v="2"/>
    <x v="10"/>
    <d v="2018-03-05T00:00:00"/>
    <d v="2018-03-05T00:00:00"/>
    <n v="-1"/>
    <n v="1"/>
    <m/>
    <s v="Flying Tiger ARNHEM"/>
    <s v="UIT"/>
    <s v="DIV"/>
    <s v="div"/>
    <m/>
    <m/>
    <m/>
    <m/>
    <m/>
    <m/>
    <m/>
    <m/>
    <m/>
    <m/>
  </r>
  <r>
    <n v="1147"/>
    <x v="3"/>
    <m/>
    <x v="2"/>
    <x v="10"/>
    <d v="2018-03-06T00:00:00"/>
    <d v="2018-03-06T00:00:00"/>
    <n v="-14.28"/>
    <n v="14.28"/>
    <m/>
    <s v="CCV*Boekenvoordeel B.V ALMERE"/>
    <s v="UIT"/>
    <s v="DIV"/>
    <s v="boeken"/>
    <m/>
    <m/>
    <m/>
    <m/>
    <m/>
    <m/>
    <m/>
    <m/>
    <m/>
    <m/>
  </r>
  <r>
    <n v="1148"/>
    <x v="3"/>
    <m/>
    <x v="2"/>
    <x v="10"/>
    <d v="2018-03-06T00:00:00"/>
    <d v="2018-03-06T00:00:00"/>
    <n v="-4.2699999999999996"/>
    <n v="4.2699999999999996"/>
    <m/>
    <s v="Action 1283 Arnhem"/>
    <s v="UIT"/>
    <s v="DIV"/>
    <s v="div"/>
    <m/>
    <m/>
    <m/>
    <m/>
    <m/>
    <m/>
    <m/>
    <m/>
    <m/>
    <m/>
  </r>
  <r>
    <n v="1156"/>
    <x v="3"/>
    <m/>
    <x v="2"/>
    <x v="10"/>
    <d v="2018-03-10T00:00:00"/>
    <d v="2018-03-10T00:00:00"/>
    <n v="-20"/>
    <n v="20"/>
    <m/>
    <s v="Lubee Pinverhuur ZWIJNDRECHT"/>
    <s v="UIT"/>
    <s v="DIV"/>
    <s v="boeken"/>
    <m/>
    <m/>
    <m/>
    <m/>
    <m/>
    <m/>
    <m/>
    <m/>
    <m/>
    <m/>
  </r>
  <r>
    <n v="1176"/>
    <x v="3"/>
    <m/>
    <x v="2"/>
    <x v="10"/>
    <d v="2018-03-20T00:00:00"/>
    <d v="2018-03-20T00:00:00"/>
    <n v="-1.66"/>
    <n v="1.66"/>
    <m/>
    <s v="The Read Shop STADSKANAAL"/>
    <s v="UIT"/>
    <s v="DIV"/>
    <s v="div"/>
    <m/>
    <m/>
    <m/>
    <m/>
    <m/>
    <m/>
    <m/>
    <m/>
    <m/>
    <m/>
  </r>
  <r>
    <n v="1177"/>
    <x v="3"/>
    <m/>
    <x v="2"/>
    <x v="10"/>
    <d v="2018-03-22T00:00:00"/>
    <d v="2018-03-22T00:00:00"/>
    <n v="-1"/>
    <n v="1"/>
    <m/>
    <s v="Blokker333 Stadskana STADSKANAAL"/>
    <s v="UIT"/>
    <s v="DIV"/>
    <s v="div"/>
    <m/>
    <m/>
    <m/>
    <m/>
    <m/>
    <m/>
    <m/>
    <m/>
    <m/>
    <m/>
  </r>
  <r>
    <n v="1178"/>
    <x v="3"/>
    <m/>
    <x v="2"/>
    <x v="10"/>
    <d v="2018-03-22T00:00:00"/>
    <d v="2018-03-22T00:00:00"/>
    <n v="-1.99"/>
    <n v="1.99"/>
    <m/>
    <s v="Xenos ST.KANAAL 167 STADSKANAAL"/>
    <s v="UIT"/>
    <s v="DIV"/>
    <s v="div"/>
    <m/>
    <m/>
    <m/>
    <m/>
    <m/>
    <m/>
    <m/>
    <m/>
    <m/>
    <m/>
  </r>
  <r>
    <n v="1179"/>
    <x v="3"/>
    <m/>
    <x v="2"/>
    <x v="10"/>
    <d v="2018-03-22T00:00:00"/>
    <d v="2018-03-22T00:00:00"/>
    <n v="-12.5"/>
    <n v="12.5"/>
    <m/>
    <s v="SumUp  *Computer Repar Stadskanaal"/>
    <s v="UIT"/>
    <s v="DIV"/>
    <s v="div"/>
    <m/>
    <m/>
    <m/>
    <m/>
    <m/>
    <m/>
    <m/>
    <m/>
    <m/>
    <m/>
  </r>
  <r>
    <n v="1215"/>
    <x v="3"/>
    <m/>
    <x v="2"/>
    <x v="50"/>
    <d v="2018-05-15T00:00:00"/>
    <d v="2018-05-15T00:00:00"/>
    <n v="-4.9000000000000004"/>
    <n v="4.9000000000000004"/>
    <m/>
    <s v="cadootje karolina"/>
    <s v="UIT"/>
    <s v="DIV"/>
    <s v="repre"/>
    <m/>
    <m/>
    <m/>
    <m/>
    <m/>
    <m/>
    <m/>
    <m/>
    <m/>
    <m/>
  </r>
  <r>
    <n v="1224"/>
    <x v="3"/>
    <m/>
    <x v="2"/>
    <x v="50"/>
    <d v="2018-05-15T00:00:00"/>
    <d v="2018-05-15T00:00:00"/>
    <n v="-0.03"/>
    <n v="0.03"/>
    <m/>
    <s v="Debetrente"/>
    <s v="UIT"/>
    <s v="DIV"/>
    <s v="rente"/>
    <m/>
    <m/>
    <m/>
    <m/>
    <m/>
    <m/>
    <m/>
    <m/>
    <m/>
    <m/>
  </r>
  <r>
    <n v="1232"/>
    <x v="3"/>
    <m/>
    <x v="2"/>
    <x v="51"/>
    <d v="2018-06-13T00:00:00"/>
    <d v="2018-06-13T00:00:00"/>
    <n v="-4"/>
    <n v="4"/>
    <m/>
    <s v="SUPERMERCATO DUE P 201 ROMA ITA kado poppy"/>
    <s v="UIT"/>
    <s v="DIV"/>
    <s v="repre"/>
    <m/>
    <m/>
    <m/>
    <m/>
    <m/>
    <m/>
    <m/>
    <m/>
    <m/>
    <m/>
  </r>
  <r>
    <n v="1247"/>
    <x v="3"/>
    <m/>
    <x v="2"/>
    <x v="52"/>
    <d v="2018-07-10T00:00:00"/>
    <d v="2018-07-10T00:00:00"/>
    <n v="-4"/>
    <n v="4"/>
    <m/>
    <s v="TIGER ITALY 2 ROMA ITA"/>
    <s v="UIT"/>
    <s v="DIV"/>
    <s v="div"/>
    <m/>
    <m/>
    <m/>
    <m/>
    <m/>
    <m/>
    <m/>
    <m/>
    <m/>
    <m/>
  </r>
  <r>
    <n v="1254"/>
    <x v="3"/>
    <m/>
    <x v="2"/>
    <x v="52"/>
    <d v="2018-07-26T00:00:00"/>
    <d v="2018-07-26T00:00:00"/>
    <n v="-35"/>
    <n v="35"/>
    <m/>
    <s v="Ingenico ticket thalys"/>
    <s v="UIT"/>
    <s v="DIV"/>
    <s v="parijs"/>
    <s v="PARIJS"/>
    <m/>
    <m/>
    <m/>
    <m/>
    <m/>
    <m/>
    <m/>
    <m/>
    <m/>
  </r>
  <r>
    <n v="1257"/>
    <x v="3"/>
    <m/>
    <x v="2"/>
    <x v="52"/>
    <d v="2018-07-31T00:00:00"/>
    <d v="2018-07-31T00:00:00"/>
    <n v="-6"/>
    <n v="6"/>
    <m/>
    <s v="TIGER BOLOGNA ITA"/>
    <s v="UIT"/>
    <s v="DIV"/>
    <s v="div"/>
    <m/>
    <m/>
    <m/>
    <m/>
    <m/>
    <m/>
    <m/>
    <m/>
    <m/>
    <m/>
  </r>
  <r>
    <n v="1277"/>
    <x v="3"/>
    <m/>
    <x v="2"/>
    <x v="12"/>
    <d v="2018-09-22T00:00:00"/>
    <d v="2018-09-22T00:00:00"/>
    <n v="-5"/>
    <n v="5"/>
    <m/>
    <s v="TIGER 4 ROMA       RM ITA"/>
    <s v="UIT"/>
    <s v="DIV"/>
    <s v="div"/>
    <m/>
    <m/>
    <m/>
    <m/>
    <m/>
    <m/>
    <m/>
    <m/>
    <m/>
    <m/>
  </r>
  <r>
    <n v="1289"/>
    <x v="3"/>
    <m/>
    <x v="2"/>
    <x v="11"/>
    <d v="2018-10-03T00:00:00"/>
    <d v="2018-10-03T00:00:00"/>
    <n v="-449"/>
    <n v="449"/>
    <m/>
    <s v="Coolblue computer"/>
    <s v="UIT"/>
    <s v="DIV"/>
    <s v="electronica"/>
    <m/>
    <m/>
    <m/>
    <m/>
    <m/>
    <m/>
    <m/>
    <m/>
    <m/>
    <m/>
  </r>
  <r>
    <n v="1290"/>
    <x v="3"/>
    <m/>
    <x v="2"/>
    <x v="11"/>
    <d v="2018-10-03T00:00:00"/>
    <d v="2018-10-03T00:00:00"/>
    <n v="-4.28"/>
    <n v="4.28"/>
    <m/>
    <s v="Action 1072 Stadskanaal"/>
    <s v="UIT"/>
    <s v="DIV"/>
    <s v="div"/>
    <m/>
    <m/>
    <m/>
    <m/>
    <m/>
    <m/>
    <m/>
    <m/>
    <m/>
    <m/>
  </r>
  <r>
    <n v="1291"/>
    <x v="3"/>
    <m/>
    <x v="2"/>
    <x v="11"/>
    <d v="2018-10-04T00:00:00"/>
    <d v="2018-10-04T00:00:00"/>
    <n v="-3.49"/>
    <n v="3.49"/>
    <m/>
    <s v="CCV*PRIMERA MUSSELKANA MUSSELKANAAL"/>
    <s v="UIT"/>
    <s v="DIV"/>
    <s v="div"/>
    <m/>
    <m/>
    <m/>
    <m/>
    <m/>
    <m/>
    <m/>
    <m/>
    <m/>
    <m/>
  </r>
  <r>
    <n v="1313"/>
    <x v="3"/>
    <m/>
    <x v="2"/>
    <x v="11"/>
    <d v="2018-10-18T00:00:00"/>
    <d v="2018-10-18T00:00:00"/>
    <n v="-8.93"/>
    <n v="8.93"/>
    <m/>
    <s v="So-Low Arnhem ARNHEM"/>
    <s v="UIT"/>
    <s v="DIV"/>
    <s v="div"/>
    <m/>
    <m/>
    <m/>
    <m/>
    <m/>
    <m/>
    <m/>
    <m/>
    <m/>
    <m/>
  </r>
  <r>
    <n v="1315"/>
    <x v="3"/>
    <m/>
    <x v="2"/>
    <x v="11"/>
    <d v="2018-10-18T00:00:00"/>
    <d v="2018-10-18T00:00:00"/>
    <n v="-8.3000000000000007"/>
    <n v="8.3000000000000007"/>
    <m/>
    <s v="Primera steenstraat ARNHEM"/>
    <s v="UIT"/>
    <s v="DIV"/>
    <s v="div"/>
    <m/>
    <m/>
    <m/>
    <m/>
    <m/>
    <m/>
    <m/>
    <m/>
    <m/>
    <m/>
  </r>
  <r>
    <n v="1316"/>
    <x v="3"/>
    <m/>
    <x v="2"/>
    <x v="11"/>
    <d v="2018-10-18T00:00:00"/>
    <d v="2018-10-18T00:00:00"/>
    <n v="-3"/>
    <n v="3"/>
    <m/>
    <s v="Flying Tiger ARNHEM"/>
    <s v="UIT"/>
    <s v="DIV"/>
    <s v="div"/>
    <m/>
    <m/>
    <m/>
    <m/>
    <m/>
    <m/>
    <m/>
    <m/>
    <m/>
    <m/>
  </r>
  <r>
    <n v="1347"/>
    <x v="3"/>
    <m/>
    <x v="2"/>
    <x v="7"/>
    <d v="2018-11-02T00:00:00"/>
    <d v="2018-11-02T00:00:00"/>
    <n v="-0.7"/>
    <n v="0.7"/>
    <m/>
    <s v="SANIFAIR ROTTERDAM ROTTERDAM"/>
    <s v="UIT"/>
    <s v="DIV"/>
    <s v="div"/>
    <m/>
    <m/>
    <m/>
    <m/>
    <m/>
    <m/>
    <m/>
    <m/>
    <m/>
    <m/>
  </r>
  <r>
    <n v="1349"/>
    <x v="3"/>
    <m/>
    <x v="2"/>
    <x v="7"/>
    <d v="2018-11-05T00:00:00"/>
    <d v="2018-11-05T00:00:00"/>
    <n v="-7.1"/>
    <n v="7.1"/>
    <m/>
    <s v="SNCF PARIS 10 FRA"/>
    <s v="UIT"/>
    <s v="DIV"/>
    <s v="parijs"/>
    <s v="PARIJS"/>
    <m/>
    <m/>
    <m/>
    <m/>
    <m/>
    <m/>
    <m/>
    <m/>
    <m/>
  </r>
  <r>
    <n v="1357"/>
    <x v="3"/>
    <m/>
    <x v="2"/>
    <x v="7"/>
    <d v="2018-11-30T00:00:00"/>
    <d v="2018-11-30T00:00:00"/>
    <n v="-0.99"/>
    <n v="0.99"/>
    <m/>
    <s v="Adyen"/>
    <s v="UIT"/>
    <s v="DIV"/>
    <s v="div"/>
    <m/>
    <m/>
    <m/>
    <m/>
    <m/>
    <m/>
    <m/>
    <m/>
    <m/>
    <m/>
  </r>
  <r>
    <n v="1363"/>
    <x v="3"/>
    <m/>
    <x v="2"/>
    <x v="8"/>
    <d v="2018-12-24T00:00:00"/>
    <d v="2018-12-24T00:00:00"/>
    <n v="-5"/>
    <n v="5"/>
    <m/>
    <s v="STICHTING J O H O"/>
    <s v="UIT"/>
    <s v="DIV"/>
    <s v="div"/>
    <m/>
    <m/>
    <m/>
    <m/>
    <m/>
    <m/>
    <m/>
    <m/>
    <m/>
    <m/>
  </r>
  <r>
    <n v="1366"/>
    <x v="4"/>
    <m/>
    <x v="2"/>
    <x v="52"/>
    <d v="2018-07-10T00:00:00"/>
    <d v="2018-07-10T00:00:00"/>
    <n v="-32.5"/>
    <n v="32.5"/>
    <m/>
    <s v="PAGAMENTO ON LINE 07/07/2018 19.26 Eventim / TicketOne Amsterdam NLD N. 632743"/>
    <s v="UIT"/>
    <s v="DIV"/>
    <s v="onbekend"/>
    <m/>
    <m/>
    <m/>
    <m/>
    <m/>
    <m/>
    <m/>
    <m/>
    <m/>
    <m/>
  </r>
  <r>
    <n v="1381"/>
    <x v="1"/>
    <m/>
    <x v="3"/>
    <x v="13"/>
    <d v="2019-01-03T00:00:00"/>
    <d v="2019-01-03T00:00:00"/>
    <n v="-0.99"/>
    <n v="0.99"/>
    <m/>
    <s v="FACTURE CARTE DU 020119 ITUNES.COM/BILL CARTE 4974XXXX"/>
    <s v="UIT"/>
    <s v="DIV"/>
    <s v="itunes"/>
    <m/>
    <m/>
    <m/>
    <m/>
    <m/>
    <m/>
    <m/>
    <m/>
    <m/>
    <m/>
  </r>
  <r>
    <n v="1389"/>
    <x v="1"/>
    <m/>
    <x v="3"/>
    <x v="15"/>
    <d v="2019-02-04T00:00:00"/>
    <d v="2019-02-04T00:00:00"/>
    <n v="-0.99"/>
    <n v="0.99"/>
    <m/>
    <s v="FACTURE CARTE DU 020219 ITUNES.COM/BILL CARTE   4974XXXXXXXX8716                IRL     0,99EUR"/>
    <s v="UIT"/>
    <s v="DIV"/>
    <s v="itunes"/>
    <m/>
    <m/>
    <m/>
    <m/>
    <m/>
    <m/>
    <m/>
    <m/>
    <m/>
    <m/>
  </r>
  <r>
    <n v="1396"/>
    <x v="1"/>
    <m/>
    <x v="3"/>
    <x v="14"/>
    <d v="2019-03-04T00:00:00"/>
    <d v="2019-03-04T00:00:00"/>
    <n v="-0.99"/>
    <n v="0.99"/>
    <m/>
    <s v="FACTURE CARTE DU 020319 ITUNES.COM/BILL CARTE 4974XXXXXXXX8716 IRL 0,99EUR"/>
    <s v="UIT"/>
    <s v="DIV"/>
    <s v="itunes"/>
    <m/>
    <m/>
    <m/>
    <m/>
    <m/>
    <m/>
    <m/>
    <m/>
    <m/>
    <m/>
  </r>
  <r>
    <n v="1405"/>
    <x v="1"/>
    <m/>
    <x v="3"/>
    <x v="53"/>
    <d v="2019-04-03T00:00:00"/>
    <d v="2019-04-03T00:00:00"/>
    <n v="-0.99"/>
    <n v="0.99"/>
    <m/>
    <s v="FACTURE CARTE DU 020419 ITUNES.COM/BILL CARTE   4974XXXXXXXX8716                IRL     0,99EUR"/>
    <s v="UIT"/>
    <s v="DIV"/>
    <s v="itunes"/>
    <m/>
    <m/>
    <m/>
    <m/>
    <m/>
    <m/>
    <m/>
    <m/>
    <m/>
    <m/>
  </r>
  <r>
    <n v="1407"/>
    <x v="1"/>
    <m/>
    <x v="3"/>
    <x v="53"/>
    <d v="2019-04-08T00:00:00"/>
    <d v="2019-04-08T00:00:00"/>
    <n v="-2.39"/>
    <n v="2.39"/>
    <m/>
    <s v="PRLV SEPA PAYPAL EUROPE S.A.R.L. ET CIE S.C.A ECH/080419 ID EMETTEUR/LU96ZZZ0000000000000000058 MDT/5HBJ224MREGGA REF/1005326637011 PAYPAL VIREMENT LIB/1005326637011 PAYPAL"/>
    <s v="UIT"/>
    <s v="DIV"/>
    <s v="onbekend"/>
    <m/>
    <m/>
    <m/>
    <m/>
    <m/>
    <m/>
    <m/>
    <m/>
    <m/>
    <m/>
  </r>
  <r>
    <n v="1409"/>
    <x v="1"/>
    <m/>
    <x v="3"/>
    <x v="53"/>
    <d v="2019-04-10T00:00:00"/>
    <d v="2019-04-10T00:00:00"/>
    <n v="-20"/>
    <n v="20"/>
    <m/>
    <s v="FACTURE CARTE DU 080419 FBFUNDRAISER    CARTE   4974XXXXXXXX8716                IRL    20,00EUR"/>
    <s v="UIT"/>
    <s v="DIV"/>
    <s v="repre"/>
    <m/>
    <m/>
    <m/>
    <m/>
    <m/>
    <m/>
    <m/>
    <m/>
    <m/>
    <m/>
  </r>
  <r>
    <n v="1413"/>
    <x v="1"/>
    <m/>
    <x v="3"/>
    <x v="54"/>
    <d v="2019-05-03T00:00:00"/>
    <d v="2019-05-03T00:00:00"/>
    <n v="-0.99"/>
    <n v="0.99"/>
    <m/>
    <s v="FACTURE CARTE DU 020519 ITUNES.COM/BILL CARTE   4974XXXXXXXX8716                IRL     0,99EUR"/>
    <s v="UIT"/>
    <s v="DIV"/>
    <s v="itunes"/>
    <m/>
    <m/>
    <m/>
    <m/>
    <m/>
    <m/>
    <m/>
    <m/>
    <m/>
    <m/>
  </r>
  <r>
    <n v="1420"/>
    <x v="1"/>
    <m/>
    <x v="3"/>
    <x v="55"/>
    <d v="2019-06-03T00:00:00"/>
    <d v="2019-06-03T00:00:00"/>
    <n v="-0.99"/>
    <n v="0.99"/>
    <m/>
    <s v="FACTURE CARTE DU 020619 ITUNES.COM/BILL CARTE   4974XXXXXXXX8716                IRL     0,99EUR"/>
    <s v="UIT"/>
    <s v="DIV"/>
    <s v="itunes"/>
    <m/>
    <m/>
    <m/>
    <m/>
    <m/>
    <m/>
    <m/>
    <m/>
    <m/>
    <m/>
  </r>
  <r>
    <n v="1429"/>
    <x v="1"/>
    <m/>
    <x v="3"/>
    <x v="38"/>
    <d v="2019-07-03T00:00:00"/>
    <d v="2019-07-03T00:00:00"/>
    <n v="-0.99"/>
    <n v="0.99"/>
    <m/>
    <s v="FACTURE CARTE DU 020719 ITUNES.COM/BILL CARTE   4974XXXXXXXX8716                IRL     0,99EUR"/>
    <s v="UIT"/>
    <s v="DIV"/>
    <s v="itunes"/>
    <m/>
    <m/>
    <m/>
    <m/>
    <m/>
    <m/>
    <m/>
    <m/>
    <m/>
    <m/>
  </r>
  <r>
    <n v="1439"/>
    <x v="1"/>
    <m/>
    <x v="3"/>
    <x v="41"/>
    <d v="2019-08-05T00:00:00"/>
    <d v="2019-08-05T00:00:00"/>
    <n v="-0.99"/>
    <n v="0.99"/>
    <m/>
    <s v="PAIEMENT CARTE DU 020819 ITUNES.COM/BILL CARTE   4974XXXXXXXX8716                IRL     0,99EUR"/>
    <s v="UIT"/>
    <s v="DIV"/>
    <s v="itunes"/>
    <m/>
    <m/>
    <m/>
    <m/>
    <m/>
    <m/>
    <m/>
    <m/>
    <m/>
    <m/>
  </r>
  <r>
    <n v="1440"/>
    <x v="1"/>
    <m/>
    <x v="3"/>
    <x v="41"/>
    <d v="2019-08-08T00:00:00"/>
    <d v="2019-08-08T00:00:00"/>
    <n v="-3.49"/>
    <n v="3.49"/>
    <m/>
    <s v="PAYPAL SchaaktrainerPRO"/>
    <s v="UIT"/>
    <s v="DIV"/>
    <s v="playstore"/>
    <m/>
    <m/>
    <m/>
    <m/>
    <m/>
    <m/>
    <m/>
    <m/>
    <m/>
    <m/>
  </r>
  <r>
    <n v="1446"/>
    <x v="1"/>
    <m/>
    <x v="3"/>
    <x v="18"/>
    <d v="2019-09-03T00:00:00"/>
    <d v="2019-09-03T00:00:00"/>
    <n v="-0.99"/>
    <n v="0.99"/>
    <m/>
    <s v="PAIEMENT CARTE DU 020919 ITUNES.COM/BILL CARTE   4974XXXXXXXX8716                IRL     0,99EUR"/>
    <s v="UIT"/>
    <s v="DIV"/>
    <s v="itunes"/>
    <m/>
    <m/>
    <m/>
    <m/>
    <m/>
    <m/>
    <m/>
    <m/>
    <m/>
    <m/>
  </r>
  <r>
    <n v="1449"/>
    <x v="1"/>
    <m/>
    <x v="3"/>
    <x v="18"/>
    <d v="2019-09-23T00:00:00"/>
    <d v="2019-09-23T00:00:00"/>
    <n v="-3.99"/>
    <n v="3.99"/>
    <m/>
    <s v="Paypall happycow"/>
    <s v="UIT"/>
    <s v="DIV"/>
    <s v="playstore"/>
    <m/>
    <m/>
    <m/>
    <m/>
    <m/>
    <m/>
    <m/>
    <m/>
    <m/>
    <m/>
  </r>
  <r>
    <n v="1450"/>
    <x v="1"/>
    <m/>
    <x v="3"/>
    <x v="18"/>
    <d v="2019-09-24T00:00:00"/>
    <d v="2019-09-24T00:00:00"/>
    <n v="-17.46"/>
    <n v="17.46"/>
    <m/>
    <s v="PRELEVEMENT PAYPAL EUROPE S.A.R.L. ET CIE S.C.A ECH/240919 ID EMETTEUR/LU96ZZZ0000000000000000058 MDT/5HBJ224MREGGA REF/1006668876392 PAYPAL VIREMENT LIB/1006668876392 PAYPAL"/>
    <s v="UIT"/>
    <s v="DIV"/>
    <s v="hotel_rome"/>
    <m/>
    <m/>
    <m/>
    <m/>
    <m/>
    <m/>
    <m/>
    <m/>
    <m/>
    <m/>
  </r>
  <r>
    <n v="1453"/>
    <x v="1"/>
    <m/>
    <x v="3"/>
    <x v="18"/>
    <d v="2019-09-26T00:00:00"/>
    <d v="2019-09-26T00:00:00"/>
    <n v="-1.5"/>
    <n v="1.5"/>
    <m/>
    <s v="Chrisklomp"/>
    <s v="UIT"/>
    <s v="DIV"/>
    <s v="div"/>
    <m/>
    <m/>
    <m/>
    <m/>
    <m/>
    <m/>
    <m/>
    <m/>
    <m/>
    <m/>
  </r>
  <r>
    <n v="1455"/>
    <x v="1"/>
    <m/>
    <x v="3"/>
    <x v="39"/>
    <d v="2019-10-31T00:00:00"/>
    <d v="2019-10-31T00:00:00"/>
    <n v="-0.99"/>
    <n v="0.99"/>
    <m/>
    <s v="itunes"/>
    <s v="UIT"/>
    <s v="DIV"/>
    <s v="itunes"/>
    <m/>
    <m/>
    <m/>
    <m/>
    <m/>
    <m/>
    <m/>
    <m/>
    <m/>
    <m/>
  </r>
  <r>
    <n v="1460"/>
    <x v="1"/>
    <m/>
    <x v="3"/>
    <x v="39"/>
    <d v="2019-10-31T00:00:00"/>
    <d v="2019-10-31T00:00:00"/>
    <n v="-1.5"/>
    <n v="1.5"/>
    <m/>
    <s v="paypal chris klomp"/>
    <s v="UIT"/>
    <s v="DIV"/>
    <s v="div"/>
    <m/>
    <m/>
    <m/>
    <m/>
    <m/>
    <m/>
    <m/>
    <m/>
    <m/>
    <m/>
  </r>
  <r>
    <n v="1461"/>
    <x v="1"/>
    <m/>
    <x v="3"/>
    <x v="39"/>
    <d v="2019-10-31T00:00:00"/>
    <d v="2019-10-31T00:00:00"/>
    <n v="-1.99"/>
    <n v="1.99"/>
    <m/>
    <s v="paypall google"/>
    <s v="UIT"/>
    <s v="DIV"/>
    <s v="playstore"/>
    <m/>
    <m/>
    <m/>
    <m/>
    <m/>
    <m/>
    <m/>
    <m/>
    <m/>
    <m/>
  </r>
  <r>
    <n v="1462"/>
    <x v="1"/>
    <m/>
    <x v="3"/>
    <x v="39"/>
    <d v="2019-10-31T00:00:00"/>
    <d v="2019-10-31T00:00:00"/>
    <n v="-4.5"/>
    <n v="4.5"/>
    <m/>
    <s v="paypal hema appeltaart"/>
    <s v="UIT"/>
    <s v="DIV"/>
    <s v="repre"/>
    <m/>
    <m/>
    <m/>
    <m/>
    <m/>
    <m/>
    <m/>
    <m/>
    <m/>
    <m/>
  </r>
  <r>
    <n v="1466"/>
    <x v="1"/>
    <m/>
    <x v="3"/>
    <x v="16"/>
    <d v="2019-11-05T00:00:00"/>
    <d v="2019-11-05T00:00:00"/>
    <n v="-1.59"/>
    <n v="1.59"/>
    <m/>
    <s v="PRELEVEMENT PAYPAL EUROPE S.A.R.L. ET CIE S.C.A ECH/051119 ID EMETTEUR/LU96ZZZ0000000000000000058 MDT/5HBJ224MREGGA REF/1007044606957 PAYPAL VIREMENT LIB/1007044606957 PAYPAL SKRWT"/>
    <s v="UIT"/>
    <s v="DIV"/>
    <s v="playstore"/>
    <m/>
    <m/>
    <m/>
    <m/>
    <m/>
    <m/>
    <m/>
    <m/>
    <m/>
    <m/>
  </r>
  <r>
    <n v="1485"/>
    <x v="5"/>
    <m/>
    <x v="3"/>
    <x v="14"/>
    <d v="2019-03-01T00:00:00"/>
    <d v="2019-03-01T00:00:00"/>
    <n v="6"/>
    <n v="6"/>
    <m/>
    <s v="retour ouders"/>
    <s v="UIT"/>
    <s v="DIV"/>
    <s v="div"/>
    <m/>
    <m/>
    <m/>
    <m/>
    <m/>
    <m/>
    <m/>
    <m/>
    <m/>
    <m/>
  </r>
  <r>
    <n v="1488"/>
    <x v="5"/>
    <m/>
    <x v="3"/>
    <x v="14"/>
    <n v="43538"/>
    <n v="43538"/>
    <n v="-22.5"/>
    <n v="22.5"/>
    <m/>
    <s v="reanimatie cursus"/>
    <s v="UIT"/>
    <s v="DIV"/>
    <s v="div"/>
    <m/>
    <m/>
    <m/>
    <m/>
    <m/>
    <m/>
    <m/>
    <m/>
    <m/>
    <m/>
  </r>
  <r>
    <n v="1490"/>
    <x v="5"/>
    <m/>
    <x v="3"/>
    <x v="14"/>
    <n v="43542"/>
    <n v="43542"/>
    <n v="-2"/>
    <n v="2"/>
    <m/>
    <s v="sponsen"/>
    <s v="UIT"/>
    <s v="DIV"/>
    <s v="div"/>
    <m/>
    <m/>
    <m/>
    <m/>
    <m/>
    <m/>
    <m/>
    <m/>
    <m/>
    <m/>
  </r>
  <r>
    <n v="1492"/>
    <x v="5"/>
    <m/>
    <x v="3"/>
    <x v="14"/>
    <n v="43544"/>
    <n v="43544"/>
    <n v="-0.85"/>
    <n v="0.85"/>
    <m/>
    <s v="tekort"/>
    <s v="UIT"/>
    <s v="DIV"/>
    <s v="kasverschil"/>
    <m/>
    <m/>
    <m/>
    <m/>
    <m/>
    <m/>
    <m/>
    <m/>
    <m/>
    <m/>
  </r>
  <r>
    <n v="1494"/>
    <x v="5"/>
    <m/>
    <x v="3"/>
    <x v="53"/>
    <d v="2019-04-01T00:00:00"/>
    <d v="2019-04-01T00:00:00"/>
    <n v="-20"/>
    <n v="20"/>
    <m/>
    <s v="borg sleutel"/>
    <s v="UIT"/>
    <s v="DIV"/>
    <s v="borg"/>
    <m/>
    <m/>
    <m/>
    <m/>
    <m/>
    <m/>
    <m/>
    <m/>
    <m/>
    <m/>
  </r>
  <r>
    <n v="1500"/>
    <x v="5"/>
    <m/>
    <x v="3"/>
    <x v="53"/>
    <d v="2019-04-01T00:00:00"/>
    <d v="2019-04-01T00:00:00"/>
    <n v="-1"/>
    <n v="1"/>
    <m/>
    <s v="opvangdingetje wasbak"/>
    <s v="UIT"/>
    <s v="DIV"/>
    <s v="div"/>
    <m/>
    <m/>
    <m/>
    <m/>
    <m/>
    <m/>
    <m/>
    <m/>
    <m/>
    <m/>
  </r>
  <r>
    <n v="1504"/>
    <x v="5"/>
    <m/>
    <x v="3"/>
    <x v="53"/>
    <d v="2019-04-01T00:00:00"/>
    <d v="2019-04-01T00:00:00"/>
    <n v="-5"/>
    <n v="5"/>
    <m/>
    <s v="kastekort infopoint"/>
    <s v="UIT"/>
    <s v="DIV"/>
    <s v="kasverschil infoppoint"/>
    <m/>
    <m/>
    <m/>
    <m/>
    <m/>
    <m/>
    <m/>
    <m/>
    <m/>
    <m/>
  </r>
  <r>
    <n v="1512"/>
    <x v="5"/>
    <m/>
    <x v="3"/>
    <x v="53"/>
    <d v="2019-04-01T00:00:00"/>
    <d v="2019-04-01T00:00:00"/>
    <n v="-9.0500000000000007"/>
    <n v="9.0500000000000007"/>
    <m/>
    <s v="kastekort 8 dgn"/>
    <s v="UIT"/>
    <s v="DIV"/>
    <s v="kasverschil infoppoint"/>
    <m/>
    <m/>
    <m/>
    <m/>
    <m/>
    <m/>
    <m/>
    <m/>
    <m/>
    <m/>
  </r>
  <r>
    <n v="1514"/>
    <x v="5"/>
    <m/>
    <x v="3"/>
    <x v="53"/>
    <d v="2019-04-01T00:00:00"/>
    <d v="2019-04-01T00:00:00"/>
    <n v="-2"/>
    <n v="2"/>
    <m/>
    <s v="E"/>
    <s v="UIT"/>
    <s v="DIV"/>
    <s v="onbekend"/>
    <m/>
    <m/>
    <m/>
    <m/>
    <m/>
    <m/>
    <m/>
    <m/>
    <m/>
    <m/>
  </r>
  <r>
    <n v="1515"/>
    <x v="5"/>
    <m/>
    <x v="3"/>
    <x v="53"/>
    <d v="2019-04-01T00:00:00"/>
    <d v="2019-04-01T00:00:00"/>
    <n v="-1.8"/>
    <n v="1.8"/>
    <m/>
    <s v="aanzetmes"/>
    <s v="UIT"/>
    <s v="DIV"/>
    <s v="div"/>
    <m/>
    <m/>
    <m/>
    <m/>
    <m/>
    <m/>
    <m/>
    <m/>
    <m/>
    <m/>
  </r>
  <r>
    <n v="1516"/>
    <x v="5"/>
    <m/>
    <x v="3"/>
    <x v="53"/>
    <d v="2019-04-01T00:00:00"/>
    <d v="2019-04-01T00:00:00"/>
    <n v="-3"/>
    <n v="3"/>
    <m/>
    <s v="kastekort infopoint"/>
    <s v="UIT"/>
    <s v="DIV"/>
    <s v="kasverschil infoppoint"/>
    <m/>
    <m/>
    <m/>
    <m/>
    <m/>
    <m/>
    <m/>
    <m/>
    <m/>
    <m/>
  </r>
  <r>
    <n v="1517"/>
    <x v="5"/>
    <m/>
    <x v="3"/>
    <x v="53"/>
    <d v="2019-04-01T00:00:00"/>
    <d v="2019-04-01T00:00:00"/>
    <n v="-1.5"/>
    <n v="1.5"/>
    <m/>
    <s v="batterijen weegschaal"/>
    <s v="UIT"/>
    <s v="DIV"/>
    <s v="div"/>
    <m/>
    <m/>
    <m/>
    <m/>
    <m/>
    <m/>
    <m/>
    <m/>
    <m/>
    <m/>
  </r>
  <r>
    <n v="1520"/>
    <x v="5"/>
    <m/>
    <x v="3"/>
    <x v="53"/>
    <d v="2019-04-01T00:00:00"/>
    <d v="2019-04-01T00:00:00"/>
    <n v="-1.8"/>
    <n v="1.8"/>
    <m/>
    <s v="chinees ??"/>
    <s v="UIT"/>
    <s v="DIV"/>
    <s v="div"/>
    <m/>
    <m/>
    <m/>
    <m/>
    <m/>
    <m/>
    <m/>
    <m/>
    <m/>
    <m/>
  </r>
  <r>
    <n v="1530"/>
    <x v="5"/>
    <m/>
    <x v="3"/>
    <x v="54"/>
    <d v="2019-05-01T00:00:00"/>
    <d v="2019-05-01T00:00:00"/>
    <n v="-0.75"/>
    <n v="0.75"/>
    <m/>
    <s v="kastekort 10 dgn"/>
    <s v="UIT"/>
    <s v="DIV"/>
    <s v="kasverschil"/>
    <m/>
    <m/>
    <m/>
    <m/>
    <m/>
    <m/>
    <m/>
    <m/>
    <m/>
    <m/>
  </r>
  <r>
    <n v="1539"/>
    <x v="5"/>
    <m/>
    <x v="3"/>
    <x v="54"/>
    <d v="2019-05-01T00:00:00"/>
    <d v="2019-05-01T00:00:00"/>
    <n v="-17.5"/>
    <n v="17.5"/>
    <m/>
    <s v="tekort infopoint 16/5"/>
    <s v="UIT"/>
    <s v="DIV"/>
    <s v="kasverschil infoppoint"/>
    <m/>
    <m/>
    <m/>
    <m/>
    <m/>
    <m/>
    <m/>
    <m/>
    <m/>
    <m/>
  </r>
  <r>
    <n v="1541"/>
    <x v="5"/>
    <m/>
    <x v="3"/>
    <x v="54"/>
    <d v="2019-05-01T00:00:00"/>
    <d v="2019-05-01T00:00:00"/>
    <n v="-0.95"/>
    <n v="0.95"/>
    <m/>
    <s v="kastekort"/>
    <s v="UIT"/>
    <s v="DIV"/>
    <s v="kasverschil"/>
    <m/>
    <m/>
    <m/>
    <m/>
    <m/>
    <m/>
    <m/>
    <m/>
    <m/>
    <m/>
  </r>
  <r>
    <n v="1546"/>
    <x v="5"/>
    <m/>
    <x v="3"/>
    <x v="54"/>
    <d v="2019-05-01T00:00:00"/>
    <d v="2019-05-01T00:00:00"/>
    <n v="-3.4"/>
    <n v="3.4"/>
    <m/>
    <s v="haakjes/mengbeker"/>
    <s v="UIT"/>
    <s v="DIV"/>
    <s v="div"/>
    <m/>
    <m/>
    <m/>
    <m/>
    <m/>
    <m/>
    <m/>
    <m/>
    <m/>
    <m/>
  </r>
  <r>
    <n v="1548"/>
    <x v="5"/>
    <m/>
    <x v="3"/>
    <x v="54"/>
    <d v="2019-05-01T00:00:00"/>
    <d v="2019-05-01T00:00:00"/>
    <n v="7.5"/>
    <n v="7.5"/>
    <m/>
    <s v="retour kado fra 17/5"/>
    <s v="UIT"/>
    <s v="DIV"/>
    <s v="repre"/>
    <m/>
    <m/>
    <m/>
    <m/>
    <m/>
    <m/>
    <m/>
    <m/>
    <m/>
    <m/>
  </r>
  <r>
    <n v="1551"/>
    <x v="5"/>
    <m/>
    <x v="3"/>
    <x v="54"/>
    <d v="2019-05-01T00:00:00"/>
    <d v="2019-05-01T00:00:00"/>
    <n v="-5.0999999999999996"/>
    <n v="5.0999999999999996"/>
    <m/>
    <s v="kastekort"/>
    <s v="UIT"/>
    <s v="DIV"/>
    <s v="kasverschil"/>
    <m/>
    <m/>
    <m/>
    <m/>
    <m/>
    <m/>
    <m/>
    <m/>
    <m/>
    <m/>
  </r>
  <r>
    <n v="1555"/>
    <x v="5"/>
    <m/>
    <x v="3"/>
    <x v="54"/>
    <d v="2019-05-01T00:00:00"/>
    <d v="2019-05-01T00:00:00"/>
    <n v="1"/>
    <n v="1"/>
    <m/>
    <s v="retour sla"/>
    <s v="UIT"/>
    <s v="DIV"/>
    <s v="div"/>
    <m/>
    <m/>
    <m/>
    <m/>
    <m/>
    <m/>
    <m/>
    <m/>
    <m/>
    <m/>
  </r>
  <r>
    <n v="1564"/>
    <x v="5"/>
    <m/>
    <x v="3"/>
    <x v="55"/>
    <d v="2019-06-01T00:00:00"/>
    <d v="2019-06-01T00:00:00"/>
    <n v="-5"/>
    <n v="5"/>
    <m/>
    <s v="tekort infopoint 10/6"/>
    <s v="UIT"/>
    <s v="DIV"/>
    <s v="kasverschil infoppoint"/>
    <m/>
    <m/>
    <m/>
    <m/>
    <m/>
    <m/>
    <m/>
    <m/>
    <m/>
    <m/>
  </r>
  <r>
    <n v="1574"/>
    <x v="5"/>
    <m/>
    <x v="3"/>
    <x v="55"/>
    <n v="43630"/>
    <n v="43630"/>
    <n v="-6.6"/>
    <n v="6.6"/>
    <m/>
    <s v="kastekort"/>
    <s v="UIT"/>
    <s v="DIV"/>
    <s v="kasverschil"/>
    <m/>
    <m/>
    <m/>
    <m/>
    <m/>
    <m/>
    <m/>
    <m/>
    <m/>
    <m/>
  </r>
  <r>
    <n v="1575"/>
    <x v="5"/>
    <m/>
    <x v="3"/>
    <x v="55"/>
    <n v="43637"/>
    <n v="43637"/>
    <n v="-1"/>
    <n v="1"/>
    <m/>
    <s v="kastekort infopoint"/>
    <s v="UIT"/>
    <s v="DIV"/>
    <s v="kasverschil infoppoint"/>
    <m/>
    <m/>
    <m/>
    <m/>
    <m/>
    <m/>
    <m/>
    <m/>
    <m/>
    <m/>
  </r>
  <r>
    <n v="1579"/>
    <x v="5"/>
    <m/>
    <x v="3"/>
    <x v="38"/>
    <d v="2019-07-01T00:00:00"/>
    <d v="2019-07-01T00:00:00"/>
    <n v="-5.5"/>
    <n v="5.5"/>
    <m/>
    <s v="zwembril"/>
    <s v="UIT"/>
    <s v="DIV"/>
    <s v="div"/>
    <m/>
    <m/>
    <m/>
    <m/>
    <m/>
    <m/>
    <m/>
    <m/>
    <m/>
    <m/>
  </r>
  <r>
    <n v="1586"/>
    <x v="5"/>
    <m/>
    <x v="3"/>
    <x v="38"/>
    <d v="2019-07-01T00:00:00"/>
    <d v="2019-07-01T00:00:00"/>
    <n v="-1.5"/>
    <n v="1.5"/>
    <m/>
    <s v="kastekort infopoint"/>
    <s v="UIT"/>
    <s v="DIV"/>
    <s v="kasverschil infoppoint"/>
    <m/>
    <m/>
    <m/>
    <m/>
    <m/>
    <m/>
    <m/>
    <m/>
    <m/>
    <m/>
  </r>
  <r>
    <n v="1587"/>
    <x v="5"/>
    <m/>
    <x v="3"/>
    <x v="38"/>
    <d v="2019-07-01T00:00:00"/>
    <d v="2019-07-01T00:00:00"/>
    <n v="-1"/>
    <n v="1"/>
    <m/>
    <s v="tiger 23/7"/>
    <s v="UIT"/>
    <s v="DIV"/>
    <s v="div"/>
    <m/>
    <m/>
    <m/>
    <m/>
    <m/>
    <m/>
    <m/>
    <m/>
    <m/>
    <m/>
  </r>
  <r>
    <n v="1588"/>
    <x v="5"/>
    <m/>
    <x v="3"/>
    <x v="38"/>
    <d v="2019-07-01T00:00:00"/>
    <d v="2019-07-01T00:00:00"/>
    <n v="-1"/>
    <n v="1"/>
    <m/>
    <s v="chinese winkel schuurspons"/>
    <s v="UIT"/>
    <s v="DIV"/>
    <s v="div"/>
    <m/>
    <m/>
    <m/>
    <m/>
    <m/>
    <m/>
    <m/>
    <m/>
    <m/>
    <m/>
  </r>
  <r>
    <n v="1602"/>
    <x v="5"/>
    <m/>
    <x v="3"/>
    <x v="41"/>
    <d v="2019-08-12T00:00:00"/>
    <d v="2019-08-12T00:00:00"/>
    <n v="-1.29"/>
    <n v="1.29"/>
    <m/>
    <s v="kastekort"/>
    <s v="UIT"/>
    <s v="DIV"/>
    <s v="kasverschil"/>
    <m/>
    <m/>
    <m/>
    <m/>
    <m/>
    <m/>
    <m/>
    <m/>
    <m/>
    <m/>
  </r>
  <r>
    <n v="1607"/>
    <x v="5"/>
    <m/>
    <x v="3"/>
    <x v="41"/>
    <d v="2019-08-12T00:00:00"/>
    <d v="2019-08-12T00:00:00"/>
    <n v="6.5"/>
    <n v="6.5"/>
    <m/>
    <s v="kasoverschot"/>
    <s v="UIT"/>
    <s v="DIV"/>
    <s v="kasverschil"/>
    <m/>
    <m/>
    <m/>
    <m/>
    <m/>
    <m/>
    <m/>
    <m/>
    <m/>
    <m/>
  </r>
  <r>
    <n v="1615"/>
    <x v="5"/>
    <m/>
    <x v="3"/>
    <x v="18"/>
    <d v="2019-09-06T00:00:00"/>
    <d v="2019-09-06T00:00:00"/>
    <n v="-11"/>
    <n v="11"/>
    <m/>
    <s v="ukelele + nootjes"/>
    <s v="UIT"/>
    <s v="DIV"/>
    <s v="div"/>
    <m/>
    <m/>
    <m/>
    <m/>
    <m/>
    <m/>
    <m/>
    <m/>
    <m/>
    <m/>
  </r>
  <r>
    <n v="1619"/>
    <x v="5"/>
    <m/>
    <x v="3"/>
    <x v="18"/>
    <d v="2019-09-06T00:00:00"/>
    <d v="2019-09-06T00:00:00"/>
    <n v="-4.5"/>
    <n v="4.5"/>
    <m/>
    <s v="kastekort / capp"/>
    <s v="UIT"/>
    <s v="DIV"/>
    <s v="kasverschil"/>
    <m/>
    <m/>
    <m/>
    <m/>
    <m/>
    <m/>
    <m/>
    <m/>
    <m/>
    <m/>
  </r>
  <r>
    <n v="1629"/>
    <x v="5"/>
    <m/>
    <x v="3"/>
    <x v="39"/>
    <d v="2019-10-31T00:00:00"/>
    <d v="2019-10-31T00:00:00"/>
    <n v="-7"/>
    <n v="7"/>
    <m/>
    <s v="USB stick"/>
    <s v="UIT"/>
    <s v="DIV"/>
    <s v="div"/>
    <m/>
    <m/>
    <m/>
    <m/>
    <m/>
    <m/>
    <m/>
    <m/>
    <m/>
    <m/>
  </r>
  <r>
    <n v="1631"/>
    <x v="5"/>
    <m/>
    <x v="3"/>
    <x v="39"/>
    <d v="2019-10-31T00:00:00"/>
    <d v="2019-10-31T00:00:00"/>
    <n v="3.28"/>
    <n v="3.28"/>
    <m/>
    <s v="kasoverschot"/>
    <s v="UIT"/>
    <s v="DIV"/>
    <s v="kasverschil"/>
    <m/>
    <m/>
    <m/>
    <m/>
    <m/>
    <m/>
    <m/>
    <m/>
    <m/>
    <m/>
  </r>
  <r>
    <n v="1632"/>
    <x v="5"/>
    <m/>
    <x v="3"/>
    <x v="39"/>
    <d v="2019-10-31T00:00:00"/>
    <d v="2019-10-31T00:00:00"/>
    <n v="-3.9"/>
    <n v="3.9"/>
    <m/>
    <s v="kastekort"/>
    <s v="UIT"/>
    <s v="DIV"/>
    <s v="kasverschil"/>
    <m/>
    <m/>
    <m/>
    <m/>
    <m/>
    <m/>
    <m/>
    <m/>
    <m/>
    <m/>
  </r>
  <r>
    <n v="1634"/>
    <x v="5"/>
    <m/>
    <x v="3"/>
    <x v="39"/>
    <d v="2019-10-31T00:00:00"/>
    <d v="2019-10-31T00:00:00"/>
    <n v="-6"/>
    <n v="6"/>
    <m/>
    <s v="sleutel Joost"/>
    <s v="UIT"/>
    <s v="DIV"/>
    <s v="div"/>
    <m/>
    <m/>
    <m/>
    <m/>
    <m/>
    <m/>
    <m/>
    <m/>
    <m/>
    <m/>
  </r>
  <r>
    <n v="1635"/>
    <x v="5"/>
    <m/>
    <x v="3"/>
    <x v="39"/>
    <d v="2019-10-31T00:00:00"/>
    <d v="2019-10-31T00:00:00"/>
    <n v="-14"/>
    <n v="14"/>
    <m/>
    <s v="gegeven aan Joost"/>
    <s v="UIT"/>
    <s v="DIV"/>
    <s v="joost"/>
    <m/>
    <m/>
    <m/>
    <m/>
    <m/>
    <m/>
    <m/>
    <m/>
    <m/>
    <m/>
  </r>
  <r>
    <n v="1638"/>
    <x v="5"/>
    <m/>
    <x v="3"/>
    <x v="39"/>
    <d v="2019-10-31T00:00:00"/>
    <d v="2019-10-31T00:00:00"/>
    <n v="-10.55"/>
    <n v="10.55"/>
    <m/>
    <s v="Joost"/>
    <s v="UIT"/>
    <s v="DIV"/>
    <s v="joost"/>
    <m/>
    <m/>
    <m/>
    <m/>
    <m/>
    <m/>
    <m/>
    <m/>
    <m/>
    <m/>
  </r>
  <r>
    <n v="1639"/>
    <x v="5"/>
    <m/>
    <x v="3"/>
    <x v="39"/>
    <d v="2019-10-31T00:00:00"/>
    <d v="2019-10-31T00:00:00"/>
    <n v="-4.42"/>
    <n v="4.42"/>
    <m/>
    <s v="Joost"/>
    <s v="UIT"/>
    <s v="DIV"/>
    <s v="joost"/>
    <m/>
    <m/>
    <m/>
    <m/>
    <m/>
    <m/>
    <m/>
    <m/>
    <m/>
    <m/>
  </r>
  <r>
    <n v="1643"/>
    <x v="5"/>
    <m/>
    <x v="3"/>
    <x v="39"/>
    <d v="2019-10-31T00:00:00"/>
    <d v="2019-10-31T00:00:00"/>
    <n v="-0.2"/>
    <n v="0.2"/>
    <m/>
    <s v="kastekort"/>
    <s v="UIT"/>
    <s v="DIV"/>
    <s v="kasverschil"/>
    <m/>
    <m/>
    <m/>
    <m/>
    <m/>
    <m/>
    <m/>
    <m/>
    <m/>
    <m/>
  </r>
  <r>
    <n v="1646"/>
    <x v="5"/>
    <m/>
    <x v="3"/>
    <x v="39"/>
    <d v="2019-10-31T00:00:00"/>
    <d v="2019-10-31T00:00:00"/>
    <n v="-2.5"/>
    <n v="2.5"/>
    <m/>
    <s v="kastekort"/>
    <s v="UIT"/>
    <s v="DIV"/>
    <s v="kasverschil"/>
    <m/>
    <m/>
    <m/>
    <m/>
    <m/>
    <m/>
    <m/>
    <m/>
    <m/>
    <m/>
  </r>
  <r>
    <n v="1653"/>
    <x v="2"/>
    <m/>
    <x v="3"/>
    <x v="39"/>
    <d v="2019-10-31T00:00:00"/>
    <d v="2019-10-31T00:00:00"/>
    <n v="-67.63"/>
    <n v="67.63"/>
    <m/>
    <s v="Joost gegeven boodsch"/>
    <s v="UIT"/>
    <s v="DIV"/>
    <s v="joost"/>
    <m/>
    <m/>
    <m/>
    <m/>
    <m/>
    <m/>
    <m/>
    <m/>
    <m/>
    <m/>
  </r>
  <r>
    <n v="1655"/>
    <x v="2"/>
    <m/>
    <x v="3"/>
    <x v="39"/>
    <d v="2019-10-31T00:00:00"/>
    <d v="2019-10-31T00:00:00"/>
    <n v="-16.38"/>
    <n v="16.38"/>
    <m/>
    <s v="Joost gegeven horeca"/>
    <s v="UIT"/>
    <s v="DIV"/>
    <s v="joost"/>
    <m/>
    <m/>
    <m/>
    <m/>
    <m/>
    <m/>
    <m/>
    <m/>
    <m/>
    <m/>
  </r>
  <r>
    <n v="1658"/>
    <x v="2"/>
    <m/>
    <x v="3"/>
    <x v="39"/>
    <d v="2019-10-31T00:00:00"/>
    <d v="2019-10-31T00:00:00"/>
    <n v="7.02"/>
    <n v="7.02"/>
    <m/>
    <s v="betaald door joost boodsch"/>
    <s v="UIT"/>
    <s v="DIV"/>
    <s v="joost"/>
    <m/>
    <m/>
    <m/>
    <m/>
    <m/>
    <m/>
    <m/>
    <m/>
    <m/>
    <m/>
  </r>
  <r>
    <n v="1659"/>
    <x v="2"/>
    <m/>
    <x v="3"/>
    <x v="39"/>
    <d v="2019-10-31T00:00:00"/>
    <d v="2019-10-31T00:00:00"/>
    <n v="12.15"/>
    <n v="12.15"/>
    <m/>
    <s v="betaald door joost horeca"/>
    <s v="UIT"/>
    <s v="DIV"/>
    <s v="joost"/>
    <m/>
    <m/>
    <m/>
    <m/>
    <m/>
    <m/>
    <m/>
    <m/>
    <m/>
    <m/>
  </r>
  <r>
    <n v="1661"/>
    <x v="2"/>
    <m/>
    <x v="3"/>
    <x v="39"/>
    <d v="2019-10-31T00:00:00"/>
    <d v="2019-10-31T00:00:00"/>
    <n v="-24"/>
    <n v="24"/>
    <m/>
    <s v="Konijnenvoer Joost"/>
    <s v="UIT"/>
    <s v="DIV"/>
    <s v="joost"/>
    <m/>
    <m/>
    <m/>
    <m/>
    <m/>
    <m/>
    <m/>
    <m/>
    <m/>
    <m/>
  </r>
  <r>
    <n v="1689"/>
    <x v="3"/>
    <m/>
    <x v="3"/>
    <x v="15"/>
    <d v="2019-02-28T00:00:00"/>
    <d v="2019-02-28T00:00:00"/>
    <n v="-60"/>
    <n v="60"/>
    <m/>
    <s v="RL Smit"/>
    <s v="UIT"/>
    <s v="DIV"/>
    <s v="repre"/>
    <m/>
    <m/>
    <m/>
    <m/>
    <m/>
    <m/>
    <m/>
    <m/>
    <m/>
    <m/>
  </r>
  <r>
    <n v="1702"/>
    <x v="3"/>
    <m/>
    <x v="3"/>
    <x v="14"/>
    <d v="2019-03-08T00:00:00"/>
    <d v="2019-03-08T00:00:00"/>
    <n v="180"/>
    <n v="180"/>
    <m/>
    <s v="Mevr J M C Meulenbroek"/>
    <s v="UIT"/>
    <s v="DIV"/>
    <s v="joost"/>
    <m/>
    <m/>
    <m/>
    <m/>
    <m/>
    <m/>
    <m/>
    <m/>
    <m/>
    <m/>
  </r>
  <r>
    <n v="1708"/>
    <x v="3"/>
    <m/>
    <x v="3"/>
    <x v="14"/>
    <d v="2019-03-13T00:00:00"/>
    <d v="2019-03-13T00:00:00"/>
    <n v="-7.37"/>
    <n v="7.37"/>
    <m/>
    <s v="Action 1283 Arnhem"/>
    <s v="UIT"/>
    <s v="DIV"/>
    <s v="div"/>
    <m/>
    <m/>
    <m/>
    <m/>
    <m/>
    <m/>
    <m/>
    <m/>
    <m/>
    <m/>
  </r>
  <r>
    <n v="1712"/>
    <x v="3"/>
    <m/>
    <x v="3"/>
    <x v="14"/>
    <d v="2019-03-14T00:00:00"/>
    <d v="2019-03-14T00:00:00"/>
    <n v="-616.47"/>
    <n v="616.47"/>
    <m/>
    <s v="Portaal"/>
    <s v="UIT"/>
    <s v="DIV"/>
    <s v="joost"/>
    <m/>
    <m/>
    <m/>
    <m/>
    <m/>
    <m/>
    <m/>
    <m/>
    <m/>
    <m/>
  </r>
  <r>
    <n v="1714"/>
    <x v="3"/>
    <m/>
    <x v="3"/>
    <x v="14"/>
    <d v="2019-03-14T00:00:00"/>
    <d v="2019-03-14T00:00:00"/>
    <n v="350"/>
    <n v="350"/>
    <m/>
    <s v="TEUNISSEN J B P"/>
    <s v="UIT"/>
    <s v="DIV"/>
    <s v="joost"/>
    <m/>
    <m/>
    <m/>
    <m/>
    <m/>
    <m/>
    <m/>
    <m/>
    <m/>
    <m/>
  </r>
  <r>
    <n v="1726"/>
    <x v="3"/>
    <m/>
    <x v="3"/>
    <x v="14"/>
    <n v="43542"/>
    <n v="43542"/>
    <n v="-3.09"/>
    <n v="3.09"/>
    <m/>
    <s v="kado Jeroen siecker"/>
    <s v="UIT"/>
    <s v="DIV"/>
    <s v="repre"/>
    <m/>
    <m/>
    <m/>
    <m/>
    <m/>
    <m/>
    <m/>
    <m/>
    <m/>
    <m/>
  </r>
  <r>
    <n v="1727"/>
    <x v="3"/>
    <m/>
    <x v="3"/>
    <x v="14"/>
    <d v="2019-03-19T00:00:00"/>
    <d v="2019-03-19T00:00:00"/>
    <n v="-11"/>
    <n v="11"/>
    <m/>
    <s v="CCV*BOEKHANDEL HIJMAN ARNHEM"/>
    <s v="UIT"/>
    <s v="DIV"/>
    <s v="boeken"/>
    <m/>
    <m/>
    <m/>
    <m/>
    <m/>
    <m/>
    <m/>
    <m/>
    <m/>
    <m/>
  </r>
  <r>
    <n v="1728"/>
    <x v="3"/>
    <m/>
    <x v="3"/>
    <x v="14"/>
    <d v="2019-03-19T00:00:00"/>
    <d v="2019-03-19T00:00:00"/>
    <n v="-3.9"/>
    <n v="3.9"/>
    <m/>
    <s v="Waar de Vries Arnhem ARNHEM"/>
    <s v="UIT"/>
    <s v="DIV"/>
    <s v="div"/>
    <m/>
    <m/>
    <m/>
    <m/>
    <m/>
    <m/>
    <m/>
    <m/>
    <m/>
    <m/>
  </r>
  <r>
    <n v="1746"/>
    <x v="3"/>
    <m/>
    <x v="3"/>
    <x v="14"/>
    <d v="2019-03-24T00:00:00"/>
    <d v="2019-03-24T00:00:00"/>
    <n v="-1.71"/>
    <n v="1.71"/>
    <m/>
    <s v="Action 1283 Arnhem"/>
    <s v="UIT"/>
    <s v="DIV"/>
    <s v="div"/>
    <m/>
    <m/>
    <m/>
    <m/>
    <m/>
    <m/>
    <m/>
    <m/>
    <m/>
    <m/>
  </r>
  <r>
    <n v="1749"/>
    <x v="3"/>
    <m/>
    <x v="3"/>
    <x v="14"/>
    <d v="2019-03-25T00:00:00"/>
    <d v="2019-03-25T00:00:00"/>
    <n v="-258"/>
    <n v="258"/>
    <m/>
    <s v="Coolblue telefoon samsung"/>
    <s v="UIT"/>
    <s v="DIV"/>
    <s v="electronica"/>
    <m/>
    <m/>
    <m/>
    <m/>
    <m/>
    <m/>
    <m/>
    <m/>
    <m/>
    <m/>
  </r>
  <r>
    <n v="1753"/>
    <x v="3"/>
    <m/>
    <x v="3"/>
    <x v="14"/>
    <d v="2019-03-26T00:00:00"/>
    <d v="2019-03-26T00:00:00"/>
    <n v="-14.99"/>
    <n v="14.99"/>
    <m/>
    <s v="Direct Fix Phone ARNHEM"/>
    <s v="UIT"/>
    <s v="DIV"/>
    <s v="electronica"/>
    <m/>
    <m/>
    <m/>
    <m/>
    <m/>
    <m/>
    <m/>
    <m/>
    <m/>
    <m/>
  </r>
  <r>
    <n v="1767"/>
    <x v="3"/>
    <m/>
    <x v="3"/>
    <x v="14"/>
    <d v="2019-03-27T00:00:00"/>
    <d v="2019-03-27T00:00:00"/>
    <n v="-2.98"/>
    <n v="2.98"/>
    <m/>
    <s v="Action 1283 Arnhem"/>
    <s v="UIT"/>
    <s v="DIV"/>
    <s v="div"/>
    <m/>
    <m/>
    <m/>
    <m/>
    <m/>
    <m/>
    <m/>
    <m/>
    <m/>
    <m/>
  </r>
  <r>
    <n v="1770"/>
    <x v="3"/>
    <m/>
    <x v="3"/>
    <x v="14"/>
    <d v="2019-03-28T00:00:00"/>
    <d v="2019-03-28T00:00:00"/>
    <n v="-4.5"/>
    <n v="4.5"/>
    <m/>
    <s v="HEMA EV021 ARNHEM-C ARNHEM"/>
    <s v="UIT"/>
    <s v="DIV"/>
    <s v="div"/>
    <m/>
    <m/>
    <m/>
    <m/>
    <m/>
    <m/>
    <m/>
    <m/>
    <m/>
    <m/>
  </r>
  <r>
    <n v="1771"/>
    <x v="3"/>
    <m/>
    <x v="3"/>
    <x v="14"/>
    <d v="2019-03-29T00:00:00"/>
    <d v="2019-03-29T00:00:00"/>
    <n v="-6"/>
    <n v="6"/>
    <m/>
    <s v="Flying Tiger ARNHEM"/>
    <s v="UIT"/>
    <s v="DIV"/>
    <s v="div"/>
    <m/>
    <m/>
    <m/>
    <m/>
    <m/>
    <m/>
    <m/>
    <m/>
    <m/>
    <m/>
  </r>
  <r>
    <n v="1782"/>
    <x v="3"/>
    <m/>
    <x v="3"/>
    <x v="53"/>
    <d v="2019-04-02T00:00:00"/>
    <d v="2019-04-02T00:00:00"/>
    <n v="-7.77"/>
    <n v="7.77"/>
    <m/>
    <s v="Action 1072 Stadskanaal"/>
    <s v="UIT"/>
    <s v="DIV"/>
    <s v="div"/>
    <m/>
    <m/>
    <m/>
    <m/>
    <m/>
    <m/>
    <m/>
    <m/>
    <m/>
    <m/>
  </r>
  <r>
    <n v="1788"/>
    <x v="3"/>
    <m/>
    <x v="3"/>
    <x v="53"/>
    <d v="2019-04-09T00:00:00"/>
    <d v="2019-04-09T00:00:00"/>
    <n v="-2.79"/>
    <n v="2.79"/>
    <m/>
    <s v="Action 1072 Stadskanaal"/>
    <s v="UIT"/>
    <s v="DIV"/>
    <s v="div"/>
    <m/>
    <m/>
    <m/>
    <m/>
    <m/>
    <m/>
    <m/>
    <m/>
    <m/>
    <m/>
  </r>
  <r>
    <n v="1792"/>
    <x v="3"/>
    <m/>
    <x v="3"/>
    <x v="53"/>
    <d v="2019-04-12T00:00:00"/>
    <d v="2019-04-12T00:00:00"/>
    <n v="-3.5"/>
    <n v="3.5"/>
    <m/>
    <s v="TIGER ROMA       RM ITA"/>
    <s v="UIT"/>
    <s v="DIV"/>
    <s v="div"/>
    <m/>
    <m/>
    <m/>
    <m/>
    <m/>
    <m/>
    <m/>
    <m/>
    <m/>
    <m/>
  </r>
  <r>
    <n v="1795"/>
    <x v="3"/>
    <m/>
    <x v="3"/>
    <x v="53"/>
    <d v="2019-04-16T00:00:00"/>
    <d v="2019-04-16T00:00:00"/>
    <n v="30"/>
    <n v="30"/>
    <m/>
    <s v="DESK SERVICES BV retour telefoon"/>
    <s v="UIT"/>
    <s v="DIV"/>
    <s v="electronica"/>
    <m/>
    <m/>
    <m/>
    <m/>
    <m/>
    <m/>
    <m/>
    <m/>
    <m/>
    <m/>
  </r>
  <r>
    <n v="1796"/>
    <x v="3"/>
    <m/>
    <x v="3"/>
    <x v="53"/>
    <d v="2019-04-18T00:00:00"/>
    <d v="2019-04-18T00:00:00"/>
    <n v="-14.5"/>
    <n v="14.5"/>
    <m/>
    <s v="MILLE BOLLE DI JIANG Q ROMA ITA schoenen + blokfluit + folie"/>
    <s v="UIT"/>
    <s v="DIV"/>
    <s v="div"/>
    <m/>
    <m/>
    <m/>
    <m/>
    <m/>
    <m/>
    <m/>
    <m/>
    <m/>
    <m/>
  </r>
  <r>
    <n v="1800"/>
    <x v="3"/>
    <m/>
    <x v="3"/>
    <x v="53"/>
    <d v="2019-04-23T00:00:00"/>
    <d v="2019-04-23T00:00:00"/>
    <n v="-119"/>
    <n v="119"/>
    <m/>
    <s v="PAM SUPERSTORE ACILIA ITA"/>
    <s v="UIT"/>
    <s v="DIV"/>
    <s v="fiets"/>
    <m/>
    <m/>
    <m/>
    <m/>
    <m/>
    <m/>
    <m/>
    <m/>
    <m/>
    <m/>
  </r>
  <r>
    <n v="1809"/>
    <x v="3"/>
    <m/>
    <x v="3"/>
    <x v="54"/>
    <d v="2019-05-01T00:00:00"/>
    <d v="2019-05-01T00:00:00"/>
    <n v="-10"/>
    <n v="10"/>
    <m/>
    <s v="staafmixer 22/5"/>
    <s v="UIT"/>
    <s v="DIV"/>
    <s v="div"/>
    <m/>
    <m/>
    <m/>
    <m/>
    <m/>
    <m/>
    <m/>
    <m/>
    <m/>
    <m/>
  </r>
  <r>
    <n v="1828"/>
    <x v="3"/>
    <m/>
    <x v="3"/>
    <x v="54"/>
    <d v="2019-05-29T00:00:00"/>
    <d v="2019-05-29T00:00:00"/>
    <n v="0"/>
    <n v="0"/>
    <m/>
    <s v="RABOBANK NEDERLAND"/>
    <s v="UIT"/>
    <s v="DIV"/>
    <s v="onbekend"/>
    <m/>
    <m/>
    <n v="-15"/>
    <m/>
    <m/>
    <m/>
    <m/>
    <m/>
    <m/>
    <m/>
  </r>
  <r>
    <n v="1857"/>
    <x v="3"/>
    <m/>
    <x v="3"/>
    <x v="38"/>
    <d v="2019-07-15T00:00:00"/>
    <d v="2019-07-15T00:00:00"/>
    <n v="-13"/>
    <n v="13"/>
    <m/>
    <s v="W Smit"/>
    <s v="UIT"/>
    <s v="DIV"/>
    <s v="div"/>
    <m/>
    <m/>
    <m/>
    <m/>
    <m/>
    <m/>
    <m/>
    <m/>
    <m/>
    <m/>
  </r>
  <r>
    <n v="1913"/>
    <x v="3"/>
    <m/>
    <x v="3"/>
    <x v="39"/>
    <d v="2019-10-09T00:00:00"/>
    <d v="2019-10-09T00:00:00"/>
    <n v="-3.29"/>
    <n v="3.29"/>
    <m/>
    <s v="BIGBAZAR1913STADSKAN STADSKANAAL"/>
    <s v="UIT"/>
    <s v="DIV"/>
    <s v="div"/>
    <m/>
    <m/>
    <m/>
    <m/>
    <m/>
    <m/>
    <m/>
    <m/>
    <m/>
    <m/>
  </r>
  <r>
    <n v="1922"/>
    <x v="3"/>
    <m/>
    <x v="3"/>
    <x v="39"/>
    <d v="2019-10-14T00:00:00"/>
    <d v="2019-10-14T00:00:00"/>
    <n v="-5.52"/>
    <n v="5.52"/>
    <m/>
    <s v="Action 1283 Arnhem"/>
    <s v="UIT"/>
    <s v="DIV"/>
    <s v="div"/>
    <m/>
    <m/>
    <m/>
    <m/>
    <m/>
    <m/>
    <m/>
    <m/>
    <m/>
    <m/>
  </r>
  <r>
    <n v="1927"/>
    <x v="3"/>
    <m/>
    <x v="3"/>
    <x v="39"/>
    <d v="2019-10-15T00:00:00"/>
    <d v="2019-10-15T00:00:00"/>
    <n v="-13"/>
    <n v="13"/>
    <m/>
    <s v="SHZ ZUTPHEN"/>
    <s v="UIT"/>
    <s v="DIV"/>
    <s v="reanimatie"/>
    <m/>
    <m/>
    <m/>
    <m/>
    <m/>
    <m/>
    <m/>
    <m/>
    <m/>
    <m/>
  </r>
  <r>
    <n v="1929"/>
    <x v="3"/>
    <m/>
    <x v="3"/>
    <x v="39"/>
    <d v="2019-10-16T00:00:00"/>
    <d v="2019-10-16T00:00:00"/>
    <n v="-1.5"/>
    <n v="1.5"/>
    <m/>
    <s v="So-Low ARNHEM"/>
    <s v="UIT"/>
    <s v="DIV"/>
    <s v="div"/>
    <m/>
    <m/>
    <m/>
    <m/>
    <m/>
    <m/>
    <m/>
    <m/>
    <m/>
    <m/>
  </r>
  <r>
    <n v="1939"/>
    <x v="3"/>
    <m/>
    <x v="3"/>
    <x v="39"/>
    <d v="2019-10-21T00:00:00"/>
    <d v="2019-10-21T00:00:00"/>
    <n v="-7.5"/>
    <n v="7.5"/>
    <m/>
    <s v="FOTO VIDEO SMITS BV ARNHEM"/>
    <s v="UIT"/>
    <s v="DIV"/>
    <s v="div"/>
    <m/>
    <m/>
    <m/>
    <m/>
    <m/>
    <m/>
    <m/>
    <m/>
    <m/>
    <m/>
  </r>
  <r>
    <n v="1940"/>
    <x v="3"/>
    <m/>
    <x v="3"/>
    <x v="39"/>
    <d v="2019-10-21T00:00:00"/>
    <d v="2019-10-21T00:00:00"/>
    <n v="-0.95"/>
    <n v="0.95"/>
    <m/>
    <s v="PostMasters Arnhem ARNHEM"/>
    <s v="UIT"/>
    <s v="DIV"/>
    <s v="div"/>
    <m/>
    <m/>
    <m/>
    <m/>
    <m/>
    <m/>
    <m/>
    <m/>
    <m/>
    <m/>
  </r>
  <r>
    <n v="1941"/>
    <x v="3"/>
    <m/>
    <x v="3"/>
    <x v="39"/>
    <d v="2019-10-21T00:00:00"/>
    <d v="2019-10-21T00:00:00"/>
    <n v="-7.5"/>
    <n v="7.5"/>
    <m/>
    <s v="Prijsmepper 6265 ARNHEM externe batterijen"/>
    <s v="UIT"/>
    <s v="DIV"/>
    <s v="div"/>
    <m/>
    <m/>
    <m/>
    <m/>
    <m/>
    <m/>
    <m/>
    <m/>
    <m/>
    <m/>
  </r>
  <r>
    <n v="1946"/>
    <x v="3"/>
    <m/>
    <x v="3"/>
    <x v="39"/>
    <d v="2019-10-22T00:00:00"/>
    <d v="2019-10-22T00:00:00"/>
    <n v="-10.41"/>
    <n v="10.41"/>
    <m/>
    <s v="Blendle B.V."/>
    <s v="UIT"/>
    <s v="DIV"/>
    <s v="div"/>
    <m/>
    <m/>
    <m/>
    <m/>
    <m/>
    <m/>
    <m/>
    <m/>
    <m/>
    <m/>
  </r>
  <r>
    <n v="1955"/>
    <x v="3"/>
    <m/>
    <x v="3"/>
    <x v="39"/>
    <d v="2019-10-24T00:00:00"/>
    <d v="2019-10-24T00:00:00"/>
    <n v="-12.5"/>
    <n v="12.5"/>
    <m/>
    <s v="Museum MORE Ruurlo RUURLO"/>
    <s v="UIT"/>
    <s v="DIV"/>
    <s v="div"/>
    <m/>
    <m/>
    <m/>
    <m/>
    <m/>
    <m/>
    <m/>
    <m/>
    <m/>
    <m/>
  </r>
  <r>
    <n v="1957"/>
    <x v="3"/>
    <m/>
    <x v="3"/>
    <x v="39"/>
    <d v="2019-10-24T00:00:00"/>
    <d v="2019-10-24T00:00:00"/>
    <n v="-10"/>
    <n v="10"/>
    <m/>
    <s v="Het Edelstenenwinkel ZUTPHEN"/>
    <s v="UIT"/>
    <s v="DIV"/>
    <s v="kristallen"/>
    <m/>
    <m/>
    <m/>
    <m/>
    <m/>
    <m/>
    <m/>
    <m/>
    <m/>
    <m/>
  </r>
  <r>
    <n v="1961"/>
    <x v="3"/>
    <m/>
    <x v="3"/>
    <x v="39"/>
    <d v="2019-10-25T00:00:00"/>
    <d v="2019-10-25T00:00:00"/>
    <n v="-0.7"/>
    <n v="0.7"/>
    <m/>
    <s v="Sanifair WC Anlage Utrecht"/>
    <s v="UIT"/>
    <s v="DIV"/>
    <s v="div"/>
    <m/>
    <m/>
    <m/>
    <m/>
    <m/>
    <m/>
    <m/>
    <m/>
    <m/>
    <m/>
  </r>
  <r>
    <n v="1964"/>
    <x v="3"/>
    <m/>
    <x v="3"/>
    <x v="39"/>
    <d v="2019-10-25T00:00:00"/>
    <d v="2019-10-25T00:00:00"/>
    <n v="-0.7"/>
    <n v="0.7"/>
    <m/>
    <s v="Amsterdam West 4208-11 Amsterdam"/>
    <s v="UIT"/>
    <s v="DIV"/>
    <s v="div"/>
    <m/>
    <m/>
    <m/>
    <m/>
    <m/>
    <m/>
    <m/>
    <m/>
    <m/>
    <m/>
  </r>
  <r>
    <n v="1980"/>
    <x v="3"/>
    <m/>
    <x v="3"/>
    <x v="39"/>
    <d v="2019-10-31T00:00:00"/>
    <d v="2019-10-31T00:00:00"/>
    <n v="-17.5"/>
    <n v="17.5"/>
    <m/>
    <s v="boek schaken"/>
    <s v="UIT"/>
    <s v="DIV"/>
    <s v="boeken"/>
    <m/>
    <m/>
    <m/>
    <m/>
    <m/>
    <m/>
    <m/>
    <m/>
    <m/>
    <m/>
  </r>
  <r>
    <n v="1985"/>
    <x v="3"/>
    <m/>
    <x v="3"/>
    <x v="16"/>
    <d v="2019-11-01T00:00:00"/>
    <d v="2019-11-01T00:00:00"/>
    <n v="-7.9"/>
    <n v="7.9"/>
    <m/>
    <s v="CCV*HET COLOFON ARNHEM"/>
    <s v="UIT"/>
    <s v="DIV"/>
    <s v="boeken"/>
    <m/>
    <m/>
    <m/>
    <m/>
    <m/>
    <m/>
    <m/>
    <m/>
    <m/>
    <m/>
  </r>
  <r>
    <n v="1996"/>
    <x v="3"/>
    <m/>
    <x v="3"/>
    <x v="16"/>
    <d v="2019-11-05T00:00:00"/>
    <d v="2019-11-05T00:00:00"/>
    <n v="-8.49"/>
    <n v="8.49"/>
    <m/>
    <s v="Action 1072 Stadskanaal"/>
    <s v="UIT"/>
    <s v="DIV"/>
    <s v="div"/>
    <m/>
    <m/>
    <m/>
    <m/>
    <m/>
    <m/>
    <m/>
    <m/>
    <m/>
    <m/>
  </r>
  <r>
    <n v="1997"/>
    <x v="3"/>
    <m/>
    <x v="3"/>
    <x v="16"/>
    <d v="2019-11-05T00:00:00"/>
    <d v="2019-11-05T00:00:00"/>
    <n v="-22.5"/>
    <n v="22.5"/>
    <m/>
    <s v="The Read Shop STADSKANAAL"/>
    <s v="UIT"/>
    <s v="DIV"/>
    <s v="boeken"/>
    <m/>
    <m/>
    <m/>
    <m/>
    <m/>
    <m/>
    <m/>
    <m/>
    <m/>
    <m/>
  </r>
  <r>
    <n v="2003"/>
    <x v="3"/>
    <m/>
    <x v="3"/>
    <x v="16"/>
    <d v="2019-11-09T00:00:00"/>
    <d v="2019-11-09T00:00:00"/>
    <n v="-5.28"/>
    <n v="5.28"/>
    <m/>
    <s v="CCV*OP IS OP STADSKANA STADSKANAAL"/>
    <s v="UIT"/>
    <s v="DIV"/>
    <s v="div"/>
    <m/>
    <m/>
    <m/>
    <m/>
    <m/>
    <m/>
    <m/>
    <m/>
    <m/>
    <m/>
  </r>
  <r>
    <n v="2005"/>
    <x v="3"/>
    <m/>
    <x v="3"/>
    <x v="16"/>
    <d v="2019-11-11T00:00:00"/>
    <d v="2019-11-11T00:00:00"/>
    <n v="-11.95"/>
    <n v="11.95"/>
    <m/>
    <s v="B.V. Servicepoint SP DRUTEN"/>
    <s v="UIT"/>
    <s v="DIV"/>
    <s v="onbekend"/>
    <m/>
    <m/>
    <m/>
    <m/>
    <m/>
    <m/>
    <m/>
    <m/>
    <m/>
    <m/>
  </r>
  <r>
    <n v="2028"/>
    <x v="3"/>
    <m/>
    <x v="3"/>
    <x v="17"/>
    <d v="2019-12-20T00:00:00"/>
    <d v="2019-12-20T00:00:00"/>
    <n v="-5"/>
    <n v="5"/>
    <m/>
    <s v="STICHTING J O H O"/>
    <s v="UIT"/>
    <s v="DIV"/>
    <s v="div"/>
    <m/>
    <m/>
    <m/>
    <m/>
    <m/>
    <m/>
    <m/>
    <m/>
    <m/>
    <m/>
  </r>
  <r>
    <n v="2029"/>
    <x v="3"/>
    <m/>
    <x v="3"/>
    <x v="17"/>
    <d v="2019-12-25T00:00:00"/>
    <d v="2019-12-25T00:00:00"/>
    <n v="-40"/>
    <n v="40"/>
    <m/>
    <s v="RL Smit"/>
    <s v="UIT"/>
    <s v="DIV"/>
    <s v="repre"/>
    <m/>
    <m/>
    <m/>
    <m/>
    <m/>
    <m/>
    <m/>
    <m/>
    <m/>
    <m/>
  </r>
  <r>
    <n v="2040"/>
    <x v="0"/>
    <m/>
    <x v="3"/>
    <x v="54"/>
    <d v="2019-05-18T00:00:00"/>
    <d v="2019-05-18T00:00:00"/>
    <n v="-15"/>
    <n v="15"/>
    <m/>
    <s v="WWW.EURONICS.IT MILANO ITA"/>
    <s v="UIT"/>
    <s v="DIV"/>
    <s v="repre"/>
    <m/>
    <m/>
    <m/>
    <m/>
    <m/>
    <m/>
    <m/>
    <m/>
    <m/>
    <m/>
  </r>
  <r>
    <n v="2045"/>
    <x v="0"/>
    <m/>
    <x v="3"/>
    <x v="38"/>
    <d v="2019-07-30T00:00:00"/>
    <d v="2019-07-30T00:00:00"/>
    <n v="-15.16"/>
    <n v="15.16"/>
    <m/>
    <s v="LAZADA"/>
    <s v="UIT"/>
    <s v="DIV"/>
    <s v="repre"/>
    <m/>
    <m/>
    <m/>
    <m/>
    <m/>
    <m/>
    <m/>
    <m/>
    <m/>
    <m/>
  </r>
  <r>
    <n v="2047"/>
    <x v="0"/>
    <m/>
    <x v="3"/>
    <x v="17"/>
    <d v="2019-12-01T00:00:00"/>
    <d v="2019-12-01T00:00:00"/>
    <n v="-16.61"/>
    <n v="16.61"/>
    <m/>
    <s v="GEN REGISTER OFFICE SOUTHPORT GBR"/>
    <s v="UIT"/>
    <s v="DIV"/>
    <s v="joost"/>
    <m/>
    <m/>
    <m/>
    <m/>
    <m/>
    <m/>
    <m/>
    <m/>
    <m/>
    <m/>
  </r>
  <r>
    <n v="2064"/>
    <x v="1"/>
    <m/>
    <x v="4"/>
    <x v="21"/>
    <d v="2020-03-09T00:00:00"/>
    <d v="2020-03-09T00:00:00"/>
    <n v="-4.12"/>
    <n v="4.12"/>
    <m/>
    <s v="PAIEMENT CARTE DU 060320 FINPAY*MY TELKO CARTE   4974XXXXXXXX8716                IDN 50000,00IDR+COMMISSION : 0,99"/>
    <s v="UIT"/>
    <s v="DIV"/>
    <s v="div"/>
    <m/>
    <s v="09-03-2020"/>
    <s v="Autres dépenses à catégoriser"/>
    <s v="PAIEMENT CARTE DU 060320 FINPAY*MY TELKO CARTE   4974XXXXXXXX8716                IDN 50000,00IDR+COMMISSION : 0,99"/>
    <n v="-4.12"/>
    <m/>
    <m/>
    <m/>
    <m/>
    <m/>
  </r>
  <r>
    <n v="2067"/>
    <x v="1"/>
    <m/>
    <x v="4"/>
    <x v="21"/>
    <d v="2020-03-16T00:00:00"/>
    <d v="2020-03-16T00:00:00"/>
    <n v="-4.0599999999999996"/>
    <n v="4.0599999999999996"/>
    <m/>
    <s v="PAIEMENT CARTE DU 120320 FINPAY*MY TELKO CARTE   4974XXXXXXXX8716                IDN 50000,00IDR+COMMISSION : 0,98"/>
    <s v="UIT"/>
    <s v="DIV"/>
    <s v="div"/>
    <m/>
    <s v="16-03-2020"/>
    <s v="Autres dépenses à catégoriser"/>
    <s v="PAIEMENT CARTE DU 120320 FINPAY*MY TELKO CARTE   4974XXXXXXXX8716                IDN 50000,00IDR+COMMISSION : 0,98"/>
    <n v="-4.0599999999999996"/>
    <m/>
    <m/>
    <m/>
    <m/>
    <m/>
  </r>
  <r>
    <n v="2078"/>
    <x v="1"/>
    <m/>
    <x v="4"/>
    <x v="23"/>
    <d v="2020-05-19T00:00:00"/>
    <d v="2020-05-19T00:00:00"/>
    <n v="-16"/>
    <n v="16"/>
    <m/>
    <s v="PRELEVEMENT PAYPAL EUROPE S.A.R.L Goodsouls food project"/>
    <s v="UIT"/>
    <s v="DIV"/>
    <s v="repre"/>
    <m/>
    <m/>
    <m/>
    <m/>
    <m/>
    <m/>
    <m/>
    <m/>
    <m/>
    <s v="Betaalautomaat 13:20 pasnr. 011"/>
  </r>
  <r>
    <n v="2080"/>
    <x v="1"/>
    <m/>
    <x v="4"/>
    <x v="23"/>
    <d v="2020-05-26T00:00:00"/>
    <d v="2020-05-26T00:00:00"/>
    <n v="-3.09"/>
    <n v="3.09"/>
    <m/>
    <s v="PRELEVEMENT PAYPAL EUROPE S.A.R.L. Come closer app"/>
    <s v="UIT"/>
    <s v="DIV"/>
    <s v="playstore"/>
    <m/>
    <m/>
    <m/>
    <m/>
    <m/>
    <m/>
    <m/>
    <m/>
    <m/>
    <m/>
  </r>
  <r>
    <n v="2085"/>
    <x v="1"/>
    <m/>
    <x v="4"/>
    <x v="23"/>
    <d v="2020-06-04T00:00:00"/>
    <d v="2020-06-04T00:00:00"/>
    <n v="-4.08"/>
    <n v="4.08"/>
    <m/>
    <s v="PRELEVEMENT PAYPAL EUROPE S.A.R.L. Coaching book mindvalley"/>
    <s v="UIT"/>
    <s v="DIV"/>
    <s v="boeken"/>
    <m/>
    <m/>
    <m/>
    <m/>
    <m/>
    <m/>
    <m/>
    <m/>
    <m/>
    <m/>
  </r>
  <r>
    <n v="2091"/>
    <x v="1"/>
    <m/>
    <x v="4"/>
    <x v="56"/>
    <d v="2020-07-02T00:00:00"/>
    <d v="2020-07-02T00:00:00"/>
    <n v="-11.5"/>
    <n v="11.5"/>
    <m/>
    <s v="PAIEMENT CARTE DU 010720 FNAC.COM        IVRY SUR SEIN   CARTE   4974XXXXXXXX8716"/>
    <s v="UIT"/>
    <s v="DIV"/>
    <s v="div"/>
    <m/>
    <m/>
    <m/>
    <m/>
    <m/>
    <m/>
    <m/>
    <m/>
    <m/>
    <m/>
  </r>
  <r>
    <n v="2094"/>
    <x v="1"/>
    <m/>
    <x v="4"/>
    <x v="56"/>
    <d v="2020-07-15T00:00:00"/>
    <d v="2020-07-15T00:00:00"/>
    <n v="-2.35"/>
    <n v="2.35"/>
    <m/>
    <s v="PRELEVEMENT PAYPAL EUROPE S.A.R.Lwikimedia"/>
    <s v="UIT"/>
    <s v="DIV"/>
    <s v="div"/>
    <m/>
    <m/>
    <m/>
    <m/>
    <m/>
    <m/>
    <m/>
    <m/>
    <m/>
    <s v="Betaalautomaat 13:20 pasnr. 011"/>
  </r>
  <r>
    <n v="2104"/>
    <x v="5"/>
    <m/>
    <x v="4"/>
    <x v="60"/>
    <d v="2020-08-23T00:00:00"/>
    <d v="2020-08-23T00:00:00"/>
    <n v="-6.1"/>
    <n v="6.1"/>
    <m/>
    <s v="kastekort"/>
    <s v="UIT"/>
    <s v="DIV"/>
    <s v="kasverschil"/>
    <m/>
    <m/>
    <m/>
    <m/>
    <m/>
    <m/>
    <m/>
    <m/>
    <m/>
    <m/>
  </r>
  <r>
    <n v="2108"/>
    <x v="5"/>
    <m/>
    <x v="4"/>
    <x v="58"/>
    <d v="2020-12-31T00:00:00"/>
    <d v="2020-12-31T00:00:00"/>
    <n v="-5.0999999999999996"/>
    <n v="5.0999999999999996"/>
    <m/>
    <s v="kasverschil"/>
    <s v="UIT"/>
    <s v="DIV"/>
    <s v="kasverschil"/>
    <s v="NIEUW"/>
    <m/>
    <m/>
    <m/>
    <m/>
    <m/>
    <m/>
    <m/>
    <m/>
    <m/>
  </r>
  <r>
    <n v="2139"/>
    <x v="2"/>
    <m/>
    <x v="4"/>
    <x v="57"/>
    <d v="2020-10-22T00:00:00"/>
    <d v="2020-10-22T00:00:00"/>
    <n v="-8.19"/>
    <n v="8.19"/>
    <m/>
    <s v="correctie boodschappen"/>
    <s v="UIT"/>
    <s v="DIV"/>
    <s v="joost"/>
    <m/>
    <m/>
    <m/>
    <m/>
    <m/>
    <m/>
    <m/>
    <m/>
    <m/>
    <m/>
  </r>
  <r>
    <n v="2140"/>
    <x v="2"/>
    <m/>
    <x v="4"/>
    <x v="58"/>
    <d v="2020-10-22T00:00:00"/>
    <d v="2020-10-22T00:00:00"/>
    <n v="-13"/>
    <n v="13"/>
    <m/>
    <s v="correctie boodschappen"/>
    <s v="UIT"/>
    <s v="DIV"/>
    <s v="joost"/>
    <m/>
    <m/>
    <m/>
    <m/>
    <m/>
    <m/>
    <m/>
    <m/>
    <m/>
    <m/>
  </r>
  <r>
    <n v="2142"/>
    <x v="2"/>
    <m/>
    <x v="4"/>
    <x v="59"/>
    <d v="2020-11-21T00:00:00"/>
    <d v="2020-11-21T00:00:00"/>
    <n v="-30.86"/>
    <n v="30.86"/>
    <m/>
    <s v="correctie boodschappen"/>
    <s v="UIT"/>
    <s v="DIV"/>
    <s v="joost"/>
    <m/>
    <m/>
    <m/>
    <m/>
    <m/>
    <m/>
    <m/>
    <m/>
    <m/>
    <m/>
  </r>
  <r>
    <n v="2147"/>
    <x v="3"/>
    <m/>
    <x v="4"/>
    <x v="20"/>
    <d v="2020-01-21T00:00:00"/>
    <d v="2020-01-21T00:00:00"/>
    <n v="-10"/>
    <n v="10"/>
    <m/>
    <s v="Chiara Branca"/>
    <s v="UIT"/>
    <s v="DIV"/>
    <s v="repre"/>
    <m/>
    <s v="NL22RABO0381604934"/>
    <s v="Contribution mats"/>
    <s v="RABONL2U"/>
    <n v="3076"/>
    <d v="2020-01-21T00:00:00"/>
    <d v="2020-01-22T00:00:00"/>
    <n v="-10"/>
    <n v="353.84"/>
    <s v="IT20I0305801604100320362171"/>
  </r>
  <r>
    <n v="2201"/>
    <x v="3"/>
    <m/>
    <x v="4"/>
    <x v="56"/>
    <d v="2020-07-01T00:00:00"/>
    <d v="2020-07-01T00:00:00"/>
    <n v="-13.78"/>
    <n v="13.78"/>
    <m/>
    <s v="Kruidvat 6224 MUSSELKANAAL"/>
    <s v="UIT"/>
    <s v="DIV"/>
    <s v="div"/>
    <m/>
    <s v="Betaalautomaat 16:48 pasnr. 011"/>
    <m/>
    <s v="bc"/>
    <m/>
    <m/>
    <m/>
    <m/>
    <m/>
    <m/>
  </r>
  <r>
    <n v="2206"/>
    <x v="3"/>
    <m/>
    <x v="4"/>
    <x v="56"/>
    <d v="2020-07-03T00:00:00"/>
    <d v="2020-07-03T00:00:00"/>
    <n v="-4.99"/>
    <n v="4.99"/>
    <m/>
    <s v="Blokker554 Musselkan MUSSELKANAAL"/>
    <s v="UIT"/>
    <s v="DIV"/>
    <s v="div"/>
    <m/>
    <s v="Betaalautomaat 14:48 pasnr. 011"/>
    <m/>
    <s v="bc"/>
    <m/>
    <m/>
    <m/>
    <m/>
    <m/>
    <m/>
  </r>
  <r>
    <n v="2207"/>
    <x v="3"/>
    <m/>
    <x v="4"/>
    <x v="56"/>
    <d v="2020-07-03T00:00:00"/>
    <d v="2020-07-03T00:00:00"/>
    <n v="-7"/>
    <n v="7"/>
    <m/>
    <s v="Books and More STADSKANAAL"/>
    <s v="UIT"/>
    <s v="DIV"/>
    <s v="boeken"/>
    <m/>
    <s v="Betaalautomaat 15:56 pasnr. 011"/>
    <m/>
    <s v="bc"/>
    <m/>
    <m/>
    <m/>
    <m/>
    <m/>
    <m/>
  </r>
  <r>
    <n v="2208"/>
    <x v="3"/>
    <m/>
    <x v="4"/>
    <x v="56"/>
    <d v="2020-07-03T00:00:00"/>
    <d v="2020-07-03T00:00:00"/>
    <n v="-2"/>
    <n v="2"/>
    <m/>
    <s v="SumUp  *Trilejo Books Stadskanaal"/>
    <s v="UIT"/>
    <s v="DIV"/>
    <s v="boeken"/>
    <m/>
    <s v="Betaalautomaat 16:23 pasnr. 011"/>
    <m/>
    <s v="bc"/>
    <m/>
    <m/>
    <m/>
    <m/>
    <m/>
    <m/>
  </r>
  <r>
    <n v="2210"/>
    <x v="3"/>
    <m/>
    <x v="4"/>
    <x v="56"/>
    <d v="2020-07-06T00:00:00"/>
    <d v="2020-07-06T00:00:00"/>
    <n v="-9.59"/>
    <n v="9.59"/>
    <m/>
    <s v="bol.com b.v."/>
    <s v="UIT"/>
    <s v="DIV"/>
    <s v="div"/>
    <m/>
    <s v="1124000883 0050004679586279 bol.com ref 1124000883 bol.com x4934 pasnr.011"/>
    <s v="INGBNL2A"/>
    <s v="id"/>
    <m/>
    <m/>
    <m/>
    <m/>
    <m/>
    <m/>
  </r>
  <r>
    <n v="2215"/>
    <x v="3"/>
    <m/>
    <x v="4"/>
    <x v="56"/>
    <d v="2020-07-09T00:00:00"/>
    <d v="2020-07-09T00:00:00"/>
    <n v="-6.48"/>
    <n v="6.48"/>
    <m/>
    <s v="Action 1283 Arnhem"/>
    <s v="UIT"/>
    <s v="DIV"/>
    <s v="div"/>
    <m/>
    <s v="Betaalautomaat 16:10 pasnr. 011"/>
    <m/>
    <s v="bc"/>
    <m/>
    <m/>
    <m/>
    <m/>
    <m/>
    <m/>
  </r>
  <r>
    <n v="2216"/>
    <x v="3"/>
    <m/>
    <x v="4"/>
    <x v="56"/>
    <d v="2020-07-09T00:00:00"/>
    <d v="2020-07-09T00:00:00"/>
    <n v="-1"/>
    <n v="1"/>
    <m/>
    <s v="Flying Tiger ARNHEM"/>
    <s v="UIT"/>
    <s v="DIV"/>
    <s v="div"/>
    <m/>
    <s v="Betaalautomaat 16:25 pasnr. 011"/>
    <m/>
    <s v="bc"/>
    <m/>
    <m/>
    <m/>
    <m/>
    <m/>
    <m/>
  </r>
  <r>
    <n v="2221"/>
    <x v="3"/>
    <m/>
    <x v="4"/>
    <x v="56"/>
    <d v="2020-07-11T00:00:00"/>
    <d v="2020-07-11T00:00:00"/>
    <n v="-5.89"/>
    <n v="5.89"/>
    <m/>
    <s v="Kruidvat 7082 ARNHEM"/>
    <s v="UIT"/>
    <s v="DIV"/>
    <s v="div"/>
    <m/>
    <s v="Betaalautomaat 16:57 pasnr. 011"/>
    <m/>
    <s v="bc"/>
    <m/>
    <m/>
    <m/>
    <m/>
    <m/>
    <m/>
  </r>
  <r>
    <n v="2223"/>
    <x v="3"/>
    <m/>
    <x v="4"/>
    <x v="56"/>
    <d v="2020-07-12T00:00:00"/>
    <d v="2020-07-12T00:00:00"/>
    <n v="-0.99"/>
    <n v="0.99"/>
    <m/>
    <s v="Prijsmepper 6265 ARNHEM"/>
    <s v="UIT"/>
    <s v="DIV"/>
    <s v="boeken"/>
    <m/>
    <s v="Betaalautomaat 12:48 pasnr. 011"/>
    <m/>
    <s v="bc"/>
    <m/>
    <m/>
    <m/>
    <m/>
    <m/>
    <m/>
  </r>
  <r>
    <n v="2224"/>
    <x v="3"/>
    <m/>
    <x v="4"/>
    <x v="56"/>
    <d v="2020-07-12T00:00:00"/>
    <d v="2020-07-12T00:00:00"/>
    <n v="-4.79"/>
    <n v="4.79"/>
    <m/>
    <s v="Action 1283 Arnhem"/>
    <s v="UIT"/>
    <s v="DIV"/>
    <s v="div"/>
    <m/>
    <s v="Betaalautomaat 13:41 pasnr. 011"/>
    <m/>
    <s v="bc"/>
    <m/>
    <m/>
    <m/>
    <m/>
    <m/>
    <m/>
  </r>
  <r>
    <n v="2227"/>
    <x v="3"/>
    <m/>
    <x v="4"/>
    <x v="56"/>
    <d v="2020-07-13T00:00:00"/>
    <d v="2020-07-13T00:00:00"/>
    <n v="-12.3"/>
    <n v="12.3"/>
    <m/>
    <s v="Primera steenstraat ARNHEM"/>
    <s v="UIT"/>
    <s v="DIV"/>
    <s v="div"/>
    <m/>
    <s v="Betaalautomaat 16:35 pasnr. 011"/>
    <m/>
    <s v="bc"/>
    <m/>
    <m/>
    <m/>
    <m/>
    <m/>
    <m/>
  </r>
  <r>
    <n v="2232"/>
    <x v="3"/>
    <m/>
    <x v="4"/>
    <x v="56"/>
    <d v="2020-07-17T00:00:00"/>
    <d v="2020-07-17T00:00:00"/>
    <n v="-9.4700000000000006"/>
    <n v="9.4700000000000006"/>
    <m/>
    <s v="Action 1283 Arnhem"/>
    <s v="UIT"/>
    <s v="DIV"/>
    <s v="div"/>
    <m/>
    <s v="Betaalautomaat 17:16 pasnr. 011"/>
    <m/>
    <s v="bc"/>
    <m/>
    <m/>
    <m/>
    <m/>
    <m/>
    <m/>
  </r>
  <r>
    <n v="2233"/>
    <x v="3"/>
    <m/>
    <x v="4"/>
    <x v="56"/>
    <d v="2020-07-17T00:00:00"/>
    <d v="2020-07-17T00:00:00"/>
    <n v="-2.5"/>
    <n v="2.5"/>
    <m/>
    <s v="Mimint ARNHEM"/>
    <s v="UIT"/>
    <s v="DIV"/>
    <s v="div"/>
    <m/>
    <s v="Betaalautomaat 17:23 pasnr. 011"/>
    <m/>
    <s v="bc"/>
    <m/>
    <m/>
    <m/>
    <m/>
    <m/>
    <m/>
  </r>
  <r>
    <n v="2234"/>
    <x v="3"/>
    <m/>
    <x v="4"/>
    <x v="56"/>
    <d v="2020-07-17T00:00:00"/>
    <d v="2020-07-17T00:00:00"/>
    <n v="-10"/>
    <n v="10"/>
    <m/>
    <s v="HEMA EV021 ARNHEM-C ARNHEM"/>
    <s v="UIT"/>
    <s v="DIV"/>
    <s v="div"/>
    <m/>
    <s v="Betaalautomaat 17:39 pasnr. 011"/>
    <m/>
    <s v="bc"/>
    <m/>
    <m/>
    <m/>
    <m/>
    <m/>
    <m/>
  </r>
  <r>
    <n v="2235"/>
    <x v="3"/>
    <m/>
    <x v="4"/>
    <x v="56"/>
    <d v="2020-07-17T00:00:00"/>
    <d v="2020-07-17T00:00:00"/>
    <n v="-1.75"/>
    <n v="1.75"/>
    <m/>
    <s v="HEMA EV021 ARNHEM-C ARNHEM"/>
    <s v="UIT"/>
    <s v="DIV"/>
    <s v="div"/>
    <m/>
    <s v="Betaalautomaat 17:40 pasnr. 011"/>
    <m/>
    <s v="bc"/>
    <m/>
    <m/>
    <m/>
    <m/>
    <m/>
    <m/>
  </r>
  <r>
    <n v="2236"/>
    <x v="3"/>
    <m/>
    <x v="4"/>
    <x v="56"/>
    <d v="2020-07-17T00:00:00"/>
    <d v="2020-07-17T00:00:00"/>
    <n v="-0.25"/>
    <n v="0.25"/>
    <m/>
    <s v="HEMA EV021 ARNHEM-C ARNHEM"/>
    <s v="UIT"/>
    <s v="DIV"/>
    <s v="div"/>
    <m/>
    <s v="Betaalautomaat 17:45 pasnr. 011"/>
    <m/>
    <s v="bc"/>
    <m/>
    <m/>
    <m/>
    <m/>
    <m/>
    <m/>
  </r>
  <r>
    <n v="2243"/>
    <x v="3"/>
    <m/>
    <x v="4"/>
    <x v="56"/>
    <d v="2020-07-19T00:00:00"/>
    <d v="2020-07-19T00:00:00"/>
    <n v="-5.31"/>
    <n v="5.31"/>
    <m/>
    <s v="Action 1283 Arnhem"/>
    <s v="UIT"/>
    <s v="DIV"/>
    <s v="div"/>
    <m/>
    <s v="Betaalautomaat 12:35 pasnr. 011"/>
    <m/>
    <s v="bc"/>
    <m/>
    <m/>
    <m/>
    <m/>
    <m/>
    <m/>
  </r>
  <r>
    <n v="2244"/>
    <x v="3"/>
    <m/>
    <x v="4"/>
    <x v="56"/>
    <d v="2020-07-19T00:00:00"/>
    <d v="2020-07-19T00:00:00"/>
    <n v="-2.12"/>
    <n v="2.12"/>
    <m/>
    <s v="Kruidvat 0256 ARNHEM"/>
    <s v="UIT"/>
    <s v="DIV"/>
    <s v="div"/>
    <m/>
    <s v="Betaalautomaat 12:46 pasnr. 011"/>
    <m/>
    <s v="bc"/>
    <m/>
    <m/>
    <m/>
    <m/>
    <m/>
    <m/>
  </r>
  <r>
    <n v="2251"/>
    <x v="3"/>
    <m/>
    <x v="4"/>
    <x v="56"/>
    <d v="2020-07-21T00:00:00"/>
    <d v="2020-07-21T00:00:00"/>
    <n v="-1.5"/>
    <n v="1.5"/>
    <m/>
    <s v="Stichting Aktief WINTERSWIJK"/>
    <s v="UIT"/>
    <s v="DIV"/>
    <s v="boeken"/>
    <m/>
    <s v="Betaalautomaat 14:39 pasnr. 011"/>
    <m/>
    <s v="bc"/>
    <m/>
    <m/>
    <m/>
    <m/>
    <m/>
    <s v="Geldautomaat 22:53 pasnr. 011"/>
  </r>
  <r>
    <n v="2252"/>
    <x v="3"/>
    <m/>
    <x v="4"/>
    <x v="56"/>
    <d v="2020-07-21T00:00:00"/>
    <d v="2020-07-21T00:00:00"/>
    <n v="-9.7100000000000009"/>
    <n v="9.7100000000000009"/>
    <m/>
    <s v="Action 1138 Winterswijk"/>
    <s v="UIT"/>
    <s v="DIV"/>
    <s v="div"/>
    <m/>
    <s v="Betaalautomaat 14:58 pasnr. 011"/>
    <m/>
    <s v="bc"/>
    <m/>
    <m/>
    <m/>
    <m/>
    <m/>
    <s v="Betaalautomaat 12:35 pasnr. 011"/>
  </r>
  <r>
    <n v="2257"/>
    <x v="3"/>
    <m/>
    <x v="4"/>
    <x v="56"/>
    <d v="2020-07-22T00:00:00"/>
    <d v="2020-07-22T00:00:00"/>
    <n v="-5.78"/>
    <n v="5.78"/>
    <m/>
    <s v="Action 1138 Winterswijk"/>
    <s v="UIT"/>
    <s v="DIV"/>
    <s v="div"/>
    <m/>
    <s v="Betaalautomaat 10:52 pasnr. 011"/>
    <m/>
    <s v="bc"/>
    <m/>
    <m/>
    <m/>
    <m/>
    <m/>
    <s v="Betaalautomaat 11:05 pasnr. 011"/>
  </r>
  <r>
    <n v="2267"/>
    <x v="3"/>
    <m/>
    <x v="4"/>
    <x v="56"/>
    <d v="2020-07-27T00:00:00"/>
    <d v="2020-07-27T00:00:00"/>
    <n v="-2.58"/>
    <n v="2.58"/>
    <m/>
    <s v="Action 1138 Winterswijk"/>
    <s v="UIT"/>
    <s v="DIV"/>
    <s v="div"/>
    <m/>
    <s v="Betaalautomaat 14:13 pasnr. 022"/>
    <m/>
    <s v="bc"/>
    <m/>
    <m/>
    <m/>
    <m/>
    <m/>
    <s v="Betaalautomaat 12:30 pasnr. 011"/>
  </r>
  <r>
    <n v="2269"/>
    <x v="3"/>
    <m/>
    <x v="4"/>
    <x v="56"/>
    <d v="2020-07-28T00:00:00"/>
    <d v="2020-07-28T00:00:00"/>
    <n v="-22.83"/>
    <n v="22.83"/>
    <m/>
    <s v="Action 1199 Aalten"/>
    <s v="UIT"/>
    <s v="DIV"/>
    <s v="div"/>
    <m/>
    <s v="Betaalautomaat 14:31 pasnr. 022"/>
    <m/>
    <s v="bc"/>
    <m/>
    <m/>
    <m/>
    <m/>
    <m/>
    <s v="Salaris juli 2020"/>
  </r>
  <r>
    <n v="2275"/>
    <x v="3"/>
    <m/>
    <x v="4"/>
    <x v="56"/>
    <d v="2020-07-31T00:00:00"/>
    <d v="2020-07-31T00:00:00"/>
    <n v="-4.6900000000000004"/>
    <n v="4.6900000000000004"/>
    <m/>
    <s v="Xenos Wint.wijk 165 WINTERSWIJK"/>
    <s v="UIT"/>
    <s v="DIV"/>
    <s v="div"/>
    <m/>
    <s v="Betaalautomaat 14:40 pasnr. 022"/>
    <m/>
    <s v="bc"/>
    <m/>
    <m/>
    <m/>
    <m/>
    <m/>
    <s v="Betaalautomaat 10:38 pasnr. 022"/>
  </r>
  <r>
    <n v="2291"/>
    <x v="3"/>
    <m/>
    <x v="4"/>
    <x v="60"/>
    <d v="2020-08-04T00:00:00"/>
    <d v="2020-08-04T00:00:00"/>
    <n v="-18.66"/>
    <n v="18.66"/>
    <m/>
    <s v="Action 1283 Arnhem"/>
    <s v="UIT"/>
    <s v="DIV"/>
    <s v="div"/>
    <m/>
    <s v="Betaalautomaat 12:13 pasnr. 022"/>
    <m/>
    <s v="bc"/>
    <m/>
    <m/>
    <m/>
    <m/>
    <m/>
    <s v="Betaalautomaat 16:44 pasnr. 022"/>
  </r>
  <r>
    <n v="2309"/>
    <x v="3"/>
    <m/>
    <x v="4"/>
    <x v="60"/>
    <d v="2020-08-11T00:00:00"/>
    <d v="2020-08-11T00:00:00"/>
    <n v="-4.5"/>
    <n v="4.5"/>
    <m/>
    <s v="Stenen Museum Winkel BREDEVOORT"/>
    <s v="UIT"/>
    <s v="DIV"/>
    <s v="kristallen"/>
    <m/>
    <m/>
    <m/>
    <m/>
    <m/>
    <m/>
    <m/>
    <m/>
    <m/>
    <m/>
  </r>
  <r>
    <n v="2313"/>
    <x v="3"/>
    <m/>
    <x v="4"/>
    <x v="60"/>
    <d v="2020-08-12T00:00:00"/>
    <d v="2020-08-12T00:00:00"/>
    <n v="-5"/>
    <n v="5"/>
    <m/>
    <s v="IZ *ABC Libertas ARNHEM"/>
    <s v="UIT"/>
    <s v="DIV"/>
    <s v="boeken"/>
    <m/>
    <m/>
    <m/>
    <m/>
    <m/>
    <m/>
    <m/>
    <m/>
    <m/>
    <m/>
  </r>
  <r>
    <n v="2318"/>
    <x v="3"/>
    <m/>
    <x v="4"/>
    <x v="60"/>
    <d v="2020-08-13T00:00:00"/>
    <d v="2020-08-13T00:00:00"/>
    <n v="-23.99"/>
    <n v="23.99"/>
    <s v="NL27INGB0000026500"/>
    <s v="bol.com b.v."/>
    <s v="UIT"/>
    <s v="DIV"/>
    <s v="div"/>
    <m/>
    <m/>
    <m/>
    <m/>
    <m/>
    <m/>
    <m/>
    <m/>
    <m/>
    <m/>
  </r>
  <r>
    <n v="2319"/>
    <x v="3"/>
    <m/>
    <x v="4"/>
    <x v="60"/>
    <d v="2020-08-14T00:00:00"/>
    <d v="2020-08-14T00:00:00"/>
    <n v="-1"/>
    <n v="1"/>
    <m/>
    <s v="Stichting Aktief WINTERSWIJK"/>
    <s v="UIT"/>
    <s v="DIV"/>
    <s v="div"/>
    <m/>
    <m/>
    <m/>
    <m/>
    <m/>
    <m/>
    <m/>
    <m/>
    <m/>
    <m/>
  </r>
  <r>
    <n v="2320"/>
    <x v="3"/>
    <m/>
    <x v="4"/>
    <x v="60"/>
    <d v="2020-08-14T00:00:00"/>
    <d v="2020-08-14T00:00:00"/>
    <n v="-10.39"/>
    <n v="10.39"/>
    <m/>
    <s v="Action 1138 Winterswijk"/>
    <s v="UIT"/>
    <s v="DIV"/>
    <s v="div"/>
    <m/>
    <m/>
    <m/>
    <m/>
    <m/>
    <m/>
    <m/>
    <m/>
    <m/>
    <m/>
  </r>
  <r>
    <n v="2325"/>
    <x v="3"/>
    <m/>
    <x v="4"/>
    <x v="60"/>
    <d v="2020-08-18T00:00:00"/>
    <d v="2020-08-18T00:00:00"/>
    <n v="-10.94"/>
    <n v="10.94"/>
    <m/>
    <s v="Action 1199 Aalten"/>
    <s v="UIT"/>
    <s v="DIV"/>
    <s v="div"/>
    <m/>
    <m/>
    <m/>
    <m/>
    <m/>
    <m/>
    <m/>
    <m/>
    <m/>
    <m/>
  </r>
  <r>
    <n v="2330"/>
    <x v="3"/>
    <m/>
    <x v="4"/>
    <x v="60"/>
    <d v="2020-08-19T00:00:00"/>
    <d v="2020-08-19T00:00:00"/>
    <n v="-1.25"/>
    <n v="1.25"/>
    <m/>
    <s v="So-Low ARNHEM"/>
    <s v="UIT"/>
    <s v="DIV"/>
    <s v="div"/>
    <m/>
    <m/>
    <m/>
    <m/>
    <m/>
    <m/>
    <m/>
    <m/>
    <m/>
    <m/>
  </r>
  <r>
    <n v="2331"/>
    <x v="3"/>
    <m/>
    <x v="4"/>
    <x v="60"/>
    <d v="2020-08-19T00:00:00"/>
    <d v="2020-08-19T00:00:00"/>
    <n v="-7"/>
    <n v="7"/>
    <m/>
    <s v="IZ *ABC Libertas ARNHEM"/>
    <s v="UIT"/>
    <s v="DIV"/>
    <s v="boeken"/>
    <m/>
    <m/>
    <m/>
    <m/>
    <m/>
    <m/>
    <m/>
    <m/>
    <m/>
    <m/>
  </r>
  <r>
    <n v="2333"/>
    <x v="3"/>
    <m/>
    <x v="4"/>
    <x v="60"/>
    <d v="2020-08-19T00:00:00"/>
    <d v="2020-08-19T00:00:00"/>
    <n v="25"/>
    <n v="25"/>
    <s v="NL10RBRB0948370114"/>
    <s v="SMIT W en/of SMIT-BRANDS W R F"/>
    <s v="UIT"/>
    <s v="DIV"/>
    <s v="div"/>
    <m/>
    <m/>
    <m/>
    <m/>
    <m/>
    <m/>
    <m/>
    <m/>
    <m/>
    <m/>
  </r>
  <r>
    <n v="2342"/>
    <x v="3"/>
    <m/>
    <x v="4"/>
    <x v="60"/>
    <d v="2020-08-22T00:00:00"/>
    <d v="2020-08-22T00:00:00"/>
    <n v="-1.96"/>
    <n v="1.96"/>
    <m/>
    <s v="Action 1138 Winterswijk"/>
    <s v="UIT"/>
    <s v="DIV"/>
    <s v="div"/>
    <m/>
    <m/>
    <m/>
    <m/>
    <m/>
    <m/>
    <m/>
    <m/>
    <m/>
    <m/>
  </r>
  <r>
    <n v="2358"/>
    <x v="3"/>
    <m/>
    <x v="4"/>
    <x v="60"/>
    <d v="2020-08-27T00:00:00"/>
    <d v="2020-08-27T00:00:00"/>
    <n v="-0.91"/>
    <n v="0.91"/>
    <s v="NL39RABO0301242844"/>
    <s v="Ingenico"/>
    <s v="UIT"/>
    <s v="DIV"/>
    <s v="div"/>
    <m/>
    <m/>
    <m/>
    <m/>
    <m/>
    <m/>
    <m/>
    <m/>
    <m/>
    <m/>
  </r>
  <r>
    <n v="2360"/>
    <x v="3"/>
    <m/>
    <x v="4"/>
    <x v="60"/>
    <d v="2020-08-28T00:00:00"/>
    <d v="2020-08-28T00:00:00"/>
    <n v="-3.95"/>
    <n v="3.95"/>
    <m/>
    <s v="Action 1138 Winterswijk"/>
    <s v="UIT"/>
    <s v="DIV"/>
    <s v="div"/>
    <m/>
    <m/>
    <m/>
    <m/>
    <m/>
    <m/>
    <m/>
    <m/>
    <m/>
    <m/>
  </r>
  <r>
    <n v="2364"/>
    <x v="3"/>
    <m/>
    <x v="4"/>
    <x v="60"/>
    <d v="2020-08-29T00:00:00"/>
    <d v="2020-08-29T00:00:00"/>
    <n v="-31.35"/>
    <n v="31.35"/>
    <m/>
    <s v="Stenen Museum Winkel BREDEVOORT"/>
    <s v="UIT"/>
    <s v="DIV"/>
    <s v="kristallen"/>
    <m/>
    <m/>
    <m/>
    <m/>
    <m/>
    <m/>
    <m/>
    <m/>
    <m/>
    <m/>
  </r>
  <r>
    <n v="2372"/>
    <x v="3"/>
    <m/>
    <x v="4"/>
    <x v="61"/>
    <d v="2020-09-01T00:00:00"/>
    <d v="2020-09-01T00:00:00"/>
    <n v="-1.1499999999999999"/>
    <n v="1.1499999999999999"/>
    <m/>
    <s v="Action 1325 Panningen"/>
    <s v="UIT"/>
    <s v="DIV"/>
    <s v="div"/>
    <m/>
    <m/>
    <m/>
    <m/>
    <m/>
    <m/>
    <m/>
    <m/>
    <m/>
    <m/>
  </r>
  <r>
    <n v="2380"/>
    <x v="3"/>
    <m/>
    <x v="4"/>
    <x v="61"/>
    <d v="2020-09-05T00:00:00"/>
    <d v="2020-09-05T00:00:00"/>
    <n v="-3.78"/>
    <n v="3.78"/>
    <m/>
    <s v="Wibra Venlo VENLO"/>
    <s v="UIT"/>
    <s v="DIV"/>
    <s v="div"/>
    <m/>
    <m/>
    <m/>
    <m/>
    <m/>
    <m/>
    <m/>
    <m/>
    <m/>
    <m/>
  </r>
  <r>
    <n v="2385"/>
    <x v="3"/>
    <m/>
    <x v="4"/>
    <x v="61"/>
    <d v="2020-09-08T00:00:00"/>
    <d v="2020-09-08T00:00:00"/>
    <n v="-1.49"/>
    <n v="1.49"/>
    <m/>
    <s v="ZEEMAN PANINGEN PANNINGEN"/>
    <s v="UIT"/>
    <s v="DIV"/>
    <s v="div"/>
    <m/>
    <m/>
    <m/>
    <m/>
    <m/>
    <m/>
    <m/>
    <m/>
    <m/>
    <m/>
  </r>
  <r>
    <n v="2400"/>
    <x v="3"/>
    <m/>
    <x v="4"/>
    <x v="61"/>
    <d v="2020-09-15T00:00:00"/>
    <d v="2020-09-15T00:00:00"/>
    <n v="-5.09"/>
    <n v="5.09"/>
    <m/>
    <s v="Action 1102 Venlo"/>
    <s v="UIT"/>
    <s v="DIV"/>
    <s v="div"/>
    <m/>
    <m/>
    <m/>
    <m/>
    <m/>
    <m/>
    <m/>
    <m/>
    <m/>
    <m/>
  </r>
  <r>
    <n v="2406"/>
    <x v="3"/>
    <m/>
    <x v="4"/>
    <x v="61"/>
    <d v="2020-09-17T00:00:00"/>
    <d v="2020-09-17T00:00:00"/>
    <n v="-0.46"/>
    <n v="0.46"/>
    <m/>
    <s v="Action 1152 Sevenum"/>
    <s v="UIT"/>
    <s v="DIV"/>
    <s v="div"/>
    <m/>
    <m/>
    <m/>
    <m/>
    <m/>
    <m/>
    <m/>
    <m/>
    <m/>
    <m/>
  </r>
  <r>
    <n v="2420"/>
    <x v="3"/>
    <m/>
    <x v="4"/>
    <x v="61"/>
    <d v="2020-09-29T00:00:00"/>
    <d v="2020-09-29T00:00:00"/>
    <n v="-0.46"/>
    <n v="0.46"/>
    <m/>
    <s v="Action 1152 Sevenum"/>
    <s v="UIT"/>
    <s v="DIV"/>
    <s v="div"/>
    <m/>
    <m/>
    <m/>
    <m/>
    <m/>
    <m/>
    <m/>
    <m/>
    <m/>
    <m/>
  </r>
  <r>
    <n v="2421"/>
    <x v="3"/>
    <m/>
    <x v="4"/>
    <x v="61"/>
    <d v="2020-09-29T00:00:00"/>
    <d v="2020-09-29T00:00:00"/>
    <n v="-1.5"/>
    <n v="1.5"/>
    <m/>
    <s v="kringlp oud en nieuw SEVENUM"/>
    <s v="UIT"/>
    <s v="DIV"/>
    <s v="div"/>
    <m/>
    <m/>
    <m/>
    <m/>
    <m/>
    <m/>
    <m/>
    <m/>
    <m/>
    <m/>
  </r>
  <r>
    <n v="2427"/>
    <x v="3"/>
    <m/>
    <x v="4"/>
    <x v="57"/>
    <d v="2020-10-01T00:00:00"/>
    <d v="2020-10-01T00:00:00"/>
    <n v="-11.99"/>
    <n v="11.99"/>
    <m/>
    <s v="113  DIO-Readshop MUSSELKANAAL"/>
    <s v="UIT"/>
    <s v="DIV"/>
    <s v="div"/>
    <m/>
    <m/>
    <m/>
    <m/>
    <m/>
    <m/>
    <m/>
    <m/>
    <m/>
    <m/>
  </r>
  <r>
    <n v="2429"/>
    <x v="3"/>
    <m/>
    <x v="4"/>
    <x v="57"/>
    <d v="2020-10-01T00:00:00"/>
    <d v="2020-10-01T00:00:00"/>
    <n v="11.99"/>
    <n v="11.99"/>
    <s v="NL10RBRB0948370114"/>
    <s v="SMIT W en/of SMIT-BRANDS W R F"/>
    <s v="UIT"/>
    <s v="DIV"/>
    <s v="div"/>
    <m/>
    <m/>
    <m/>
    <m/>
    <m/>
    <m/>
    <m/>
    <m/>
    <m/>
    <m/>
  </r>
  <r>
    <n v="2434"/>
    <x v="3"/>
    <m/>
    <x v="4"/>
    <x v="57"/>
    <d v="2020-10-08T00:00:00"/>
    <d v="2020-10-08T00:00:00"/>
    <n v="-7.15"/>
    <n v="7.15"/>
    <s v="NL60INGB0004899768"/>
    <s v="A bos"/>
    <s v="UIT"/>
    <s v="DIV"/>
    <s v="lego"/>
    <m/>
    <m/>
    <m/>
    <m/>
    <m/>
    <m/>
    <m/>
    <m/>
    <m/>
    <m/>
  </r>
  <r>
    <n v="2435"/>
    <x v="3"/>
    <m/>
    <x v="4"/>
    <x v="57"/>
    <d v="2020-10-08T00:00:00"/>
    <d v="2020-10-08T00:00:00"/>
    <n v="-3"/>
    <n v="3"/>
    <s v="NL17ABNA0846590743"/>
    <s v="T postma"/>
    <s v="UIT"/>
    <s v="DIV"/>
    <s v="lego"/>
    <m/>
    <m/>
    <m/>
    <m/>
    <m/>
    <m/>
    <m/>
    <m/>
    <m/>
    <m/>
  </r>
  <r>
    <n v="2442"/>
    <x v="3"/>
    <m/>
    <x v="4"/>
    <x v="57"/>
    <d v="2020-10-12T00:00:00"/>
    <d v="2020-10-12T00:00:00"/>
    <n v="-2.5"/>
    <n v="2.5"/>
    <m/>
    <s v="Rozet 02 ARNHEM"/>
    <s v="UIT"/>
    <s v="DIV"/>
    <s v="div"/>
    <m/>
    <m/>
    <m/>
    <m/>
    <m/>
    <m/>
    <m/>
    <m/>
    <m/>
    <m/>
  </r>
  <r>
    <n v="2443"/>
    <x v="3"/>
    <m/>
    <x v="4"/>
    <x v="57"/>
    <d v="2020-10-12T00:00:00"/>
    <d v="2020-10-12T00:00:00"/>
    <n v="-13.93"/>
    <n v="13.93"/>
    <m/>
    <s v="Action 1283 Arnhem"/>
    <s v="UIT"/>
    <s v="DIV"/>
    <s v="div"/>
    <m/>
    <m/>
    <m/>
    <m/>
    <m/>
    <m/>
    <m/>
    <m/>
    <m/>
    <m/>
  </r>
  <r>
    <n v="2445"/>
    <x v="3"/>
    <m/>
    <x v="4"/>
    <x v="57"/>
    <d v="2020-10-13T00:00:00"/>
    <d v="2020-10-13T00:00:00"/>
    <n v="-1"/>
    <n v="1"/>
    <m/>
    <s v="Flying Tiger ARNHEM"/>
    <s v="UIT"/>
    <s v="DIV"/>
    <s v="div"/>
    <m/>
    <m/>
    <m/>
    <m/>
    <m/>
    <m/>
    <m/>
    <m/>
    <m/>
    <m/>
  </r>
  <r>
    <n v="2453"/>
    <x v="3"/>
    <m/>
    <x v="4"/>
    <x v="57"/>
    <d v="2020-10-15T00:00:00"/>
    <d v="2020-10-15T00:00:00"/>
    <n v="-3.57"/>
    <n v="3.57"/>
    <s v="NL08INGB0792590562"/>
    <s v="P van der schief"/>
    <s v="UIT"/>
    <s v="DIV"/>
    <s v="lego"/>
    <m/>
    <m/>
    <m/>
    <m/>
    <m/>
    <m/>
    <m/>
    <m/>
    <m/>
    <m/>
  </r>
  <r>
    <n v="2456"/>
    <x v="3"/>
    <m/>
    <x v="4"/>
    <x v="57"/>
    <d v="2020-10-16T00:00:00"/>
    <d v="2020-10-16T00:00:00"/>
    <n v="-5"/>
    <n v="5"/>
    <m/>
    <s v="Rozet 01 ARNHEM"/>
    <s v="UIT"/>
    <s v="DIV"/>
    <s v="div"/>
    <m/>
    <m/>
    <m/>
    <m/>
    <m/>
    <m/>
    <m/>
    <m/>
    <m/>
    <m/>
  </r>
  <r>
    <n v="2457"/>
    <x v="3"/>
    <m/>
    <x v="4"/>
    <x v="57"/>
    <d v="2020-10-16T00:00:00"/>
    <d v="2020-10-16T00:00:00"/>
    <n v="-3.87"/>
    <n v="3.87"/>
    <m/>
    <s v="Action 1283 Arnhem"/>
    <s v="UIT"/>
    <s v="DIV"/>
    <s v="div"/>
    <m/>
    <m/>
    <m/>
    <m/>
    <m/>
    <m/>
    <m/>
    <m/>
    <m/>
    <m/>
  </r>
  <r>
    <n v="2466"/>
    <x v="3"/>
    <m/>
    <x v="4"/>
    <x v="57"/>
    <d v="2020-10-20T00:00:00"/>
    <d v="2020-10-20T00:00:00"/>
    <n v="-2"/>
    <n v="2"/>
    <m/>
    <s v="Flying Tiger ARNHEM"/>
    <s v="UIT"/>
    <s v="DIV"/>
    <s v="div"/>
    <m/>
    <m/>
    <m/>
    <m/>
    <m/>
    <m/>
    <m/>
    <m/>
    <m/>
    <m/>
  </r>
  <r>
    <n v="2473"/>
    <x v="3"/>
    <m/>
    <x v="4"/>
    <x v="57"/>
    <d v="2020-10-22T00:00:00"/>
    <d v="2020-10-22T00:00:00"/>
    <n v="-4.96"/>
    <n v="4.96"/>
    <m/>
    <s v="Prijsmepper 6265 ARNHEM"/>
    <s v="UIT"/>
    <s v="DIV"/>
    <s v="div"/>
    <m/>
    <m/>
    <m/>
    <m/>
    <m/>
    <m/>
    <m/>
    <m/>
    <m/>
    <m/>
  </r>
  <r>
    <n v="2474"/>
    <x v="3"/>
    <m/>
    <x v="4"/>
    <x v="57"/>
    <d v="2020-10-22T00:00:00"/>
    <d v="2020-10-22T00:00:00"/>
    <n v="-2"/>
    <n v="2"/>
    <m/>
    <s v="Medikam die Grenze ARNHEM"/>
    <s v="UIT"/>
    <s v="DIV"/>
    <s v="div"/>
    <m/>
    <m/>
    <m/>
    <m/>
    <m/>
    <m/>
    <m/>
    <m/>
    <m/>
    <m/>
  </r>
  <r>
    <n v="2478"/>
    <x v="3"/>
    <m/>
    <x v="4"/>
    <x v="57"/>
    <d v="2020-10-24T00:00:00"/>
    <d v="2020-10-24T00:00:00"/>
    <n v="-24.99"/>
    <n v="24.99"/>
    <m/>
    <s v="Boekhandel ONGERIJMD ARNHEM"/>
    <s v="UIT"/>
    <s v="DIV"/>
    <s v="boeken"/>
    <s v="NIEUW"/>
    <m/>
    <m/>
    <m/>
    <m/>
    <m/>
    <m/>
    <m/>
    <m/>
    <m/>
  </r>
  <r>
    <n v="2481"/>
    <x v="3"/>
    <m/>
    <x v="4"/>
    <x v="57"/>
    <d v="2020-10-25T00:00:00"/>
    <d v="2020-10-25T00:00:00"/>
    <n v="-0.89"/>
    <n v="0.89"/>
    <m/>
    <s v="So-Low Arnhem ARNHEM"/>
    <s v="UIT"/>
    <s v="DIV"/>
    <s v="div"/>
    <s v="NIEUW"/>
    <m/>
    <m/>
    <m/>
    <m/>
    <m/>
    <m/>
    <m/>
    <m/>
    <m/>
  </r>
  <r>
    <n v="2482"/>
    <x v="3"/>
    <m/>
    <x v="4"/>
    <x v="57"/>
    <d v="2020-10-26T00:00:00"/>
    <d v="2020-10-26T00:00:00"/>
    <n v="3.91"/>
    <n v="3.91"/>
    <s v="FR7630004023210000047150210"/>
    <s v="SMIT RENE"/>
    <s v="UIT"/>
    <s v="DIV"/>
    <s v="div"/>
    <s v="NIEUW"/>
    <m/>
    <m/>
    <m/>
    <m/>
    <m/>
    <m/>
    <m/>
    <m/>
    <m/>
  </r>
  <r>
    <n v="2496"/>
    <x v="3"/>
    <m/>
    <x v="4"/>
    <x v="59"/>
    <d v="2020-11-07T00:00:00"/>
    <d v="2020-11-07T00:00:00"/>
    <n v="-1.99"/>
    <n v="1.99"/>
    <m/>
    <s v="Action 1283 Arnhem"/>
    <s v="UIT"/>
    <s v="DIV"/>
    <s v="div"/>
    <s v="NIEUW"/>
    <m/>
    <m/>
    <m/>
    <m/>
    <m/>
    <m/>
    <m/>
    <m/>
    <m/>
  </r>
  <r>
    <n v="2501"/>
    <x v="3"/>
    <m/>
    <x v="4"/>
    <x v="59"/>
    <d v="2020-11-09T00:00:00"/>
    <d v="2020-11-09T00:00:00"/>
    <n v="-1.37"/>
    <n v="1.37"/>
    <m/>
    <s v="BIGBAZAR-ARNHEM ARNHEM"/>
    <s v="UIT"/>
    <s v="DIV"/>
    <s v="div"/>
    <s v="NIEUW"/>
    <m/>
    <m/>
    <m/>
    <m/>
    <m/>
    <m/>
    <m/>
    <m/>
    <m/>
  </r>
  <r>
    <n v="2512"/>
    <x v="3"/>
    <m/>
    <x v="4"/>
    <x v="59"/>
    <d v="2020-11-15T00:00:00"/>
    <d v="2020-11-15T00:00:00"/>
    <n v="-4.92"/>
    <n v="4.92"/>
    <m/>
    <s v="Action 1283 Arnhem"/>
    <s v="UIT"/>
    <s v="DIV"/>
    <s v="div"/>
    <s v="NIEUW"/>
    <m/>
    <m/>
    <m/>
    <m/>
    <m/>
    <m/>
    <m/>
    <m/>
    <m/>
  </r>
  <r>
    <n v="2525"/>
    <x v="3"/>
    <m/>
    <x v="4"/>
    <x v="59"/>
    <d v="2020-11-20T00:00:00"/>
    <d v="2020-11-20T00:00:00"/>
    <n v="-6.36"/>
    <n v="6.36"/>
    <m/>
    <s v="Action 1283 Arnhem"/>
    <s v="UIT"/>
    <s v="DIV"/>
    <s v="div"/>
    <s v="NIEUW"/>
    <m/>
    <m/>
    <m/>
    <m/>
    <m/>
    <m/>
    <m/>
    <m/>
    <m/>
  </r>
  <r>
    <n v="2526"/>
    <x v="3"/>
    <m/>
    <x v="4"/>
    <x v="59"/>
    <d v="2020-11-21T00:00:00"/>
    <d v="2020-11-21T00:00:00"/>
    <n v="-27.95"/>
    <n v="27.95"/>
    <m/>
    <s v="CCV*BOEKHANDEL HIJMAN ARNHEM"/>
    <s v="UIT"/>
    <s v="DIV"/>
    <s v="boeken"/>
    <s v="NIEUW"/>
    <m/>
    <m/>
    <m/>
    <m/>
    <m/>
    <m/>
    <m/>
    <m/>
    <m/>
  </r>
  <r>
    <n v="2541"/>
    <x v="3"/>
    <m/>
    <x v="4"/>
    <x v="58"/>
    <d v="2020-12-07T00:00:00"/>
    <d v="2020-12-07T00:00:00"/>
    <n v="-0.5"/>
    <n v="0.5"/>
    <m/>
    <s v="Emmen Toilet 1 EMMEN"/>
    <s v="UIT"/>
    <s v="DIV"/>
    <s v="div"/>
    <s v="NIEUW"/>
    <m/>
    <m/>
    <m/>
    <m/>
    <m/>
    <m/>
    <m/>
    <m/>
    <m/>
  </r>
  <r>
    <n v="2547"/>
    <x v="3"/>
    <m/>
    <x v="4"/>
    <x v="58"/>
    <d v="2020-12-09T00:00:00"/>
    <d v="2020-12-09T00:00:00"/>
    <n v="-0.56999999999999995"/>
    <n v="0.56999999999999995"/>
    <m/>
    <s v="Action 1283 Arnhem"/>
    <s v="UIT"/>
    <s v="DIV"/>
    <s v="div"/>
    <s v="NIEUW"/>
    <m/>
    <m/>
    <m/>
    <m/>
    <m/>
    <m/>
    <m/>
    <m/>
    <m/>
  </r>
  <r>
    <n v="2550"/>
    <x v="3"/>
    <m/>
    <x v="4"/>
    <x v="58"/>
    <d v="2020-12-12T00:00:00"/>
    <d v="2020-12-12T00:00:00"/>
    <n v="-1.49"/>
    <n v="1.49"/>
    <m/>
    <s v="Prijsmepper 6265 ARNHEM"/>
    <s v="UIT"/>
    <s v="DIV"/>
    <s v="div"/>
    <s v="NIEUW"/>
    <m/>
    <m/>
    <m/>
    <m/>
    <m/>
    <m/>
    <m/>
    <m/>
    <m/>
  </r>
  <r>
    <n v="2554"/>
    <x v="3"/>
    <m/>
    <x v="4"/>
    <x v="58"/>
    <d v="2020-12-14T00:00:00"/>
    <d v="2020-12-14T00:00:00"/>
    <n v="-12.99"/>
    <n v="12.99"/>
    <m/>
    <s v="Blokker 0586 Arnhem ARNHEM2 TONDUESE"/>
    <s v="UIT"/>
    <s v="DIV"/>
    <s v="joost"/>
    <s v="NIEUW"/>
    <m/>
    <m/>
    <m/>
    <m/>
    <m/>
    <m/>
    <m/>
    <m/>
    <m/>
  </r>
  <r>
    <n v="2555"/>
    <x v="3"/>
    <m/>
    <x v="4"/>
    <x v="58"/>
    <d v="2020-12-14T00:00:00"/>
    <d v="2020-12-14T00:00:00"/>
    <n v="-1"/>
    <n v="1"/>
    <m/>
    <s v="Flying Tiger ARNHEM"/>
    <s v="UIT"/>
    <s v="DIV"/>
    <s v="div"/>
    <s v="NIEUW"/>
    <m/>
    <m/>
    <m/>
    <m/>
    <m/>
    <m/>
    <m/>
    <m/>
    <m/>
  </r>
  <r>
    <n v="2556"/>
    <x v="3"/>
    <m/>
    <x v="4"/>
    <x v="58"/>
    <d v="2020-12-14T00:00:00"/>
    <d v="2020-12-14T00:00:00"/>
    <n v="-3.49"/>
    <n v="3.49"/>
    <m/>
    <s v="CCV*Boekenvoordeel B.V ALMERE"/>
    <s v="UIT"/>
    <s v="DIV"/>
    <s v="joost"/>
    <s v="NIEUW"/>
    <m/>
    <m/>
    <m/>
    <m/>
    <m/>
    <m/>
    <m/>
    <m/>
    <m/>
  </r>
  <r>
    <n v="2563"/>
    <x v="3"/>
    <m/>
    <x v="4"/>
    <x v="58"/>
    <d v="2020-12-16T00:00:00"/>
    <d v="2020-12-16T00:00:00"/>
    <n v="-0.7"/>
    <n v="0.7"/>
    <m/>
    <s v="Arnhem Arnhem"/>
    <s v="UIT"/>
    <s v="DIV"/>
    <s v="div"/>
    <s v="toilet station"/>
    <m/>
    <m/>
    <m/>
    <m/>
    <m/>
    <m/>
    <m/>
    <m/>
    <m/>
  </r>
  <r>
    <n v="2568"/>
    <x v="3"/>
    <m/>
    <x v="4"/>
    <x v="58"/>
    <d v="2020-12-19T00:00:00"/>
    <d v="2020-12-19T00:00:00"/>
    <n v="-40"/>
    <n v="40"/>
    <s v="NL27RABO0343552132"/>
    <s v="RL Smit"/>
    <s v="UIT"/>
    <s v="DIV"/>
    <s v="repre"/>
    <s v="NIEUW"/>
    <m/>
    <m/>
    <m/>
    <m/>
    <m/>
    <m/>
    <m/>
    <m/>
    <m/>
  </r>
  <r>
    <n v="2591"/>
    <x v="0"/>
    <m/>
    <x v="4"/>
    <x v="20"/>
    <d v="2020-01-09T00:00:00"/>
    <d v="2020-01-09T00:00:00"/>
    <n v="-5.49"/>
    <n v="5.49"/>
    <m/>
    <s v="LAZADA  // PROTECTION SCREEN PHONE"/>
    <s v="UIT"/>
    <s v="DIV"/>
    <s v="lazada"/>
    <m/>
    <n v="3631"/>
    <s v="EUR"/>
    <s v="Rabo GoldCard - Mastercard"/>
    <s v="R.C. SMIT"/>
    <m/>
    <d v="2020-01-09T00:00:00"/>
    <d v="2020-01-09T00:00:00"/>
    <s v="-5.49"/>
    <s v="NL22RABO0381604934"/>
  </r>
  <r>
    <n v="2592"/>
    <x v="0"/>
    <m/>
    <x v="4"/>
    <x v="20"/>
    <d v="2020-01-09T00:00:00"/>
    <d v="2020-01-09T00:00:00"/>
    <n v="-4.34"/>
    <n v="4.34"/>
    <m/>
    <s v="LAZADA   // POI BALLEN"/>
    <s v="UIT"/>
    <s v="DIV"/>
    <s v="lazada"/>
    <m/>
    <n v="3631"/>
    <s v="EUR"/>
    <s v="Rabo GoldCard - Mastercard"/>
    <s v="R.C. SMIT"/>
    <m/>
    <d v="2020-01-09T00:00:00"/>
    <d v="2020-01-09T00:00:00"/>
    <s v="-4.34"/>
    <s v="NL22RABO0381604934"/>
  </r>
  <r>
    <n v="2596"/>
    <x v="0"/>
    <m/>
    <x v="4"/>
    <x v="21"/>
    <d v="2020-03-13T00:00:00"/>
    <d v="2020-03-13T00:00:00"/>
    <n v="-8.85"/>
    <n v="8.85"/>
    <m/>
    <s v="PYRAMIDS OF CHI SHOP H   GIANYAR      IDN"/>
    <s v="UIT"/>
    <s v="DIV"/>
    <s v="div"/>
    <m/>
    <n v="3631"/>
    <s v="EUR"/>
    <s v="Rabo GoldCard - Mastercard"/>
    <s v="R.C. SMIT"/>
    <m/>
    <d v="2020-03-13T00:00:00"/>
    <d v="2020-03-13T00:00:00"/>
    <s v="-8.85"/>
    <s v="NL22RABO0381604934"/>
  </r>
  <r>
    <n v="2600"/>
    <x v="0"/>
    <m/>
    <x v="4"/>
    <x v="22"/>
    <d v="2020-04-10T00:00:00"/>
    <d v="2020-04-10T00:00:00"/>
    <n v="-7.74"/>
    <n v="7.74"/>
    <m/>
    <s v="Lazada  // MICROPHONES"/>
    <s v="UIT"/>
    <s v="DIV"/>
    <s v="lazada"/>
    <m/>
    <n v="3631"/>
    <s v="EUR"/>
    <s v="Rabo GoldCard - Mastercard"/>
    <s v="R.C. SMIT"/>
    <m/>
    <d v="2020-04-10T00:00:00"/>
    <d v="2020-04-10T00:00:00"/>
    <s v="-7.74"/>
    <s v="NL22RABO0381604934"/>
  </r>
  <r>
    <n v="2601"/>
    <x v="0"/>
    <m/>
    <x v="4"/>
    <x v="22"/>
    <d v="2020-04-19T00:00:00"/>
    <d v="2020-04-19T00:00:00"/>
    <n v="-10"/>
    <n v="10"/>
    <m/>
    <s v="GFM*GoFndMe* Last hope   Dublin       IRL"/>
    <s v="UIT"/>
    <s v="DIV"/>
    <s v="repre"/>
    <m/>
    <n v="3631"/>
    <s v="EUR"/>
    <s v="Rabo GoldCard - Mastercard"/>
    <s v="R.C. SMIT"/>
    <m/>
    <d v="2020-04-19T00:00:00"/>
    <d v="2020-04-19T00:00:00"/>
    <s v="-10.00"/>
    <s v="NL22RABO0381604934"/>
  </r>
  <r>
    <n v="2605"/>
    <x v="0"/>
    <m/>
    <x v="4"/>
    <x v="23"/>
    <d v="2020-05-25T00:00:00"/>
    <d v="2020-05-25T00:00:00"/>
    <n v="-3.79"/>
    <n v="3.79"/>
    <m/>
    <s v="tarot kaarten / Lazada BANGKOK THA"/>
    <s v="UIT"/>
    <s v="DIV"/>
    <s v="lazada"/>
    <m/>
    <m/>
    <m/>
    <m/>
    <m/>
    <m/>
    <m/>
    <m/>
    <m/>
    <s v="Betaalautomaat 14:00 pasnr. 022"/>
  </r>
  <r>
    <n v="2606"/>
    <x v="0"/>
    <m/>
    <x v="4"/>
    <x v="23"/>
    <d v="2020-05-27T00:00:00"/>
    <d v="2020-05-27T00:00:00"/>
    <n v="-3.89"/>
    <n v="3.89"/>
    <m/>
    <s v="gecanceled onbekend / LAZADA BANGKOK THA"/>
    <s v="UIT"/>
    <s v="DIV"/>
    <s v="lazada"/>
    <m/>
    <m/>
    <m/>
    <m/>
    <m/>
    <m/>
    <m/>
    <m/>
    <m/>
    <s v="Betaalautomaat 21:13 pasnr. 022"/>
  </r>
  <r>
    <n v="2608"/>
    <x v="0"/>
    <m/>
    <x v="4"/>
    <x v="24"/>
    <d v="2020-06-21T00:00:00"/>
    <d v="2020-06-21T00:00:00"/>
    <n v="-2.91"/>
    <n v="2.91"/>
    <m/>
    <s v="usb 2 wifi / LAZADA BANGKOK THA"/>
    <s v="UIT"/>
    <s v="DIV"/>
    <s v="lazada"/>
    <m/>
    <m/>
    <m/>
    <m/>
    <m/>
    <m/>
    <m/>
    <m/>
    <m/>
    <s v=" "/>
  </r>
  <r>
    <n v="2609"/>
    <x v="0"/>
    <m/>
    <x v="4"/>
    <x v="24"/>
    <d v="2020-06-22T00:00:00"/>
    <d v="2020-06-22T00:00:00"/>
    <n v="3.8"/>
    <n v="3.8"/>
    <m/>
    <s v="gecanceled onbekend / Lazada BANGKOK THA"/>
    <s v="UIT"/>
    <s v="DIV"/>
    <s v="lazada"/>
    <m/>
    <m/>
    <m/>
    <m/>
    <m/>
    <m/>
    <m/>
    <m/>
    <m/>
    <s v="Betaalautomaat 17:03 pasnr. 022"/>
  </r>
  <r>
    <n v="2615"/>
    <x v="0"/>
    <m/>
    <x v="4"/>
    <x v="61"/>
    <d v="2020-09-18T00:00:00"/>
    <d v="2020-09-18T00:00:00"/>
    <n v="-1.39"/>
    <n v="1.39"/>
    <m/>
    <s v="PAYPAL *GOOGLE ZORILLA 35314369001 IRL"/>
    <s v="UIT"/>
    <s v="DIV"/>
    <s v="playstore"/>
    <m/>
    <m/>
    <m/>
    <m/>
    <m/>
    <m/>
    <m/>
    <m/>
    <m/>
    <m/>
  </r>
  <r>
    <n v="2619"/>
    <x v="0"/>
    <m/>
    <x v="4"/>
    <x v="57"/>
    <d v="2020-10-08T00:00:00"/>
    <d v="2020-10-08T00:00:00"/>
    <n v="-13.6"/>
    <n v="13.6"/>
    <m/>
    <s v="PAYPAL *FBA BRICKLINK.   35314369001  NLD"/>
    <s v="UIT"/>
    <s v="DIV"/>
    <s v="lego"/>
    <s v="NIEUW"/>
    <m/>
    <m/>
    <m/>
    <m/>
    <m/>
    <m/>
    <m/>
    <m/>
    <m/>
  </r>
  <r>
    <n v="2620"/>
    <x v="0"/>
    <m/>
    <x v="4"/>
    <x v="57"/>
    <d v="2020-10-12T00:00:00"/>
    <d v="2020-10-12T00:00:00"/>
    <n v="-0.89"/>
    <n v="0.89"/>
    <m/>
    <s v="PAYPAL *SOCIETY6         4029357733   USACA"/>
    <s v="UIT"/>
    <s v="DIV"/>
    <s v="div"/>
    <s v="NIEUW"/>
    <m/>
    <m/>
    <m/>
    <m/>
    <m/>
    <m/>
    <m/>
    <m/>
    <m/>
  </r>
  <r>
    <n v="2634"/>
    <x v="0"/>
    <m/>
    <x v="4"/>
    <x v="58"/>
    <d v="2020-12-21T00:00:00"/>
    <d v="2020-12-21T00:00:00"/>
    <n v="-7.5"/>
    <n v="7.5"/>
    <m/>
    <s v="Transferwise             London       GBR"/>
    <s v="UIT"/>
    <s v="DIV"/>
    <s v="repre"/>
    <s v="NIEUW"/>
    <m/>
    <m/>
    <m/>
    <m/>
    <m/>
    <m/>
    <m/>
    <m/>
    <m/>
  </r>
  <r>
    <n v="2640"/>
    <x v="5"/>
    <m/>
    <x v="5"/>
    <x v="63"/>
    <d v="2021-03-18T00:00:00"/>
    <d v="2021-03-18T00:00:00"/>
    <n v="13"/>
    <n v="13"/>
    <m/>
    <s v="Kruidvat 6224 MUSSELKANAAL"/>
    <s v="UIT"/>
    <s v="DIV"/>
    <s v="div"/>
    <s v="vergrootbril"/>
    <m/>
    <m/>
    <m/>
    <m/>
    <m/>
    <m/>
    <m/>
    <m/>
    <m/>
  </r>
  <r>
    <n v="2645"/>
    <x v="2"/>
    <m/>
    <x v="5"/>
    <x v="69"/>
    <d v="2021-07-02T00:00:00"/>
    <d v="2021-07-02T00:00:00"/>
    <n v="4.5"/>
    <n v="4.5"/>
    <m/>
    <s v="Camping Bertrix Bertrix BEL"/>
    <s v="UIT"/>
    <s v="DIV"/>
    <s v="div"/>
    <m/>
    <s v="bc"/>
    <m/>
    <m/>
    <m/>
    <m/>
    <m/>
    <m/>
    <m/>
    <m/>
  </r>
  <r>
    <n v="2646"/>
    <x v="2"/>
    <m/>
    <x v="5"/>
    <x v="64"/>
    <d v="2021-09-18T00:00:00"/>
    <d v="2021-09-18T00:00:00"/>
    <n v="-15"/>
    <n v="15"/>
    <m/>
    <s v="boodsch naar joost"/>
    <s v="UIT"/>
    <s v="DIV"/>
    <s v="joost"/>
    <m/>
    <m/>
    <m/>
    <m/>
    <m/>
    <m/>
    <m/>
    <m/>
    <m/>
    <m/>
  </r>
  <r>
    <n v="2648"/>
    <x v="2"/>
    <m/>
    <x v="5"/>
    <x v="64"/>
    <d v="2021-09-18T00:00:00"/>
    <d v="2021-09-18T00:00:00"/>
    <n v="-10"/>
    <n v="10"/>
    <m/>
    <s v="horeca naar Joost"/>
    <s v="UIT"/>
    <s v="DIV"/>
    <s v="joost"/>
    <m/>
    <m/>
    <m/>
    <m/>
    <m/>
    <m/>
    <m/>
    <m/>
    <m/>
    <m/>
  </r>
  <r>
    <n v="2652"/>
    <x v="2"/>
    <m/>
    <x v="5"/>
    <x v="25"/>
    <d v="2021-10-24T00:00:00"/>
    <m/>
    <n v="-11.8"/>
    <n v="11.8"/>
    <m/>
    <s v="pakje shag"/>
    <s v="UIT"/>
    <s v="DIV"/>
    <s v="joost lening"/>
    <m/>
    <m/>
    <m/>
    <m/>
    <m/>
    <m/>
    <m/>
    <m/>
    <m/>
    <m/>
  </r>
  <r>
    <n v="2653"/>
    <x v="2"/>
    <m/>
    <x v="5"/>
    <x v="25"/>
    <d v="2021-10-24T00:00:00"/>
    <m/>
    <n v="11.8"/>
    <n v="11.8"/>
    <m/>
    <s v="pakje shag"/>
    <s v="UIT"/>
    <s v="DIV"/>
    <s v="joost lening"/>
    <m/>
    <m/>
    <m/>
    <m/>
    <m/>
    <m/>
    <m/>
    <m/>
    <m/>
    <m/>
  </r>
  <r>
    <n v="2654"/>
    <x v="2"/>
    <m/>
    <x v="5"/>
    <x v="25"/>
    <d v="2021-10-24T00:00:00"/>
    <m/>
    <n v="-10.38"/>
    <n v="10.38"/>
    <m/>
    <s v="uitgaan joost"/>
    <s v="UIT"/>
    <s v="DIV"/>
    <s v="joost gift"/>
    <m/>
    <m/>
    <m/>
    <m/>
    <m/>
    <m/>
    <m/>
    <m/>
    <m/>
    <m/>
  </r>
  <r>
    <n v="2656"/>
    <x v="2"/>
    <m/>
    <x v="5"/>
    <x v="25"/>
    <d v="2021-10-25T00:00:00"/>
    <m/>
    <n v="-26.85"/>
    <n v="26.85"/>
    <m/>
    <s v="boodsch joost"/>
    <s v="UIT"/>
    <s v="DIV"/>
    <s v="joost gift"/>
    <m/>
    <m/>
    <m/>
    <m/>
    <m/>
    <m/>
    <m/>
    <m/>
    <m/>
    <m/>
  </r>
  <r>
    <n v="2706"/>
    <x v="3"/>
    <m/>
    <x v="5"/>
    <x v="62"/>
    <d v="2021-02-27T00:00:00"/>
    <d v="2021-02-27T00:00:00"/>
    <n v="-4.49"/>
    <n v="4.49"/>
    <m/>
    <s v="113  DIO-Readshop MUSSELKANAAL"/>
    <s v="UIT"/>
    <s v="DIV"/>
    <s v="boeken"/>
    <m/>
    <s v="bc"/>
    <m/>
    <m/>
    <m/>
    <m/>
    <m/>
    <s v="Betaalautomaat 16:24 pasnr. 022"/>
    <s v=" "/>
    <m/>
  </r>
  <r>
    <n v="2717"/>
    <x v="3"/>
    <m/>
    <x v="5"/>
    <x v="63"/>
    <d v="2021-03-18T00:00:00"/>
    <d v="2021-03-18T00:00:00"/>
    <n v="-16.18"/>
    <n v="16.18"/>
    <m/>
    <s v="Kruidvat 6224 MUSSELKANAAL"/>
    <s v="UIT"/>
    <s v="DIV"/>
    <s v="div"/>
    <s v="vergrootbril"/>
    <s v="bc"/>
    <m/>
    <m/>
    <m/>
    <m/>
    <m/>
    <s v="Betaalautomaat 16:37 pasnr. 022"/>
    <s v=" "/>
    <m/>
  </r>
  <r>
    <n v="2720"/>
    <x v="3"/>
    <m/>
    <x v="5"/>
    <x v="63"/>
    <d v="2021-03-20T00:00:00"/>
    <d v="2021-03-20T00:00:00"/>
    <n v="-0.14000000000000001"/>
    <n v="0.14000000000000001"/>
    <m/>
    <s v="113  DIO-Readshop MUSSELKANAAL"/>
    <s v="UIT"/>
    <s v="DIV"/>
    <s v="boeken"/>
    <m/>
    <s v="bc"/>
    <m/>
    <m/>
    <m/>
    <m/>
    <m/>
    <s v="Betaalautomaat 17:39 pasnr. 022"/>
    <s v=" "/>
    <m/>
  </r>
  <r>
    <n v="2739"/>
    <x v="3"/>
    <m/>
    <x v="5"/>
    <x v="66"/>
    <d v="2021-04-09T00:00:00"/>
    <d v="2021-04-09T00:00:00"/>
    <n v="-10.199999999999999"/>
    <n v="10.199999999999999"/>
    <m/>
    <s v="Action 1325 Panningen"/>
    <s v="UIT"/>
    <s v="DIV"/>
    <s v="div"/>
    <m/>
    <m/>
    <m/>
    <m/>
    <m/>
    <m/>
    <m/>
    <m/>
    <m/>
    <m/>
  </r>
  <r>
    <n v="2740"/>
    <x v="3"/>
    <m/>
    <x v="5"/>
    <x v="66"/>
    <d v="2021-04-14T00:00:00"/>
    <d v="2021-04-14T00:00:00"/>
    <n v="-20.94"/>
    <n v="20.94"/>
    <m/>
    <s v="Action 1325 Panningen"/>
    <s v="UIT"/>
    <s v="DIV"/>
    <s v="div"/>
    <m/>
    <m/>
    <m/>
    <m/>
    <m/>
    <m/>
    <m/>
    <m/>
    <m/>
    <m/>
  </r>
  <r>
    <n v="2754"/>
    <x v="3"/>
    <m/>
    <x v="5"/>
    <x v="66"/>
    <d v="2021-04-24T00:00:00"/>
    <d v="2021-04-24T00:00:00"/>
    <n v="2.29"/>
    <n v="2.29"/>
    <s v="NL13ABNA0506417344"/>
    <s v="AAB RETAIL INZ TIKKIE"/>
    <s v="UIT"/>
    <s v="DIV"/>
    <s v="div"/>
    <m/>
    <m/>
    <m/>
    <m/>
    <m/>
    <m/>
    <m/>
    <m/>
    <m/>
    <m/>
  </r>
  <r>
    <n v="2761"/>
    <x v="3"/>
    <m/>
    <x v="5"/>
    <x v="66"/>
    <d v="2021-04-28T00:00:00"/>
    <d v="2021-04-28T00:00:00"/>
    <n v="-3.77"/>
    <n v="3.77"/>
    <m/>
    <s v="Action 1325 Panningen"/>
    <s v="UIT"/>
    <s v="DIV"/>
    <s v="div"/>
    <m/>
    <m/>
    <m/>
    <m/>
    <m/>
    <m/>
    <m/>
    <m/>
    <m/>
    <m/>
  </r>
  <r>
    <n v="2786"/>
    <x v="3"/>
    <m/>
    <x v="5"/>
    <x v="67"/>
    <d v="2021-05-18T00:00:00"/>
    <d v="2021-05-18T00:00:00"/>
    <n v="-14"/>
    <n v="14"/>
    <m/>
    <s v="Action 1152 Sevenum"/>
    <s v="UIT"/>
    <s v="DIV"/>
    <s v="div"/>
    <m/>
    <s v="bc"/>
    <m/>
    <m/>
    <m/>
    <m/>
    <m/>
    <m/>
    <m/>
    <m/>
  </r>
  <r>
    <n v="2794"/>
    <x v="3"/>
    <m/>
    <x v="5"/>
    <x v="67"/>
    <d v="2021-05-20T00:00:00"/>
    <d v="2021-05-20T00:00:00"/>
    <n v="-14.06"/>
    <n v="14.06"/>
    <m/>
    <s v="Action 1325 Panningen"/>
    <s v="UIT"/>
    <s v="DIV"/>
    <s v="div"/>
    <m/>
    <s v="bc"/>
    <m/>
    <m/>
    <m/>
    <m/>
    <m/>
    <m/>
    <m/>
    <m/>
  </r>
  <r>
    <n v="2807"/>
    <x v="3"/>
    <m/>
    <x v="5"/>
    <x v="67"/>
    <d v="2021-05-30T00:00:00"/>
    <d v="2021-05-30T00:00:00"/>
    <n v="-1.59"/>
    <n v="1.59"/>
    <m/>
    <s v="Action 1283 Arnhem"/>
    <s v="UIT"/>
    <s v="DIV"/>
    <s v="div"/>
    <m/>
    <s v="bc"/>
    <m/>
    <m/>
    <m/>
    <m/>
    <m/>
    <m/>
    <m/>
    <m/>
  </r>
  <r>
    <n v="2808"/>
    <x v="3"/>
    <m/>
    <x v="5"/>
    <x v="67"/>
    <d v="2021-05-31T00:00:00"/>
    <d v="2021-05-31T00:00:00"/>
    <n v="-6.46"/>
    <n v="6.46"/>
    <m/>
    <s v="Action 1283 Arnhem"/>
    <s v="UIT"/>
    <s v="DIV"/>
    <s v="div"/>
    <m/>
    <s v="bc"/>
    <m/>
    <m/>
    <m/>
    <m/>
    <m/>
    <m/>
    <m/>
    <m/>
  </r>
  <r>
    <n v="2824"/>
    <x v="3"/>
    <m/>
    <x v="5"/>
    <x v="68"/>
    <d v="2021-06-06T00:00:00"/>
    <d v="2021-06-06T00:00:00"/>
    <n v="-0.96"/>
    <n v="0.96"/>
    <s v="NL39RABO0301242844"/>
    <s v="Koninklijke PostNL via Ingenico"/>
    <s v="UIT"/>
    <s v="DIV"/>
    <s v="div"/>
    <s v="RABONL2U"/>
    <s v="id"/>
    <m/>
    <s v="06-06-2021 15:24 0020005214502634"/>
    <m/>
    <m/>
    <m/>
    <m/>
    <m/>
    <m/>
  </r>
  <r>
    <n v="2825"/>
    <x v="3"/>
    <m/>
    <x v="5"/>
    <x v="68"/>
    <d v="2021-06-06T00:00:00"/>
    <d v="2021-06-06T00:00:00"/>
    <n v="-7.6"/>
    <n v="7.6"/>
    <m/>
    <s v="Action 1325 Panningen"/>
    <s v="UIT"/>
    <s v="DIV"/>
    <s v="div"/>
    <m/>
    <s v="bc"/>
    <m/>
    <m/>
    <m/>
    <m/>
    <m/>
    <m/>
    <m/>
    <m/>
  </r>
  <r>
    <n v="2829"/>
    <x v="3"/>
    <m/>
    <x v="5"/>
    <x v="68"/>
    <d v="2021-06-07T00:00:00"/>
    <d v="2021-06-07T00:00:00"/>
    <n v="-19.920000000000002"/>
    <n v="19.920000000000002"/>
    <m/>
    <s v="Action 1325 Panningen"/>
    <s v="UIT"/>
    <s v="DIV"/>
    <s v="div"/>
    <m/>
    <s v="bc"/>
    <m/>
    <m/>
    <m/>
    <m/>
    <m/>
    <m/>
    <m/>
    <m/>
  </r>
  <r>
    <n v="2833"/>
    <x v="3"/>
    <m/>
    <x v="5"/>
    <x v="68"/>
    <d v="2021-06-09T00:00:00"/>
    <d v="2021-06-09T00:00:00"/>
    <n v="-1.49"/>
    <n v="1.49"/>
    <m/>
    <s v="So-Low Arnhem ARNHEM"/>
    <s v="UIT"/>
    <s v="DIV"/>
    <s v="div"/>
    <m/>
    <s v="bc"/>
    <m/>
    <m/>
    <m/>
    <m/>
    <m/>
    <s v="Betaalautomaat 17:27 pasnr. 022"/>
    <s v=" "/>
    <m/>
  </r>
  <r>
    <n v="2838"/>
    <x v="3"/>
    <m/>
    <x v="5"/>
    <x v="68"/>
    <d v="2021-06-10T00:00:00"/>
    <d v="2021-06-10T00:00:00"/>
    <n v="-3.69"/>
    <n v="3.69"/>
    <m/>
    <s v="Xenos Venlo 0029 VENLO"/>
    <s v="UIT"/>
    <s v="DIV"/>
    <s v="div"/>
    <m/>
    <s v="bc"/>
    <m/>
    <m/>
    <m/>
    <m/>
    <m/>
    <s v="Betaalautomaat 16:24 pasnr. 022"/>
    <s v=" "/>
    <m/>
  </r>
  <r>
    <n v="2861"/>
    <x v="3"/>
    <m/>
    <x v="5"/>
    <x v="68"/>
    <d v="2021-06-24T00:00:00"/>
    <d v="2021-06-24T00:00:00"/>
    <n v="-5.85"/>
    <n v="5.85"/>
    <m/>
    <s v="Action 1325 Panningen"/>
    <s v="UIT"/>
    <s v="DIV"/>
    <s v="div"/>
    <m/>
    <s v="bc"/>
    <m/>
    <m/>
    <m/>
    <m/>
    <m/>
    <s v="Betaalautomaat 17:36 pasnr. 022"/>
    <s v=" "/>
    <m/>
  </r>
  <r>
    <n v="2862"/>
    <x v="3"/>
    <m/>
    <x v="5"/>
    <x v="68"/>
    <d v="2021-06-24T00:00:00"/>
    <d v="2021-06-24T00:00:00"/>
    <n v="-2.99"/>
    <n v="2.99"/>
    <m/>
    <s v="Action 1325 Panningen"/>
    <s v="UIT"/>
    <s v="DIV"/>
    <s v="div"/>
    <m/>
    <s v="bc"/>
    <m/>
    <m/>
    <m/>
    <m/>
    <m/>
    <s v="Betaalautomaat 17:36 pasnr. 022"/>
    <s v=" "/>
    <m/>
  </r>
  <r>
    <n v="2869"/>
    <x v="3"/>
    <m/>
    <x v="5"/>
    <x v="68"/>
    <d v="2021-06-28T00:00:00"/>
    <d v="2021-06-28T00:00:00"/>
    <n v="-0.92"/>
    <n v="0.92"/>
    <m/>
    <s v="Action 1325 Panningen"/>
    <s v="UIT"/>
    <s v="DIV"/>
    <s v="div"/>
    <m/>
    <s v="bc"/>
    <m/>
    <m/>
    <m/>
    <m/>
    <m/>
    <s v="Betaalautomaat 12:53 pasnr. 022"/>
    <s v=" "/>
    <m/>
  </r>
  <r>
    <n v="2871"/>
    <x v="3"/>
    <m/>
    <x v="5"/>
    <x v="68"/>
    <d v="2021-06-30T00:00:00"/>
    <d v="2021-06-30T00:00:00"/>
    <n v="-20"/>
    <n v="20"/>
    <s v="NL35RABO0117713678"/>
    <s v="Bitmymoney BV via PAY.nl"/>
    <s v="UIT"/>
    <s v="DIV"/>
    <s v="repre"/>
    <s v="bitcoins Reva Siecker"/>
    <s v="id"/>
    <m/>
    <s v="30-06-2021 12:18 0370048190400849"/>
    <m/>
    <m/>
    <m/>
    <s v="1518453417X498f4 0370048190400849 BTC 0,000662 x4934 pasnr.011"/>
    <s v=" "/>
    <m/>
  </r>
  <r>
    <n v="2873"/>
    <x v="3"/>
    <m/>
    <x v="5"/>
    <x v="69"/>
    <d v="2021-07-01T00:00:00"/>
    <d v="2021-07-01T00:00:00"/>
    <n v="-0.7"/>
    <n v="0.7"/>
    <m/>
    <s v="Esso Het Anker TOI Roosteren"/>
    <s v="UIT"/>
    <s v="DIV"/>
    <s v="div"/>
    <m/>
    <s v="bc"/>
    <m/>
    <m/>
    <m/>
    <m/>
    <m/>
    <s v="Betaalautomaat 09:24 pasnr. 022"/>
    <s v=" "/>
    <m/>
  </r>
  <r>
    <n v="2878"/>
    <x v="3"/>
    <m/>
    <x v="5"/>
    <x v="69"/>
    <d v="2021-07-02T00:00:00"/>
    <d v="2021-07-02T00:00:00"/>
    <n v="-4.5"/>
    <n v="4.5"/>
    <m/>
    <s v="Camping Bertrix Bertrix BEL"/>
    <s v="UIT"/>
    <s v="DIV"/>
    <s v="div"/>
    <m/>
    <s v="bc"/>
    <m/>
    <m/>
    <m/>
    <m/>
    <m/>
    <s v="Betaalautomaat 12:21 pasnr. 022"/>
    <s v=" "/>
    <m/>
  </r>
  <r>
    <n v="2883"/>
    <x v="3"/>
    <m/>
    <x v="5"/>
    <x v="69"/>
    <d v="2021-07-06T00:00:00"/>
    <d v="2021-07-06T00:00:00"/>
    <n v="-5"/>
    <n v="5"/>
    <m/>
    <s v="Fietswereld Tandem PANNINGEN"/>
    <s v="UIT"/>
    <s v="DIV"/>
    <s v="div"/>
    <m/>
    <s v="bc"/>
    <m/>
    <m/>
    <m/>
    <m/>
    <m/>
    <s v="Betaalautomaat 16:37 pasnr. 022"/>
    <s v=" "/>
    <m/>
  </r>
  <r>
    <n v="2885"/>
    <x v="3"/>
    <m/>
    <x v="5"/>
    <x v="69"/>
    <d v="2021-07-06T00:00:00"/>
    <d v="2021-07-06T00:00:00"/>
    <n v="-18.12"/>
    <n v="18.12"/>
    <m/>
    <s v="Action 1325 Panningen"/>
    <s v="UIT"/>
    <s v="DIV"/>
    <s v="div"/>
    <m/>
    <s v="bc"/>
    <m/>
    <m/>
    <m/>
    <m/>
    <m/>
    <s v="Betaalautomaat 16:40 pasnr. 022"/>
    <s v=" "/>
    <m/>
  </r>
  <r>
    <n v="2894"/>
    <x v="3"/>
    <m/>
    <x v="5"/>
    <x v="69"/>
    <d v="2021-07-15T00:00:00"/>
    <d v="2021-07-15T00:00:00"/>
    <n v="-6.98"/>
    <n v="6.98"/>
    <m/>
    <s v="Action 1102 Venlo"/>
    <s v="UIT"/>
    <s v="DIV"/>
    <s v="div"/>
    <m/>
    <s v="bc"/>
    <m/>
    <m/>
    <m/>
    <m/>
    <m/>
    <s v="Betaalautomaat 16:38 pasnr. 022"/>
    <s v=" "/>
    <m/>
  </r>
  <r>
    <n v="2897"/>
    <x v="3"/>
    <m/>
    <x v="5"/>
    <x v="69"/>
    <d v="2021-07-18T00:00:00"/>
    <d v="2021-07-18T00:00:00"/>
    <n v="-1"/>
    <n v="1"/>
    <m/>
    <s v="CCV*SEVEN TWENTY CABLE SEVENUM"/>
    <s v="UIT"/>
    <s v="DIV"/>
    <s v="div"/>
    <m/>
    <s v="bc"/>
    <m/>
    <m/>
    <m/>
    <m/>
    <m/>
    <s v="Betaalautomaat 17:30 pasnr. 022"/>
    <s v=" "/>
    <m/>
  </r>
  <r>
    <n v="2902"/>
    <x v="3"/>
    <m/>
    <x v="5"/>
    <x v="69"/>
    <d v="2021-07-20T00:00:00"/>
    <d v="2021-07-20T00:00:00"/>
    <n v="-3.43"/>
    <n v="3.43"/>
    <m/>
    <s v="Action 1152 Sevenum"/>
    <s v="UIT"/>
    <s v="DIV"/>
    <s v="div"/>
    <m/>
    <s v="bc"/>
    <m/>
    <m/>
    <m/>
    <m/>
    <m/>
    <s v="Betaalautomaat 16:17 pasnr. 022"/>
    <s v=" "/>
    <m/>
  </r>
  <r>
    <n v="2914"/>
    <x v="3"/>
    <m/>
    <x v="5"/>
    <x v="69"/>
    <d v="2021-07-28T00:00:00"/>
    <d v="2021-07-28T00:00:00"/>
    <n v="-8.91"/>
    <n v="8.91"/>
    <m/>
    <s v="Action 1325 Panningen"/>
    <s v="UIT"/>
    <s v="DIV"/>
    <s v="div"/>
    <m/>
    <s v="bc"/>
    <m/>
    <m/>
    <m/>
    <m/>
    <m/>
    <s v="Betaalautomaat 17:25 pasnr. 022"/>
    <s v=" "/>
    <m/>
  </r>
  <r>
    <n v="2916"/>
    <x v="3"/>
    <m/>
    <x v="5"/>
    <x v="69"/>
    <d v="2021-07-28T00:00:00"/>
    <d v="2021-07-28T00:00:00"/>
    <n v="-0.59"/>
    <n v="0.59"/>
    <m/>
    <s v="vof De Gruntehoof PANNINGEN"/>
    <s v="UIT"/>
    <s v="DIV"/>
    <s v="div"/>
    <s v="appel"/>
    <s v="bc"/>
    <m/>
    <m/>
    <m/>
    <m/>
    <m/>
    <s v="Betaalautomaat 17:49 pasnr. 022"/>
    <s v=" "/>
    <m/>
  </r>
  <r>
    <n v="2930"/>
    <x v="3"/>
    <m/>
    <x v="5"/>
    <x v="70"/>
    <d v="2021-08-12T00:00:00"/>
    <d v="2021-08-12T00:00:00"/>
    <n v="-4.04"/>
    <n v="4.04"/>
    <m/>
    <s v="Action 1102 Venlo"/>
    <s v="UIT"/>
    <s v="DIV"/>
    <s v="div"/>
    <m/>
    <s v="bc"/>
    <m/>
    <m/>
    <m/>
    <m/>
    <m/>
    <s v="Betaalautomaat 17:40 pasnr. 022"/>
    <s v=" "/>
    <m/>
  </r>
  <r>
    <n v="2933"/>
    <x v="3"/>
    <m/>
    <x v="5"/>
    <x v="70"/>
    <d v="2021-08-15T00:00:00"/>
    <d v="2021-08-15T00:00:00"/>
    <n v="-5.03"/>
    <n v="5.03"/>
    <m/>
    <s v="Action 1325 Panningen"/>
    <s v="UIT"/>
    <s v="DIV"/>
    <s v="div"/>
    <m/>
    <s v="bc"/>
    <m/>
    <m/>
    <m/>
    <m/>
    <m/>
    <s v="Betaalautomaat 16:01 pasnr. 022"/>
    <s v=" "/>
    <m/>
  </r>
  <r>
    <n v="2949"/>
    <x v="3"/>
    <m/>
    <x v="5"/>
    <x v="70"/>
    <d v="2021-08-31T00:00:00"/>
    <d v="2021-08-31T00:00:00"/>
    <n v="-1.75"/>
    <n v="1.75"/>
    <m/>
    <s v="Snuffelshop Gediam PANNINGEN"/>
    <s v="UIT"/>
    <s v="DIV"/>
    <s v="div"/>
    <s v="prikkers voor bbq"/>
    <s v="bc"/>
    <m/>
    <m/>
    <m/>
    <m/>
    <m/>
    <s v="Betaalautomaat 17:25 pasnr. 022"/>
    <s v=" "/>
    <m/>
  </r>
  <r>
    <n v="2963"/>
    <x v="3"/>
    <m/>
    <x v="5"/>
    <x v="64"/>
    <d v="2021-09-15T00:00:00"/>
    <d v="2021-09-15T00:00:00"/>
    <n v="-12"/>
    <n v="12"/>
    <s v="NL07DEUT7026271408"/>
    <s v="petje.af/kukuru via Mollie"/>
    <s v="UIT"/>
    <s v="DIV"/>
    <s v="debiteuren"/>
    <s v="DEUTNL2A"/>
    <s v="ei"/>
    <m/>
    <s v="SD51-5011-9268-2363"/>
    <s v="MD03-0000-5894-7351"/>
    <s v="NL08ZZZ502057730000"/>
    <m/>
    <s v="Petje.af/kukuru - 2021 - jT37fdmQfRN3LhqVlJYl"/>
    <s v=" "/>
    <m/>
  </r>
  <r>
    <n v="2973"/>
    <x v="3"/>
    <m/>
    <x v="5"/>
    <x v="64"/>
    <d v="2021-09-16T00:00:00"/>
    <d v="2021-09-16T00:00:00"/>
    <n v="-0.7"/>
    <n v="0.7"/>
    <m/>
    <s v="Arnhem Arnhem"/>
    <s v="UIT"/>
    <s v="DIV"/>
    <s v="div"/>
    <s v="toilet station"/>
    <s v="bc"/>
    <m/>
    <m/>
    <m/>
    <m/>
    <m/>
    <s v="Betaalautomaat 19:44 pasnr. 022"/>
    <s v=" "/>
    <m/>
  </r>
  <r>
    <n v="2982"/>
    <x v="3"/>
    <m/>
    <x v="5"/>
    <x v="64"/>
    <d v="2021-09-21T00:00:00"/>
    <d v="2021-09-21T00:00:00"/>
    <n v="-2.5"/>
    <n v="2.5"/>
    <s v="NL13ABNA0506417344"/>
    <s v="ABN AMRO Bank NV"/>
    <s v="UIT"/>
    <s v="DIV"/>
    <s v="repre"/>
    <s v="shoane "/>
    <s v="id"/>
    <m/>
    <s v="21-09-2021 12:10 0030008108083158"/>
    <m/>
    <m/>
    <m/>
    <s v="000369895815 0030008108083158 Saonah NL65BUNQ2042818410 x4934 pasnr.011"/>
    <s v=" "/>
    <m/>
  </r>
  <r>
    <n v="2983"/>
    <x v="3"/>
    <m/>
    <x v="5"/>
    <x v="64"/>
    <d v="2021-09-21T00:00:00"/>
    <d v="2021-09-21T00:00:00"/>
    <n v="12"/>
    <n v="12"/>
    <s v="NL80ABNA0627562930"/>
    <s v="STG MOLLIE PAYMENTS"/>
    <s v="UIT"/>
    <s v="DIV"/>
    <s v="debiteuren"/>
    <s v="ABNANL2A"/>
    <s v="cb"/>
    <m/>
    <s v="refund-6813041068"/>
    <m/>
    <m/>
    <m/>
    <s v="6813041068 Refund Petje.af/kukuru - 2021 - jT37fdmQfRN3LhqVlJYl"/>
    <s v=" "/>
    <m/>
  </r>
  <r>
    <n v="2999"/>
    <x v="3"/>
    <m/>
    <x v="5"/>
    <x v="25"/>
    <d v="2021-10-05T00:00:00"/>
    <d v="2021-10-05T00:00:00"/>
    <n v="-1.49"/>
    <n v="1.49"/>
    <m/>
    <s v="Action 1072 Stadskanaal"/>
    <s v="UIT"/>
    <s v="DIV"/>
    <s v="div"/>
    <m/>
    <m/>
    <m/>
    <m/>
    <m/>
    <m/>
    <s v="Betaalautomaat 14:38 pasnr. 022"/>
    <s v=" "/>
    <m/>
    <m/>
  </r>
  <r>
    <n v="3005"/>
    <x v="3"/>
    <m/>
    <x v="5"/>
    <x v="25"/>
    <d v="2021-10-08T00:00:00"/>
    <d v="2021-10-08T00:00:00"/>
    <n v="-0.5"/>
    <n v="0.5"/>
    <m/>
    <s v="Emmen Toilet 1 EMMEN"/>
    <s v="UIT"/>
    <s v="DIV"/>
    <s v="div"/>
    <m/>
    <m/>
    <m/>
    <m/>
    <m/>
    <m/>
    <s v="Betaalautomaat 14:04 pasnr. 022"/>
    <s v=" "/>
    <m/>
    <m/>
  </r>
  <r>
    <n v="3008"/>
    <x v="3"/>
    <m/>
    <x v="5"/>
    <x v="25"/>
    <d v="2021-10-09T00:00:00"/>
    <d v="2021-10-09T00:00:00"/>
    <n v="-4.99"/>
    <n v="4.99"/>
    <m/>
    <s v="CCV*Boekenvoordeel B.V ALMERE"/>
    <s v="UIT"/>
    <s v="DIV"/>
    <s v="repre"/>
    <s v="kalender voor Jeroen Sicker"/>
    <m/>
    <m/>
    <m/>
    <m/>
    <m/>
    <s v="Betaalautomaat 13:59 pasnr. 022"/>
    <s v=" "/>
    <m/>
    <m/>
  </r>
  <r>
    <n v="3011"/>
    <x v="3"/>
    <m/>
    <x v="5"/>
    <x v="25"/>
    <d v="2021-10-10T00:00:00"/>
    <d v="2021-10-10T00:00:00"/>
    <n v="-3.48"/>
    <n v="3.48"/>
    <m/>
    <s v="Action 1283 Arnhem"/>
    <s v="UIT"/>
    <s v="DIV"/>
    <s v="div"/>
    <m/>
    <m/>
    <m/>
    <m/>
    <m/>
    <m/>
    <s v="Betaalautomaat 16:34 pasnr. 022"/>
    <s v=" "/>
    <m/>
    <m/>
  </r>
  <r>
    <n v="3020"/>
    <x v="3"/>
    <m/>
    <x v="5"/>
    <x v="25"/>
    <d v="2021-10-14T00:00:00"/>
    <d v="2021-10-14T00:00:00"/>
    <n v="-0.96"/>
    <n v="0.96"/>
    <m/>
    <s v="PRIJSMEPPER 6293 ARNHEM"/>
    <s v="UIT"/>
    <s v="DIV"/>
    <s v="Joost"/>
    <m/>
    <m/>
    <m/>
    <m/>
    <m/>
    <m/>
    <s v="Betaalautomaat 17:40 pasnr. 022"/>
    <s v=" "/>
    <m/>
    <m/>
  </r>
  <r>
    <n v="3021"/>
    <x v="3"/>
    <m/>
    <x v="5"/>
    <x v="25"/>
    <d v="2021-10-14T00:00:00"/>
    <d v="2021-10-14T00:00:00"/>
    <n v="-1.49"/>
    <n v="1.49"/>
    <m/>
    <s v="Action Nederland B.V. Arnhem"/>
    <s v="UIT"/>
    <s v="DIV"/>
    <s v="div"/>
    <m/>
    <m/>
    <m/>
    <m/>
    <m/>
    <m/>
    <s v="Betaalautomaat 16:45 pasnr. 022"/>
    <s v=" "/>
    <m/>
    <m/>
  </r>
  <r>
    <n v="3024"/>
    <x v="3"/>
    <m/>
    <x v="5"/>
    <x v="25"/>
    <d v="2021-10-14T00:00:00"/>
    <d v="2021-10-14T00:00:00"/>
    <n v="-0.96"/>
    <n v="0.96"/>
    <m/>
    <s v="PRIJSMEPPER 6293 ARNHEM"/>
    <s v="UIT"/>
    <s v="DIV"/>
    <s v="div"/>
    <s v="bc"/>
    <m/>
    <m/>
    <m/>
    <m/>
    <m/>
    <s v="Betaalautomaat 17:40 pasnr. 022"/>
    <s v=" "/>
    <m/>
    <m/>
  </r>
  <r>
    <n v="3025"/>
    <x v="3"/>
    <m/>
    <x v="5"/>
    <x v="25"/>
    <d v="2021-10-14T00:00:00"/>
    <d v="2021-10-14T00:00:00"/>
    <n v="-1.49"/>
    <n v="1.49"/>
    <m/>
    <s v="Action Nederland B.V. Arnhem"/>
    <s v="UIT"/>
    <s v="DIV"/>
    <s v="div"/>
    <s v="bc"/>
    <m/>
    <m/>
    <m/>
    <m/>
    <m/>
    <s v="Betaalautomaat 16:45 pasnr. 022"/>
    <s v=" "/>
    <m/>
    <m/>
  </r>
  <r>
    <n v="3031"/>
    <x v="3"/>
    <m/>
    <x v="5"/>
    <x v="25"/>
    <d v="2021-10-15T00:00:00"/>
    <d v="2021-10-15T00:00:00"/>
    <n v="-13.99"/>
    <n v="13.99"/>
    <m/>
    <s v="Decathlon Den Haag 'S-GRAVENHAGE"/>
    <s v="UIT"/>
    <s v="DIV"/>
    <s v="repre"/>
    <s v="badmintonset joost"/>
    <m/>
    <m/>
    <m/>
    <m/>
    <m/>
    <s v="Betaalautomaat 17:57 pasnr. 022"/>
    <s v=" "/>
    <m/>
    <m/>
  </r>
  <r>
    <n v="3034"/>
    <x v="3"/>
    <m/>
    <x v="5"/>
    <x v="25"/>
    <d v="2021-10-16T00:00:00"/>
    <d v="2021-10-18T00:00:00"/>
    <n v="-2.5"/>
    <n v="2.5"/>
    <s v="NL13ABNA0506417344"/>
    <s v="ABN AMRO Bank NV"/>
    <s v="UIT"/>
    <s v="DIV"/>
    <s v="repre"/>
    <s v="@aboutanurse"/>
    <m/>
    <s v="16-10-2021 15:23 0030008348616854"/>
    <m/>
    <m/>
    <m/>
    <s v="000380091671 0030008348616854 Jessica NL44INGB0667068228 x4934 pasnr.011"/>
    <s v=" "/>
    <m/>
    <m/>
  </r>
  <r>
    <n v="3041"/>
    <x v="3"/>
    <m/>
    <x v="5"/>
    <x v="25"/>
    <d v="2021-10-19T00:00:00"/>
    <d v="2021-10-19T00:00:00"/>
    <n v="-5"/>
    <n v="5"/>
    <m/>
    <s v="OPLADEN OV-CHIPKAART AMERSFOORT"/>
    <s v="UIT"/>
    <s v="DIV"/>
    <s v="joost"/>
    <s v="bc"/>
    <m/>
    <m/>
    <m/>
    <m/>
    <m/>
    <s v="Betaalautomaat 10:29 pasnr. 022"/>
    <s v=" "/>
    <m/>
    <m/>
  </r>
  <r>
    <n v="3052"/>
    <x v="3"/>
    <m/>
    <x v="5"/>
    <x v="25"/>
    <d v="2021-10-20T00:00:00"/>
    <d v="2021-10-20T00:00:00"/>
    <n v="-10"/>
    <n v="10"/>
    <m/>
    <s v="Rozet 02 ARNHEM"/>
    <s v="UIT"/>
    <s v="DIV"/>
    <s v="div"/>
    <s v="bc"/>
    <m/>
    <m/>
    <m/>
    <m/>
    <m/>
    <s v="Betaalautomaat 17:49 pasnr. 011"/>
    <s v=" "/>
    <m/>
    <m/>
  </r>
  <r>
    <n v="3055"/>
    <x v="3"/>
    <m/>
    <x v="5"/>
    <x v="25"/>
    <d v="2021-10-21T00:00:00"/>
    <d v="2021-10-21T00:00:00"/>
    <n v="-1.63"/>
    <n v="1.63"/>
    <m/>
    <s v="Action 1283 Arnhem"/>
    <s v="UIT"/>
    <s v="DIV"/>
    <s v="div"/>
    <s v="bc"/>
    <m/>
    <m/>
    <m/>
    <m/>
    <m/>
    <s v="Betaalautomaat 11:02 pasnr. 022"/>
    <s v=" "/>
    <m/>
    <m/>
  </r>
  <r>
    <n v="3091"/>
    <x v="3"/>
    <m/>
    <x v="5"/>
    <x v="26"/>
    <d v="2021-11-02T00:00:00"/>
    <d v="2021-11-02T00:00:00"/>
    <n v="-41"/>
    <n v="41"/>
    <m/>
    <s v="GEMEENTE STADSKANAAL STADSKANAAL"/>
    <s v="UIT"/>
    <s v="DIV"/>
    <s v="div"/>
    <s v="rijbewijs"/>
    <m/>
    <m/>
    <m/>
    <m/>
    <m/>
    <s v="Betaalautomaat 14:08 pasnr. 022"/>
    <s v=" "/>
    <m/>
    <m/>
  </r>
  <r>
    <n v="3096"/>
    <x v="3"/>
    <m/>
    <x v="5"/>
    <x v="26"/>
    <d v="2021-11-02T00:00:00"/>
    <d v="2021-11-02T00:00:00"/>
    <n v="-3.25"/>
    <n v="3.25"/>
    <m/>
    <s v="Action 1072 Stadskanaal"/>
    <s v="UIT"/>
    <s v="DIV"/>
    <s v="div"/>
    <s v="bc"/>
    <m/>
    <m/>
    <m/>
    <m/>
    <m/>
    <s v="Betaalautomaat 15:04 pasnr. 011"/>
    <s v=" "/>
    <m/>
    <m/>
  </r>
  <r>
    <n v="3120"/>
    <x v="3"/>
    <m/>
    <x v="5"/>
    <x v="26"/>
    <d v="2021-11-13T00:00:00"/>
    <d v="2021-11-13T00:00:00"/>
    <n v="-4.49"/>
    <n v="4.49"/>
    <m/>
    <s v="Boekhandel Vermeer EMMEN"/>
    <s v="UIT"/>
    <s v="DIV"/>
    <s v="boeken"/>
    <s v="bc"/>
    <m/>
    <m/>
    <m/>
    <m/>
    <m/>
    <s v="Betaalautomaat 12:08 pasnr. 022"/>
    <s v=" "/>
    <m/>
    <m/>
  </r>
  <r>
    <n v="3122"/>
    <x v="3"/>
    <m/>
    <x v="5"/>
    <x v="26"/>
    <d v="2021-11-13T00:00:00"/>
    <d v="2021-11-13T00:00:00"/>
    <n v="-2.41"/>
    <n v="2.41"/>
    <m/>
    <s v="Kruidvat 6224 MUSSELKANAAL"/>
    <s v="UIT"/>
    <s v="DIV"/>
    <s v="repre"/>
    <s v="fotos ouders"/>
    <m/>
    <m/>
    <m/>
    <m/>
    <m/>
    <s v="Betaalautomaat 13:36 pasnr. 022"/>
    <s v=" "/>
    <m/>
    <m/>
  </r>
  <r>
    <n v="3197"/>
    <x v="0"/>
    <m/>
    <x v="5"/>
    <x v="68"/>
    <d v="2021-06-28T00:00:00"/>
    <d v="2021-06-28T00:00:00"/>
    <n v="-6.67"/>
    <n v="6.67"/>
    <m/>
    <s v="PAYPAL *WISH COM         35314369001  NLD"/>
    <s v="UIT"/>
    <s v="DIV"/>
    <s v="div"/>
    <s v="schermprotectors"/>
    <m/>
    <m/>
    <m/>
    <m/>
    <m/>
    <m/>
    <m/>
    <m/>
    <m/>
  </r>
  <r>
    <n v="3206"/>
    <x v="0"/>
    <m/>
    <x v="5"/>
    <x v="64"/>
    <d v="2021-09-06T00:00:00"/>
    <d v="2021-09-06T00:00:00"/>
    <n v="-1.5"/>
    <n v="1.5"/>
    <m/>
    <s v="PAYPAL *REPORTERSON      35314369001  NLD"/>
    <s v="UIT"/>
    <s v="DIV"/>
    <s v="repre"/>
    <s v="chrisklomp"/>
    <m/>
    <m/>
    <m/>
    <m/>
    <m/>
    <m/>
    <m/>
    <m/>
    <m/>
  </r>
  <r>
    <n v="3207"/>
    <x v="0"/>
    <m/>
    <x v="5"/>
    <x v="64"/>
    <d v="2021-09-17T00:00:00"/>
    <d v="2021-09-17T00:00:00"/>
    <n v="-21.28"/>
    <n v="21.28"/>
    <m/>
    <s v="GoFundMe Astri s knee treRedwood City USACA"/>
    <s v="UIT"/>
    <s v="DIV"/>
    <s v="repre"/>
    <m/>
    <m/>
    <m/>
    <m/>
    <m/>
    <m/>
    <m/>
    <m/>
    <m/>
    <m/>
  </r>
  <r>
    <n v="3208"/>
    <x v="0"/>
    <m/>
    <x v="5"/>
    <x v="64"/>
    <d v="2021-09-17T00:00:00"/>
    <d v="2021-09-17T00:00:00"/>
    <n v="-0.43"/>
    <n v="0.43"/>
    <m/>
    <s v="Koersopslag"/>
    <s v="UIT"/>
    <s v="DIV"/>
    <s v="koersverschillen"/>
    <m/>
    <m/>
    <m/>
    <m/>
    <m/>
    <m/>
    <m/>
    <m/>
    <m/>
    <m/>
  </r>
  <r>
    <n v="3214"/>
    <x v="0"/>
    <m/>
    <x v="5"/>
    <x v="25"/>
    <d v="2021-10-07T00:00:00"/>
    <m/>
    <n v="-3.06"/>
    <n v="3.06"/>
    <m/>
    <s v="Koersopslag"/>
    <s v="UIT"/>
    <s v="DIV"/>
    <s v="koersverschillen"/>
    <m/>
    <m/>
    <m/>
    <m/>
    <m/>
    <m/>
    <m/>
    <m/>
    <m/>
    <m/>
  </r>
  <r>
    <n v="3216"/>
    <x v="0"/>
    <m/>
    <x v="5"/>
    <x v="25"/>
    <d v="2021-10-08T00:00:00"/>
    <m/>
    <n v="-0.44"/>
    <n v="0.44"/>
    <m/>
    <s v="Koersopslag"/>
    <s v="UIT"/>
    <s v="DIV"/>
    <s v="koersverschillen"/>
    <m/>
    <m/>
    <m/>
    <m/>
    <m/>
    <m/>
    <m/>
    <m/>
    <m/>
    <m/>
  </r>
  <r>
    <n v="3218"/>
    <x v="0"/>
    <m/>
    <x v="5"/>
    <x v="25"/>
    <d v="2021-10-09T00:00:00"/>
    <m/>
    <n v="-2.68"/>
    <n v="2.68"/>
    <m/>
    <s v="Koersopslag"/>
    <s v="UIT"/>
    <s v="DIV"/>
    <s v="koersverschillen"/>
    <m/>
    <m/>
    <m/>
    <m/>
    <m/>
    <m/>
    <m/>
    <m/>
    <m/>
    <m/>
  </r>
  <r>
    <n v="3229"/>
    <x v="0"/>
    <m/>
    <x v="5"/>
    <x v="26"/>
    <d v="2021-11-27T00:00:00"/>
    <m/>
    <n v="-133.88999999999999"/>
    <n v="133.88999999999999"/>
    <m/>
    <s v="SIMPLEX_PAYBIS           EDINBURGH    GBR"/>
    <s v="UIT"/>
    <s v="DIV"/>
    <s v="Cryptocurr"/>
    <m/>
    <m/>
    <m/>
    <n v="150"/>
    <s v="USD"/>
    <n v="1.12032"/>
    <m/>
    <m/>
    <m/>
    <m/>
  </r>
  <r>
    <n v="3230"/>
    <x v="0"/>
    <m/>
    <x v="5"/>
    <x v="26"/>
    <d v="2021-11-27T00:00:00"/>
    <m/>
    <n v="-2.68"/>
    <n v="2.68"/>
    <m/>
    <s v="Koersopslag"/>
    <s v="UIT"/>
    <s v="DIV"/>
    <s v="koersverschillen"/>
    <m/>
    <m/>
    <m/>
    <m/>
    <m/>
    <m/>
    <m/>
    <m/>
    <m/>
    <m/>
  </r>
  <r>
    <n v="3231"/>
    <x v="0"/>
    <m/>
    <x v="5"/>
    <x v="26"/>
    <d v="2021-11-30T00:00:00"/>
    <m/>
    <n v="-2.27"/>
    <n v="2.27"/>
    <m/>
    <s v="Lazada                   BANGKOK      THA"/>
    <s v="UIT"/>
    <s v="DIV"/>
    <s v="lazada"/>
    <m/>
    <m/>
    <m/>
    <n v="86"/>
    <s v="THB"/>
    <n v="37.885460000000002"/>
    <m/>
    <m/>
    <m/>
    <m/>
  </r>
  <r>
    <n v="3232"/>
    <x v="0"/>
    <m/>
    <x v="5"/>
    <x v="26"/>
    <d v="2021-11-30T00:00:00"/>
    <m/>
    <n v="-0.05"/>
    <n v="0.05"/>
    <m/>
    <s v="Koersopslag"/>
    <s v="UIT"/>
    <s v="DIV"/>
    <s v="koersverschillen"/>
    <m/>
    <m/>
    <m/>
    <m/>
    <m/>
    <m/>
    <m/>
    <m/>
    <m/>
    <m/>
  </r>
  <r>
    <n v="3236"/>
    <x v="0"/>
    <m/>
    <x v="5"/>
    <x v="27"/>
    <d v="2021-12-20T00:00:00"/>
    <m/>
    <n v="-1.85"/>
    <n v="1.85"/>
    <m/>
    <s v="Koersopslag"/>
    <s v="UIT"/>
    <s v="DIV"/>
    <s v="koersverschillen"/>
    <m/>
    <m/>
    <m/>
    <m/>
    <m/>
    <m/>
    <m/>
    <m/>
    <m/>
    <m/>
  </r>
  <r>
    <n v="3243"/>
    <x v="2"/>
    <m/>
    <x v="6"/>
    <x v="28"/>
    <d v="2022-01-31T00:00:00"/>
    <m/>
    <n v="-166.11111111111111"/>
    <n v="166.11111111111111"/>
    <m/>
    <s v="telefoon"/>
    <s v="UIT"/>
    <s v="DIV"/>
    <s v="electronica"/>
    <m/>
    <m/>
    <m/>
    <m/>
    <m/>
    <m/>
    <m/>
    <m/>
    <m/>
    <m/>
  </r>
  <r>
    <n v="3324"/>
    <x v="3"/>
    <m/>
    <x v="6"/>
    <x v="32"/>
    <d v="2022-05-22T00:00:00"/>
    <d v="2022-05-22T00:00:00"/>
    <n v="-25"/>
    <n v="25"/>
    <s v="NL92RABO0348005008"/>
    <s v="Afdeling Valthe en Omstreken van de Koninklijke Nederlandse Vereniging"/>
    <s v="UIT"/>
    <s v="DIV"/>
    <s v="div"/>
    <s v="bg"/>
    <m/>
    <m/>
    <m/>
    <m/>
    <m/>
    <s v="Cursus rene smit 2 juni 2022"/>
    <s v=" "/>
    <m/>
    <m/>
  </r>
  <r>
    <n v="3326"/>
    <x v="3"/>
    <m/>
    <x v="6"/>
    <x v="32"/>
    <d v="2022-05-23T00:00:00"/>
    <d v="2022-05-23T00:00:00"/>
    <n v="-6.92"/>
    <n v="6.92"/>
    <m/>
    <s v="Action 1072 Stadskanaal"/>
    <s v="UIT"/>
    <s v="DIV"/>
    <s v="div"/>
    <s v="bc"/>
    <m/>
    <m/>
    <m/>
    <m/>
    <m/>
    <s v="Betaalautomaat 11:45 pasnr. 032"/>
    <s v=" "/>
    <m/>
    <m/>
  </r>
  <r>
    <n v="3327"/>
    <x v="3"/>
    <m/>
    <x v="6"/>
    <x v="32"/>
    <d v="2022-05-23T00:00:00"/>
    <d v="2022-05-23T00:00:00"/>
    <n v="-3.49"/>
    <n v="3.49"/>
    <m/>
    <s v="Blokker554 Musselkan MUSSELKANAAL wereldstekker"/>
    <s v="UIT"/>
    <s v="DIV"/>
    <s v="div"/>
    <s v="bc"/>
    <m/>
    <m/>
    <m/>
    <m/>
    <m/>
    <s v="Betaalautomaat 17:09 pasnr. 032"/>
    <s v=" "/>
    <m/>
    <m/>
  </r>
  <r>
    <n v="3328"/>
    <x v="3"/>
    <m/>
    <x v="6"/>
    <x v="32"/>
    <d v="2022-05-23T00:00:00"/>
    <d v="2022-05-23T00:00:00"/>
    <n v="-9.9499999999999993"/>
    <n v="9.9499999999999993"/>
    <s v="NL27INGB0000026500"/>
    <s v="bol.com b.v."/>
    <s v="UIT"/>
    <s v="DIV"/>
    <s v="boeken"/>
    <s v="id"/>
    <m/>
    <s v="23-05-2022 06:41 0051100091228073"/>
    <m/>
    <m/>
    <m/>
    <s v="1361073393 0051100091228073 bol.com ref 1361073393 bol.com x4934 pasnr.032"/>
    <s v=" "/>
    <m/>
    <m/>
  </r>
  <r>
    <n v="3338"/>
    <x v="0"/>
    <m/>
    <x v="6"/>
    <x v="28"/>
    <d v="2022-01-11T00:00:00"/>
    <m/>
    <n v="-14.68"/>
    <n v="14.68"/>
    <m/>
    <s v="COVID TESTS / WWW.LAZADA.CO.TH         BANGKOK      THA"/>
    <s v="UIT"/>
    <s v="DIV"/>
    <s v="lazada"/>
    <m/>
    <m/>
    <m/>
    <n v="555"/>
    <s v="THB"/>
    <n v="37.806530000000002"/>
    <m/>
    <m/>
    <m/>
    <m/>
  </r>
  <r>
    <n v="3339"/>
    <x v="0"/>
    <m/>
    <x v="6"/>
    <x v="28"/>
    <d v="2022-01-11T00:00:00"/>
    <m/>
    <n v="-0.28999999999999998"/>
    <n v="0.28999999999999998"/>
    <m/>
    <s v="Koersopslag"/>
    <s v="UIT"/>
    <s v="DIV"/>
    <s v="koersverschillen"/>
    <m/>
    <m/>
    <m/>
    <m/>
    <m/>
    <m/>
    <m/>
    <m/>
    <m/>
    <m/>
  </r>
  <r>
    <n v="3341"/>
    <x v="0"/>
    <m/>
    <x v="6"/>
    <x v="28"/>
    <d v="2022-01-21T00:00:00"/>
    <m/>
    <n v="-54.99"/>
    <n v="54.99"/>
    <m/>
    <s v="AFFINITY                 NOTTINGHAM   GBR"/>
    <s v="UIT"/>
    <s v="DIV"/>
    <s v="div"/>
    <m/>
    <m/>
    <m/>
    <m/>
    <m/>
    <m/>
    <m/>
    <m/>
    <m/>
    <m/>
  </r>
  <r>
    <n v="3342"/>
    <x v="0"/>
    <m/>
    <x v="6"/>
    <x v="28"/>
    <d v="2022-01-23T00:00:00"/>
    <m/>
    <n v="-5.66"/>
    <n v="5.66"/>
    <m/>
    <s v="tarot KAARTEN / WWW.LAZADA.CO.TH         BANGKOK      THA"/>
    <s v="UIT"/>
    <s v="DIV"/>
    <s v="lazada"/>
    <m/>
    <m/>
    <m/>
    <n v="210"/>
    <s v="THB"/>
    <n v="37.102469999999997"/>
    <m/>
    <m/>
    <m/>
    <m/>
  </r>
  <r>
    <n v="3343"/>
    <x v="0"/>
    <m/>
    <x v="6"/>
    <x v="28"/>
    <d v="2022-01-23T00:00:00"/>
    <m/>
    <n v="-0.11"/>
    <n v="0.11"/>
    <m/>
    <s v="Koersopslag"/>
    <s v="UIT"/>
    <s v="DIV"/>
    <s v="koersverschillen"/>
    <m/>
    <m/>
    <m/>
    <m/>
    <m/>
    <m/>
    <m/>
    <m/>
    <m/>
    <m/>
  </r>
  <r>
    <n v="3345"/>
    <x v="0"/>
    <m/>
    <x v="6"/>
    <x v="28"/>
    <d v="2022-01-31T00:00:00"/>
    <m/>
    <n v="-3.44"/>
    <n v="3.44"/>
    <m/>
    <s v="midi to computer cable / WWW.LAZADA. 0000000000000BANGKOK      THA"/>
    <s v="UIT"/>
    <s v="DIV"/>
    <s v="lazada"/>
    <m/>
    <m/>
    <m/>
    <n v="127"/>
    <s v="THB"/>
    <n v="36.918599999999998"/>
    <m/>
    <m/>
    <m/>
    <m/>
  </r>
  <r>
    <n v="3346"/>
    <x v="0"/>
    <m/>
    <x v="6"/>
    <x v="28"/>
    <d v="2022-01-31T00:00:00"/>
    <m/>
    <n v="-7.0000000000000007E-2"/>
    <n v="7.0000000000000007E-2"/>
    <m/>
    <s v="Koersopslag"/>
    <s v="UIT"/>
    <s v="DIV"/>
    <s v="koersverschillen"/>
    <m/>
    <m/>
    <m/>
    <m/>
    <m/>
    <m/>
    <m/>
    <m/>
    <m/>
    <m/>
  </r>
  <r>
    <n v="3348"/>
    <x v="0"/>
    <m/>
    <x v="6"/>
    <x v="30"/>
    <d v="2022-02-06T00:00:00"/>
    <m/>
    <n v="-16.39"/>
    <n v="16.39"/>
    <m/>
    <s v="covid tests / WWW.LAZADA. 0000000000000BANGKOK      THA"/>
    <s v="UIT"/>
    <s v="DIV"/>
    <s v="lazada"/>
    <m/>
    <m/>
    <m/>
    <n v="616"/>
    <s v="THB"/>
    <n v="37.583889999999997"/>
    <m/>
    <m/>
    <m/>
    <m/>
  </r>
  <r>
    <n v="3349"/>
    <x v="0"/>
    <m/>
    <x v="6"/>
    <x v="30"/>
    <d v="2022-02-06T00:00:00"/>
    <m/>
    <n v="-0.33"/>
    <n v="0.33"/>
    <m/>
    <s v="Koersopslag"/>
    <s v="UIT"/>
    <s v="DIV"/>
    <s v="koersverschillen"/>
    <m/>
    <m/>
    <m/>
    <m/>
    <m/>
    <m/>
    <m/>
    <m/>
    <m/>
    <m/>
  </r>
  <r>
    <n v="3352"/>
    <x v="0"/>
    <m/>
    <x v="6"/>
    <x v="30"/>
    <d v="2022-02-26T00:00:00"/>
    <m/>
    <n v="-17.559999999999999"/>
    <n v="17.559999999999999"/>
    <m/>
    <s v="covid tests / WWW.LAZADA.CO.TH         BANGKOK      THA"/>
    <s v="UIT"/>
    <s v="DIV"/>
    <s v="lazada"/>
    <m/>
    <m/>
    <m/>
    <n v="636"/>
    <s v="THB"/>
    <n v="36.218670000000003"/>
    <m/>
    <m/>
    <m/>
    <m/>
  </r>
  <r>
    <n v="3353"/>
    <x v="0"/>
    <m/>
    <x v="6"/>
    <x v="30"/>
    <d v="2022-02-26T00:00:00"/>
    <m/>
    <n v="-0.35"/>
    <n v="0.35"/>
    <m/>
    <s v="Koersopslag"/>
    <s v="UIT"/>
    <s v="DIV"/>
    <s v="koersverschillen"/>
    <m/>
    <m/>
    <m/>
    <m/>
    <m/>
    <m/>
    <m/>
    <m/>
    <m/>
    <m/>
  </r>
  <r>
    <n v="3356"/>
    <x v="0"/>
    <m/>
    <x v="6"/>
    <x v="30"/>
    <d v="2022-03-10T00:00:00"/>
    <m/>
    <n v="-225.12"/>
    <n v="225.12"/>
    <m/>
    <s v="computer 1 - retour / WWW.LAZADA.CO.TH         BANGKOK      THA"/>
    <s v="UIT"/>
    <s v="DIV"/>
    <s v="lazada"/>
    <m/>
    <m/>
    <m/>
    <n v="8079"/>
    <s v="THB"/>
    <n v="35.887520000000002"/>
    <m/>
    <m/>
    <m/>
    <m/>
  </r>
  <r>
    <n v="3357"/>
    <x v="0"/>
    <m/>
    <x v="6"/>
    <x v="30"/>
    <d v="2022-03-10T00:00:00"/>
    <m/>
    <n v="-4.5"/>
    <n v="4.5"/>
    <m/>
    <s v="Koersopslag"/>
    <s v="UIT"/>
    <s v="DIV"/>
    <s v="koersverschillen"/>
    <m/>
    <m/>
    <m/>
    <m/>
    <m/>
    <m/>
    <m/>
    <m/>
    <m/>
    <m/>
  </r>
  <r>
    <n v="3358"/>
    <x v="0"/>
    <m/>
    <x v="6"/>
    <x v="30"/>
    <d v="2022-03-10T00:00:00"/>
    <m/>
    <n v="-4.29"/>
    <n v="4.29"/>
    <m/>
    <s v="harddrive adaptor gecanceled / WWW.LAZADA.CO.TH         BANGKOK      THA"/>
    <s v="UIT"/>
    <s v="DIV"/>
    <s v="lazada"/>
    <m/>
    <m/>
    <m/>
    <n v="154"/>
    <s v="THB"/>
    <n v="35.89743"/>
    <m/>
    <m/>
    <m/>
    <m/>
  </r>
  <r>
    <n v="3359"/>
    <x v="0"/>
    <m/>
    <x v="6"/>
    <x v="30"/>
    <d v="2022-03-10T00:00:00"/>
    <m/>
    <n v="-0.09"/>
    <n v="0.09"/>
    <m/>
    <s v="Koersopslag"/>
    <s v="UIT"/>
    <s v="DIV"/>
    <s v="koersverschillen"/>
    <m/>
    <m/>
    <m/>
    <m/>
    <m/>
    <m/>
    <m/>
    <m/>
    <m/>
    <m/>
  </r>
  <r>
    <n v="3360"/>
    <x v="0"/>
    <m/>
    <x v="6"/>
    <x v="30"/>
    <d v="2022-03-10T00:00:00"/>
    <m/>
    <n v="0.09"/>
    <n v="0.09"/>
    <m/>
    <s v="Correctie koersopslag"/>
    <s v="UIT"/>
    <s v="DIV"/>
    <s v="koersverschillen"/>
    <m/>
    <m/>
    <m/>
    <m/>
    <m/>
    <m/>
    <m/>
    <m/>
    <m/>
    <m/>
  </r>
  <r>
    <n v="3361"/>
    <x v="0"/>
    <m/>
    <x v="6"/>
    <x v="30"/>
    <d v="2022-03-10T00:00:00"/>
    <m/>
    <n v="4.26"/>
    <n v="4.26"/>
    <m/>
    <s v="hard drive adaptor .gecanceled / WWW.LAZADA.CO.TH         BANGKOK      THA"/>
    <s v="UIT"/>
    <s v="DIV"/>
    <s v="lazada"/>
    <m/>
    <m/>
    <m/>
    <n v="154"/>
    <s v="THB"/>
    <n v="36.150230000000001"/>
    <m/>
    <m/>
    <m/>
    <m/>
  </r>
  <r>
    <n v="3362"/>
    <x v="0"/>
    <m/>
    <x v="6"/>
    <x v="30"/>
    <d v="2022-03-10T00:00:00"/>
    <m/>
    <n v="4.47"/>
    <n v="4.47"/>
    <m/>
    <s v="Correctie koersopslag"/>
    <s v="UIT"/>
    <s v="DIV"/>
    <s v="koersverschillen"/>
    <m/>
    <m/>
    <m/>
    <m/>
    <m/>
    <m/>
    <m/>
    <m/>
    <m/>
    <m/>
  </r>
  <r>
    <n v="3363"/>
    <x v="0"/>
    <m/>
    <x v="6"/>
    <x v="30"/>
    <d v="2022-03-10T00:00:00"/>
    <m/>
    <n v="223.39"/>
    <n v="223.39"/>
    <m/>
    <s v="computer 1  / retour WWW.LAZADA.CO.TH         BANGKOK      THA"/>
    <s v="UIT"/>
    <s v="DIV"/>
    <s v="lazada"/>
    <m/>
    <m/>
    <m/>
    <n v="8079"/>
    <s v="THB"/>
    <n v="36.16545"/>
    <m/>
    <m/>
    <m/>
    <m/>
  </r>
  <r>
    <n v="3364"/>
    <x v="0"/>
    <m/>
    <x v="6"/>
    <x v="30"/>
    <d v="2022-03-11T00:00:00"/>
    <m/>
    <n v="-371.15"/>
    <n v="371.15"/>
    <m/>
    <s v="computer 2 - gecanceled - WWW.LAZADA. 0000000000000BANGKOK      THA"/>
    <s v="UIT"/>
    <s v="DIV"/>
    <s v="lazada"/>
    <m/>
    <m/>
    <m/>
    <n v="13423"/>
    <s v="THB"/>
    <n v="36.165970000000002"/>
    <m/>
    <m/>
    <m/>
    <m/>
  </r>
  <r>
    <n v="3365"/>
    <x v="0"/>
    <m/>
    <x v="6"/>
    <x v="30"/>
    <d v="2022-03-11T00:00:00"/>
    <m/>
    <n v="-7.42"/>
    <n v="7.42"/>
    <m/>
    <s v="Koersopslag"/>
    <s v="UIT"/>
    <s v="DIV"/>
    <s v="koersverschillen"/>
    <m/>
    <m/>
    <m/>
    <m/>
    <m/>
    <m/>
    <m/>
    <m/>
    <m/>
    <m/>
  </r>
  <r>
    <n v="3366"/>
    <x v="0"/>
    <m/>
    <x v="6"/>
    <x v="30"/>
    <d v="2022-03-15T00:00:00"/>
    <m/>
    <n v="362"/>
    <n v="362"/>
    <m/>
    <s v="computer 2 - gecanceled - WWW.LAZADA.CO.TH         BANGKOK      THA"/>
    <s v="UIT"/>
    <s v="DIV"/>
    <s v="lazada"/>
    <m/>
    <m/>
    <m/>
    <n v="13423"/>
    <s v="THB"/>
    <n v="37.080109999999998"/>
    <m/>
    <m/>
    <m/>
    <m/>
  </r>
  <r>
    <n v="3367"/>
    <x v="0"/>
    <m/>
    <x v="6"/>
    <x v="30"/>
    <d v="2022-03-16T00:00:00"/>
    <m/>
    <n v="-317.31"/>
    <n v="317.31"/>
    <m/>
    <s v="COMPUTER --- WWW.LAZADA.CO.TH         BANGKOK      THA"/>
    <s v="UIT"/>
    <s v="DIV"/>
    <s v="electronica"/>
    <m/>
    <m/>
    <m/>
    <n v="11489"/>
    <s v="THB"/>
    <n v="36.20749"/>
    <m/>
    <m/>
    <m/>
    <m/>
  </r>
  <r>
    <n v="3368"/>
    <x v="0"/>
    <m/>
    <x v="6"/>
    <x v="30"/>
    <d v="2022-03-16T00:00:00"/>
    <m/>
    <n v="-6.35"/>
    <n v="6.35"/>
    <m/>
    <s v="Koersopslag"/>
    <s v="UIT"/>
    <s v="DIV"/>
    <s v="koersverschillen"/>
    <m/>
    <m/>
    <m/>
    <m/>
    <m/>
    <m/>
    <m/>
    <m/>
    <m/>
    <m/>
  </r>
  <r>
    <n v="3370"/>
    <x v="0"/>
    <m/>
    <x v="6"/>
    <x v="30"/>
    <d v="2022-03-21T00:00:00"/>
    <m/>
    <n v="-15.87"/>
    <n v="15.87"/>
    <m/>
    <s v="covid gecanceled -Lazada                   BANGKOK      THA"/>
    <s v="UIT"/>
    <s v="DIV"/>
    <s v="electronica"/>
    <m/>
    <m/>
    <m/>
    <n v="579"/>
    <s v="THB"/>
    <n v="36.483930000000001"/>
    <m/>
    <m/>
    <m/>
    <m/>
  </r>
  <r>
    <n v="3371"/>
    <x v="0"/>
    <m/>
    <x v="6"/>
    <x v="30"/>
    <d v="2022-03-21T00:00:00"/>
    <m/>
    <n v="-4.22"/>
    <n v="4.22"/>
    <m/>
    <s v="harddrive adaptor - Lazada                   BANGKOK      THA"/>
    <s v="UIT"/>
    <s v="DIV"/>
    <s v="electronica"/>
    <m/>
    <m/>
    <m/>
    <n v="154"/>
    <s v="THB"/>
    <n v="36.492890000000003"/>
    <m/>
    <m/>
    <m/>
    <m/>
  </r>
  <r>
    <n v="3372"/>
    <x v="0"/>
    <m/>
    <x v="6"/>
    <x v="30"/>
    <d v="2022-03-21T00:00:00"/>
    <m/>
    <n v="-0.32"/>
    <n v="0.32"/>
    <m/>
    <s v="Koersopslag"/>
    <s v="UIT"/>
    <s v="DIV"/>
    <s v="koersverschillen"/>
    <m/>
    <m/>
    <m/>
    <m/>
    <m/>
    <m/>
    <m/>
    <m/>
    <m/>
    <m/>
  </r>
  <r>
    <n v="3373"/>
    <x v="0"/>
    <m/>
    <x v="6"/>
    <x v="30"/>
    <d v="2022-03-21T00:00:00"/>
    <m/>
    <n v="-0.08"/>
    <n v="0.08"/>
    <m/>
    <s v="Koersopslag"/>
    <s v="UIT"/>
    <s v="DIV"/>
    <s v="koersverschillen"/>
    <m/>
    <m/>
    <m/>
    <m/>
    <m/>
    <m/>
    <m/>
    <m/>
    <m/>
    <m/>
  </r>
  <r>
    <n v="3376"/>
    <x v="0"/>
    <m/>
    <x v="6"/>
    <x v="30"/>
    <d v="2022-03-29T00:00:00"/>
    <m/>
    <n v="15.42"/>
    <n v="15.42"/>
    <m/>
    <s v="covid tests gecanceled -Lazada                   BANGKOK      THA"/>
    <s v="UIT"/>
    <s v="DIV"/>
    <s v="lazada"/>
    <m/>
    <m/>
    <m/>
    <n v="579"/>
    <s v="THB"/>
    <n v="37.548630000000003"/>
    <m/>
    <m/>
    <m/>
    <m/>
  </r>
  <r>
    <n v="3377"/>
    <x v="0"/>
    <m/>
    <x v="6"/>
    <x v="30"/>
    <d v="2022-03-30T00:00:00"/>
    <m/>
    <n v="-11.44"/>
    <n v="11.44"/>
    <m/>
    <s v="covid tests / WWW.LAZADA.CO.TH      000BANGKOK      THA"/>
    <s v="UIT"/>
    <s v="DIV"/>
    <s v="lazada"/>
    <m/>
    <m/>
    <m/>
    <n v="420"/>
    <s v="THB"/>
    <n v="36.713279999999997"/>
    <m/>
    <m/>
    <m/>
    <m/>
  </r>
  <r>
    <n v="3378"/>
    <x v="0"/>
    <m/>
    <x v="6"/>
    <x v="30"/>
    <d v="2022-03-30T00:00:00"/>
    <m/>
    <n v="-0.23"/>
    <n v="0.23"/>
    <m/>
    <s v="Koersopslag"/>
    <s v="UIT"/>
    <s v="DIV"/>
    <s v="koersverschillen"/>
    <m/>
    <m/>
    <m/>
    <m/>
    <m/>
    <m/>
    <m/>
    <m/>
    <m/>
    <m/>
  </r>
  <r>
    <n v="3384"/>
    <x v="0"/>
    <m/>
    <x v="6"/>
    <x v="32"/>
    <d v="2022-05-08T00:00:00"/>
    <m/>
    <n v="-4.24"/>
    <n v="4.24"/>
    <m/>
    <s v="bescherming a12 . WWW.LAZADA.CO.TH      000BANGKOK      THA"/>
    <s v="UIT"/>
    <s v="DIV"/>
    <s v="lazada"/>
    <m/>
    <m/>
    <m/>
    <n v="152"/>
    <s v="THB"/>
    <n v="35.849049999999998"/>
    <m/>
    <m/>
    <m/>
    <m/>
  </r>
  <r>
    <n v="3385"/>
    <x v="0"/>
    <m/>
    <x v="6"/>
    <x v="32"/>
    <d v="2022-05-08T00:00:00"/>
    <m/>
    <n v="-0.08"/>
    <n v="0.08"/>
    <m/>
    <s v="Koersopslag"/>
    <s v="UIT"/>
    <s v="DIV"/>
    <s v="koersverschillen"/>
    <m/>
    <m/>
    <m/>
    <m/>
    <m/>
    <m/>
    <m/>
    <m/>
    <m/>
    <m/>
  </r>
  <r>
    <n v="3389"/>
    <x v="0"/>
    <m/>
    <x v="6"/>
    <x v="32"/>
    <d v="2022-05-21T00:00:00"/>
    <m/>
    <n v="-0.02"/>
    <n v="0.02"/>
    <m/>
    <s v="Koersopslag"/>
    <s v="UIT"/>
    <s v="DIV"/>
    <s v="koersverschillen"/>
    <m/>
    <m/>
    <m/>
    <m/>
    <m/>
    <m/>
    <m/>
    <m/>
    <m/>
    <m/>
  </r>
  <r>
    <n v="202208013"/>
    <x v="3"/>
    <s v="EUR"/>
    <x v="6"/>
    <x v="71"/>
    <d v="2022-06-04T00:00:00"/>
    <d v="2022-06-04T00:00:00"/>
    <n v="-22.5"/>
    <n v="22.5"/>
    <m/>
    <s v="Bloem en Plant MUSSELKANAAL"/>
    <s v="UIT"/>
    <s v="DIV"/>
    <s v="repre"/>
    <s v="bc"/>
    <m/>
    <m/>
    <m/>
    <m/>
    <m/>
    <s v="Betaalautomaat 08:58 pasnr. 032"/>
    <s v=" "/>
    <m/>
    <m/>
  </r>
  <r>
    <n v="202208017"/>
    <x v="3"/>
    <s v="EUR"/>
    <x v="6"/>
    <x v="71"/>
    <d v="2022-06-08T00:00:00"/>
    <d v="2022-06-08T00:00:00"/>
    <n v="-4.5999999999999996"/>
    <n v="4.5999999999999996"/>
    <m/>
    <s v="Primera Arnhem Centr ARNHEM"/>
    <s v="UIT"/>
    <s v="DIV"/>
    <s v="div"/>
    <s v="bc"/>
    <m/>
    <m/>
    <m/>
    <m/>
    <m/>
    <s v="Betaalautomaat 15:55 pasnr. 032"/>
    <s v=" "/>
    <m/>
    <m/>
  </r>
  <r>
    <n v="202208018"/>
    <x v="3"/>
    <s v="EUR"/>
    <x v="6"/>
    <x v="71"/>
    <d v="2022-06-08T00:00:00"/>
    <d v="2022-06-08T00:00:00"/>
    <n v="-8.36"/>
    <n v="8.36"/>
    <m/>
    <s v="Action 1283 Arnhem"/>
    <s v="UIT"/>
    <s v="DIV"/>
    <s v="div"/>
    <s v="bc"/>
    <m/>
    <m/>
    <m/>
    <m/>
    <m/>
    <s v="Betaalautomaat 14:03 pasnr. 032"/>
    <s v=" "/>
    <m/>
    <m/>
  </r>
  <r>
    <n v="202208021"/>
    <x v="3"/>
    <s v="EUR"/>
    <x v="6"/>
    <x v="71"/>
    <d v="2022-06-09T00:00:00"/>
    <d v="2022-06-09T00:00:00"/>
    <n v="-3"/>
    <n v="3"/>
    <m/>
    <s v="Flying Tiger ARNHEM"/>
    <s v="UIT"/>
    <s v="DIV"/>
    <s v="div"/>
    <s v="bc"/>
    <m/>
    <m/>
    <m/>
    <m/>
    <m/>
    <s v="Betaalautomaat 12:26 pasnr. 032"/>
    <s v=" "/>
    <m/>
    <m/>
  </r>
  <r>
    <n v="202208028"/>
    <x v="3"/>
    <s v="EUR"/>
    <x v="6"/>
    <x v="71"/>
    <d v="2022-06-14T00:00:00"/>
    <d v="2022-06-14T00:00:00"/>
    <n v="-1.19"/>
    <n v="1.19"/>
    <m/>
    <s v="So Low Venlo VENLO"/>
    <s v="UIT"/>
    <s v="DIV"/>
    <s v="div"/>
    <s v="bc"/>
    <m/>
    <m/>
    <m/>
    <m/>
    <m/>
    <s v="Betaalautomaat 16:21 pasnr. 032"/>
    <s v=" "/>
    <m/>
    <m/>
  </r>
  <r>
    <n v="202208031"/>
    <x v="3"/>
    <s v="EUR"/>
    <x v="6"/>
    <x v="71"/>
    <d v="2022-06-15T00:00:00"/>
    <d v="2022-06-15T00:00:00"/>
    <n v="-5.91"/>
    <n v="5.91"/>
    <m/>
    <s v="Action 1325 Panningen"/>
    <s v="UIT"/>
    <s v="DIV"/>
    <s v="div"/>
    <s v="bc"/>
    <m/>
    <m/>
    <m/>
    <m/>
    <m/>
    <s v="Betaalautomaat 15:07 pasnr. 032"/>
    <s v=" "/>
    <m/>
    <m/>
  </r>
  <r>
    <n v="202208041"/>
    <x v="3"/>
    <s v="EUR"/>
    <x v="6"/>
    <x v="71"/>
    <d v="2022-06-22T00:00:00"/>
    <d v="2022-06-22T00:00:00"/>
    <n v="-16.89"/>
    <n v="16.89"/>
    <m/>
    <s v="Action 1102 Venlo"/>
    <s v="UIT"/>
    <s v="DIV"/>
    <s v="div"/>
    <s v="bc"/>
    <m/>
    <m/>
    <m/>
    <m/>
    <m/>
    <s v="Betaalautomaat 14:44 pasnr. 032"/>
    <s v=" "/>
    <m/>
    <m/>
  </r>
  <r>
    <n v="202208048"/>
    <x v="3"/>
    <s v="EUR"/>
    <x v="6"/>
    <x v="71"/>
    <d v="2022-06-29T00:00:00"/>
    <d v="2022-06-29T00:00:00"/>
    <n v="-10.4"/>
    <n v="10.4"/>
    <m/>
    <s v="Action 1325 Panningen"/>
    <s v="UIT"/>
    <s v="DIV"/>
    <s v="div"/>
    <s v="bc"/>
    <m/>
    <m/>
    <m/>
    <m/>
    <m/>
    <s v="Betaalautomaat 15:13 pasnr. 032"/>
    <s v=" "/>
    <m/>
    <m/>
  </r>
  <r>
    <n v="202208060"/>
    <x v="3"/>
    <s v="EUR"/>
    <x v="6"/>
    <x v="72"/>
    <d v="2022-07-06T00:00:00"/>
    <d v="2022-07-06T00:00:00"/>
    <n v="-4.04"/>
    <n v="4.04"/>
    <m/>
    <s v="Action 1325 Panningen"/>
    <s v="UIT"/>
    <s v="DIV"/>
    <s v="div"/>
    <s v="bc"/>
    <m/>
    <m/>
    <m/>
    <m/>
    <m/>
    <s v="Betaalautomaat 14:54 pasnr. 032"/>
    <s v=" "/>
    <m/>
    <m/>
  </r>
  <r>
    <n v="202208064"/>
    <x v="3"/>
    <s v="EUR"/>
    <x v="6"/>
    <x v="72"/>
    <d v="2022-07-10T00:00:00"/>
    <d v="2022-07-11T00:00:00"/>
    <n v="-8.4499999999999993"/>
    <n v="8.4499999999999993"/>
    <s v="NL27INGB0000026500"/>
    <s v="bol.com b.v."/>
    <s v="UIT"/>
    <s v="DIV"/>
    <s v="boeken"/>
    <s v="id"/>
    <m/>
    <s v="10-07-2022 00:14 0051100118970281"/>
    <m/>
    <m/>
    <m/>
    <s v="1377921172 0051100118970281 bol.com ref 1377921172 bol.com x4934 pasnr.032"/>
    <s v=" "/>
    <m/>
    <m/>
  </r>
  <r>
    <n v="202208070"/>
    <x v="3"/>
    <s v="EUR"/>
    <x v="6"/>
    <x v="72"/>
    <d v="2022-07-12T00:00:00"/>
    <d v="2022-07-12T00:00:00"/>
    <n v="-6.22"/>
    <n v="6.22"/>
    <m/>
    <s v="Action 1095 Horst"/>
    <s v="UIT"/>
    <s v="DIV"/>
    <s v="div"/>
    <s v="bc"/>
    <m/>
    <m/>
    <m/>
    <m/>
    <m/>
    <s v="Betaalautomaat 15:05 pasnr. 032"/>
    <s v=" "/>
    <m/>
    <m/>
  </r>
  <r>
    <n v="202208071"/>
    <x v="3"/>
    <s v="EUR"/>
    <x v="6"/>
    <x v="72"/>
    <d v="2022-07-12T00:00:00"/>
    <d v="2022-07-12T00:00:00"/>
    <n v="-2.69"/>
    <n v="2.69"/>
    <m/>
    <s v="Xenos Horst 161 HORST"/>
    <s v="UIT"/>
    <s v="DIV"/>
    <s v="div"/>
    <s v="bc"/>
    <m/>
    <m/>
    <m/>
    <m/>
    <m/>
    <s v="Betaalautomaat 18:30 pasnr. 032"/>
    <s v=" "/>
    <m/>
    <m/>
  </r>
  <r>
    <n v="202208072"/>
    <x v="3"/>
    <s v="EUR"/>
    <x v="6"/>
    <x v="72"/>
    <d v="2022-07-12T00:00:00"/>
    <d v="2022-07-12T00:00:00"/>
    <n v="-1"/>
    <n v="1"/>
    <m/>
    <s v="Xenos Horst 161 HORST"/>
    <s v="UIT"/>
    <s v="DIV"/>
    <s v="div"/>
    <s v="bc"/>
    <m/>
    <m/>
    <m/>
    <m/>
    <m/>
    <s v="Betaalautomaat 18:30 pasnr. 032"/>
    <s v=" "/>
    <m/>
    <m/>
  </r>
  <r>
    <n v="202208078"/>
    <x v="3"/>
    <s v="EUR"/>
    <x v="6"/>
    <x v="72"/>
    <d v="2022-07-14T00:00:00"/>
    <d v="2022-07-14T00:00:00"/>
    <n v="-0.99"/>
    <n v="0.99"/>
    <m/>
    <s v="Action 1325 Panningen"/>
    <s v="UIT"/>
    <s v="DIV"/>
    <s v="div"/>
    <s v="bc"/>
    <m/>
    <m/>
    <m/>
    <m/>
    <m/>
    <s v="Betaalautomaat 14:35 pasnr. 032"/>
    <s v=" "/>
    <m/>
    <m/>
  </r>
  <r>
    <n v="202208080"/>
    <x v="3"/>
    <s v="EUR"/>
    <x v="6"/>
    <x v="72"/>
    <d v="2022-07-17T00:00:00"/>
    <d v="2022-07-17T00:00:00"/>
    <n v="-10"/>
    <n v="10"/>
    <s v="NL68RABO0140802673"/>
    <s v="Rabo Betaalverzoek"/>
    <s v="UIT"/>
    <s v="DIV"/>
    <s v="DIV"/>
    <s v="id"/>
    <m/>
    <s v="17-07-2022 09:23 0020006924475920"/>
    <m/>
    <m/>
    <m/>
    <s v="NL08RABO0105021423 0020006924475920 A.M.H. Pennings eo H.T.B:Cadeau Ha: x4934 pasnr.032"/>
    <s v=" "/>
    <m/>
    <m/>
  </r>
  <r>
    <n v="202208084"/>
    <x v="3"/>
    <s v="EUR"/>
    <x v="6"/>
    <x v="72"/>
    <d v="2022-07-20T00:00:00"/>
    <d v="2022-07-20T00:00:00"/>
    <n v="-0.46"/>
    <n v="0.46"/>
    <m/>
    <s v="Action 1325 Panningen"/>
    <s v="UIT"/>
    <s v="DIV"/>
    <s v="div"/>
    <s v="bc"/>
    <m/>
    <m/>
    <m/>
    <m/>
    <m/>
    <s v="Betaalautomaat 14:44 pasnr. 032"/>
    <s v=" "/>
    <m/>
    <m/>
  </r>
  <r>
    <n v="202208086"/>
    <x v="3"/>
    <s v="EUR"/>
    <x v="6"/>
    <x v="72"/>
    <d v="2022-07-20T00:00:00"/>
    <d v="2022-07-20T00:00:00"/>
    <n v="-3.58"/>
    <n v="3.58"/>
    <m/>
    <s v="Action 1325 Panningen"/>
    <s v="UIT"/>
    <s v="DIV"/>
    <s v="div"/>
    <s v="bc"/>
    <m/>
    <m/>
    <m/>
    <m/>
    <m/>
    <s v="Betaalautomaat 15:26 pasnr. 032"/>
    <s v=" "/>
    <m/>
    <m/>
  </r>
  <r>
    <n v="202208089"/>
    <x v="3"/>
    <s v="EUR"/>
    <x v="6"/>
    <x v="72"/>
    <d v="2022-07-21T00:00:00"/>
    <d v="2022-07-21T00:00:00"/>
    <n v="-0.01"/>
    <n v="0.01"/>
    <s v="NL56RABO0347848516"/>
    <s v="Online Payments Foundation"/>
    <s v="UIT"/>
    <s v="DIV"/>
    <s v="div"/>
    <s v="id"/>
    <m/>
    <s v="21-07-2022 15:58 0020006941674270"/>
    <m/>
    <m/>
    <m/>
    <s v="tra02069f8cd85f 0020006941674270 Online Payment Platform Online Payments Foundation x4934 pasnr.032"/>
    <s v=" "/>
    <m/>
    <m/>
  </r>
  <r>
    <n v="202208091"/>
    <x v="3"/>
    <s v="EUR"/>
    <x v="6"/>
    <x v="72"/>
    <d v="2022-07-23T00:00:00"/>
    <d v="2022-07-23T00:00:00"/>
    <n v="-8"/>
    <n v="8"/>
    <m/>
    <s v="Partycentrum SEVENUM"/>
    <s v="UIT"/>
    <s v="DIV"/>
    <s v="repre"/>
    <s v="bc"/>
    <m/>
    <m/>
    <m/>
    <m/>
    <m/>
    <s v="Betaalautomaat 20:44 pasnr. 032"/>
    <s v=" "/>
    <m/>
    <m/>
  </r>
  <r>
    <n v="202208097"/>
    <x v="3"/>
    <s v="EUR"/>
    <x v="6"/>
    <x v="72"/>
    <d v="2022-07-26T00:00:00"/>
    <d v="2022-07-26T00:00:00"/>
    <n v="-4.24"/>
    <n v="4.24"/>
    <m/>
    <s v="Action 1325 Panningen"/>
    <s v="UIT"/>
    <s v="DIV"/>
    <s v="div"/>
    <s v="bc"/>
    <m/>
    <m/>
    <m/>
    <m/>
    <m/>
    <s v="Betaalautomaat 15:37 pasnr. 032"/>
    <s v=" "/>
    <m/>
    <m/>
  </r>
  <r>
    <n v="202208101"/>
    <x v="3"/>
    <s v="EUR"/>
    <x v="6"/>
    <x v="72"/>
    <d v="2022-07-28T00:00:00"/>
    <d v="2022-07-28T00:00:00"/>
    <n v="-1"/>
    <n v="1"/>
    <m/>
    <s v="TMC*P - VENLO - 8000 VENLO"/>
    <s v="UIT"/>
    <s v="DIV"/>
    <s v="div"/>
    <s v="bc"/>
    <m/>
    <m/>
    <m/>
    <m/>
    <m/>
    <s v="Betaalautomaat 15:03 pasnr. 032"/>
    <s v=" "/>
    <m/>
    <m/>
  </r>
  <r>
    <n v="202208102"/>
    <x v="3"/>
    <s v="EUR"/>
    <x v="6"/>
    <x v="72"/>
    <d v="2022-07-28T00:00:00"/>
    <d v="2022-07-28T00:00:00"/>
    <n v="-7.5"/>
    <n v="7.5"/>
    <m/>
    <s v="Kruidvat 7456 VENLO covid testss"/>
    <s v="UIT"/>
    <s v="DIV"/>
    <s v="covidtests"/>
    <s v="bc"/>
    <m/>
    <m/>
    <m/>
    <m/>
    <m/>
    <m/>
    <m/>
    <m/>
    <m/>
  </r>
  <r>
    <n v="202208105"/>
    <x v="3"/>
    <s v="EUR"/>
    <x v="6"/>
    <x v="72"/>
    <d v="2022-07-28T00:00:00"/>
    <d v="2022-07-28T00:00:00"/>
    <n v="-3.78"/>
    <n v="3.78"/>
    <m/>
    <s v="Action 1102 Venlo"/>
    <s v="UIT"/>
    <s v="DIV"/>
    <s v="div"/>
    <s v="bc"/>
    <m/>
    <m/>
    <m/>
    <m/>
    <m/>
    <s v="Betaalautomaat 15:13 pasnr. 032"/>
    <s v=" "/>
    <m/>
    <m/>
  </r>
  <r>
    <n v="202208106"/>
    <x v="3"/>
    <s v="EUR"/>
    <x v="6"/>
    <x v="72"/>
    <d v="2022-07-28T00:00:00"/>
    <d v="2022-07-28T00:00:00"/>
    <n v="-0.59"/>
    <n v="0.59"/>
    <m/>
    <s v="Action 1102 Venlo"/>
    <s v="UIT"/>
    <s v="DIV"/>
    <s v="div"/>
    <s v="bc"/>
    <m/>
    <m/>
    <m/>
    <m/>
    <m/>
    <s v="Betaalautomaat 15:13 pasnr. 032"/>
    <s v=" "/>
    <m/>
    <m/>
  </r>
  <r>
    <n v="202208111"/>
    <x v="3"/>
    <s v="EUR"/>
    <x v="6"/>
    <x v="72"/>
    <d v="2022-07-29T00:00:00"/>
    <d v="2022-07-29T00:00:00"/>
    <n v="3.78"/>
    <n v="3.78"/>
    <s v="NL13ABNA0506417344"/>
    <s v="AAB INZ TIKKIE stickerverwijderaar + ontstopper"/>
    <s v="UIT"/>
    <s v="DIV"/>
    <s v="div"/>
    <s v="cb"/>
    <m/>
    <m/>
    <m/>
    <m/>
    <m/>
    <s v="Tikkie ID 000499466658, Stickerverwijderaar + ontstoppingsm, Van A.M.H. Pennings eo, NL08RABO0105021423"/>
    <s v=" "/>
    <m/>
    <m/>
  </r>
  <r>
    <n v="202208122"/>
    <x v="3"/>
    <s v="EUR"/>
    <x v="6"/>
    <x v="40"/>
    <d v="2022-08-03T00:00:00"/>
    <d v="2022-08-03T00:00:00"/>
    <n v="-2.68"/>
    <n v="2.68"/>
    <m/>
    <s v="Action 1325 Panningen"/>
    <s v="UIT"/>
    <s v="DIV"/>
    <s v="div"/>
    <s v="bc"/>
    <m/>
    <m/>
    <m/>
    <m/>
    <m/>
    <s v="Betaalautomaat 14:59 pasnr. 032"/>
    <s v=" "/>
    <m/>
    <m/>
  </r>
  <r>
    <n v="202208124"/>
    <x v="3"/>
    <s v="EUR"/>
    <x v="6"/>
    <x v="40"/>
    <d v="2022-08-03T00:00:00"/>
    <d v="2022-08-03T00:00:00"/>
    <n v="-0.63"/>
    <n v="0.63"/>
    <m/>
    <s v="vof De Gruntehoof PANNINGEN"/>
    <s v="UIT"/>
    <s v="DIV"/>
    <s v="div"/>
    <s v="bc"/>
    <m/>
    <m/>
    <m/>
    <m/>
    <m/>
    <s v="Betaalautomaat 17:17 pasnr. 032"/>
    <s v=" "/>
    <m/>
    <m/>
  </r>
  <r>
    <n v="202208144"/>
    <x v="3"/>
    <s v="EUR"/>
    <x v="6"/>
    <x v="40"/>
    <d v="2022-08-11T00:00:00"/>
    <d v="2022-08-11T00:00:00"/>
    <n v="-16.43"/>
    <n v="16.43"/>
    <m/>
    <s v="Action 1325 Panningen"/>
    <s v="UIT"/>
    <s v="DIV"/>
    <s v="div"/>
    <s v="bc"/>
    <m/>
    <m/>
    <m/>
    <m/>
    <m/>
    <s v="Betaalautomaat 14:46 pasnr. 032"/>
    <s v=" "/>
    <m/>
    <m/>
  </r>
  <r>
    <n v="202208155"/>
    <x v="3"/>
    <s v="EUR"/>
    <x v="6"/>
    <x v="40"/>
    <d v="2022-08-21T00:00:00"/>
    <d v="2022-08-21T00:00:00"/>
    <n v="-5.96"/>
    <n v="5.96"/>
    <m/>
    <s v="Action 1325 Panningen"/>
    <s v="UIT"/>
    <s v="DIV"/>
    <s v="div"/>
    <s v="bc"/>
    <m/>
    <m/>
    <m/>
    <m/>
    <m/>
    <s v="Betaalautomaat 14:49 pasnr. 032"/>
    <s v=" "/>
    <m/>
    <m/>
  </r>
  <r>
    <n v="202208156"/>
    <x v="3"/>
    <s v="EUR"/>
    <x v="6"/>
    <x v="40"/>
    <d v="2022-08-21T00:00:00"/>
    <d v="2022-08-21T00:00:00"/>
    <n v="-3.38"/>
    <n v="3.38"/>
    <m/>
    <s v="Action 1325 Panningen"/>
    <s v="UIT"/>
    <s v="DIV"/>
    <s v="div"/>
    <s v="bc"/>
    <m/>
    <m/>
    <m/>
    <m/>
    <m/>
    <s v="Betaalautomaat 14:56 pasnr. 032"/>
    <s v=" "/>
    <m/>
    <m/>
  </r>
  <r>
    <n v="202208158"/>
    <x v="3"/>
    <s v="EUR"/>
    <x v="6"/>
    <x v="40"/>
    <d v="2022-08-21T00:00:00"/>
    <d v="2022-08-21T00:00:00"/>
    <n v="20"/>
    <n v="20"/>
    <s v="NL13ABNA0506417344"/>
    <s v="AAB INZ TIKKIE div"/>
    <s v="UIT"/>
    <s v="DIV"/>
    <s v="div"/>
    <s v="cb"/>
    <m/>
    <m/>
    <m/>
    <m/>
    <m/>
    <s v="Tikkie ID 000508203613, Div, Van A.M.H. Pennings eo, NL08RABO0105021423"/>
    <s v=" "/>
    <m/>
    <m/>
  </r>
  <r>
    <n v="202208162"/>
    <x v="3"/>
    <s v="EUR"/>
    <x v="6"/>
    <x v="40"/>
    <d v="2022-08-23T00:00:00"/>
    <d v="2022-08-23T00:00:00"/>
    <n v="-15.45"/>
    <n v="15.45"/>
    <m/>
    <s v="Spar Enjoy Schatberg SEVENUM"/>
    <s v="UIT"/>
    <s v="DIV"/>
    <s v="repre"/>
    <s v="bc"/>
    <m/>
    <m/>
    <m/>
    <m/>
    <m/>
    <s v="Betaalautomaat 09:59 pasnr. 032"/>
    <s v=" "/>
    <m/>
    <m/>
  </r>
  <r>
    <n v="202208184"/>
    <x v="0"/>
    <m/>
    <x v="6"/>
    <x v="40"/>
    <d v="2022-08-18T00:00:00"/>
    <d v="2022-08-18T00:00:00"/>
    <n v="-1.72"/>
    <n v="1.72"/>
    <m/>
    <s v="Koersopslag"/>
    <s v="UIT"/>
    <s v="DIV"/>
    <s v="koersverschillen"/>
    <m/>
    <m/>
    <m/>
    <m/>
    <m/>
    <m/>
    <m/>
    <m/>
    <m/>
    <m/>
  </r>
  <r>
    <n v="202208514"/>
    <x v="5"/>
    <m/>
    <x v="6"/>
    <x v="40"/>
    <d v="2022-08-10T00:00:00"/>
    <d v="2022-08-10T00:00:00"/>
    <n v="-5"/>
    <n v="5"/>
    <m/>
    <s v="fiets"/>
    <s v="UIT"/>
    <s v="DIV"/>
    <s v="div"/>
    <m/>
    <m/>
    <m/>
    <m/>
    <m/>
    <m/>
    <m/>
    <m/>
    <m/>
    <m/>
  </r>
  <r>
    <n v="202210005"/>
    <x v="3"/>
    <s v="EUR"/>
    <x v="6"/>
    <x v="40"/>
    <d v="2022-08-29T00:00:00"/>
    <d v="2022-08-29T00:00:00"/>
    <n v="-0.46"/>
    <n v="0.46"/>
    <m/>
    <s v="Action 1325 Panningen"/>
    <s v="UIT"/>
    <s v="DIV"/>
    <s v="div"/>
    <s v="bc"/>
    <m/>
    <m/>
    <m/>
    <m/>
    <m/>
    <s v="Betaalautomaat 14:53 pasnr. 032"/>
    <s v=" "/>
    <m/>
    <m/>
  </r>
  <r>
    <n v="202210013"/>
    <x v="3"/>
    <s v="EUR"/>
    <x v="6"/>
    <x v="73"/>
    <d v="2022-09-03T00:00:00"/>
    <d v="2022-09-03T00:00:00"/>
    <n v="-6.62"/>
    <n v="6.62"/>
    <m/>
    <s v="Action 1152 Sevenum"/>
    <s v="UIT"/>
    <s v="DIV"/>
    <s v="div"/>
    <s v="bc"/>
    <m/>
    <m/>
    <m/>
    <m/>
    <m/>
    <s v="Betaalautomaat 14:16 pasnr. 032"/>
    <s v=" "/>
    <m/>
    <m/>
  </r>
  <r>
    <n v="202210023"/>
    <x v="3"/>
    <s v="EUR"/>
    <x v="6"/>
    <x v="73"/>
    <d v="2022-09-07T00:00:00"/>
    <d v="2022-09-07T00:00:00"/>
    <n v="-0.46"/>
    <n v="0.46"/>
    <m/>
    <s v="Action 1095 Horst"/>
    <s v="UIT"/>
    <s v="DIV"/>
    <s v="div"/>
    <s v="bc"/>
    <m/>
    <m/>
    <m/>
    <m/>
    <m/>
    <s v="Betaalautomaat 16:00 pasnr. 032"/>
    <s v=" "/>
    <m/>
    <m/>
  </r>
  <r>
    <n v="202210039"/>
    <x v="3"/>
    <s v="EUR"/>
    <x v="6"/>
    <x v="73"/>
    <d v="2022-09-21T00:00:00"/>
    <d v="2022-09-21T00:00:00"/>
    <n v="-0.46"/>
    <n v="0.46"/>
    <m/>
    <s v="Action 1325 Panningen"/>
    <s v="UIT"/>
    <s v="DIV"/>
    <s v="div"/>
    <s v="bc"/>
    <m/>
    <m/>
    <m/>
    <m/>
    <m/>
    <s v="Betaalautomaat 15:17 pasnr. 032"/>
    <s v=" "/>
    <m/>
    <m/>
  </r>
  <r>
    <n v="202210050"/>
    <x v="3"/>
    <s v="EUR"/>
    <x v="6"/>
    <x v="34"/>
    <d v="2022-10-01T00:00:00"/>
    <d v="2022-10-01T00:00:00"/>
    <n v="-0.7"/>
    <n v="0.7"/>
    <m/>
    <s v="Sanifair WC Anlage Utrecht"/>
    <s v="UIT"/>
    <s v="DIV"/>
    <s v="div"/>
    <s v="bc"/>
    <m/>
    <m/>
    <m/>
    <m/>
    <m/>
    <s v="Betaalautomaat 12:56 pasnr. 032"/>
    <s v=" "/>
    <m/>
    <m/>
  </r>
  <r>
    <n v="202301005"/>
    <x v="3"/>
    <s v="EUR"/>
    <x v="6"/>
    <x v="34"/>
    <d v="2022-10-03T00:00:00"/>
    <d v="2022-10-03T00:00:00"/>
    <n v="-0.64"/>
    <m/>
    <m/>
    <s v="Action 1072 Stadskanaal"/>
    <s v="UIT"/>
    <s v="DIV"/>
    <s v="div"/>
    <s v="bc"/>
    <m/>
    <m/>
    <m/>
    <m/>
    <m/>
    <s v="Betaalautomaat 13:01 pasnr. 032"/>
    <s v=" "/>
    <m/>
    <m/>
  </r>
  <r>
    <n v="202301009"/>
    <x v="3"/>
    <s v="EUR"/>
    <x v="6"/>
    <x v="34"/>
    <d v="2022-10-05T00:00:00"/>
    <d v="2022-10-05T00:00:00"/>
    <n v="-5"/>
    <m/>
    <m/>
    <s v="SumUp  *Kringloop hett Musselkanaal"/>
    <s v="UIT"/>
    <s v="DIV"/>
    <s v="div"/>
    <s v="ba"/>
    <m/>
    <m/>
    <m/>
    <m/>
    <m/>
    <s v="Betaalautomaat 16:05 pasnr. 032"/>
    <s v=" "/>
    <m/>
    <m/>
  </r>
  <r>
    <n v="202301019"/>
    <x v="3"/>
    <s v="EUR"/>
    <x v="6"/>
    <x v="34"/>
    <d v="2022-10-10T00:00:00"/>
    <d v="2022-10-10T00:00:00"/>
    <n v="3.9"/>
    <m/>
    <s v="NL06DEUT0265186447"/>
    <s v="STICHTING DERDENGELDEN BUCKAROO"/>
    <s v="IN"/>
    <s v="DIV"/>
    <s v="div"/>
    <s v="cb"/>
    <m/>
    <s v="YN2DF7GFJKC1PDCXOPKE"/>
    <m/>
    <m/>
    <m/>
    <s v="DNR: FRBGTQT - NS International - BuckID: YN2DF7GFJKC1PDCXOPKE"/>
    <s v=" "/>
    <m/>
    <m/>
  </r>
  <r>
    <n v="202301047"/>
    <x v="3"/>
    <s v="EUR"/>
    <x v="6"/>
    <x v="35"/>
    <d v="2022-11-03T00:00:00"/>
    <d v="2022-11-03T00:00:00"/>
    <n v="-0.95"/>
    <m/>
    <m/>
    <s v="Action 1072 Stadskanaal"/>
    <s v="UIT"/>
    <s v="DIV"/>
    <s v="div"/>
    <s v="bc"/>
    <m/>
    <m/>
    <m/>
    <m/>
    <m/>
    <s v="Betaalautomaat 15:14 pasnr. 032"/>
    <s v=" "/>
    <m/>
    <m/>
  </r>
  <r>
    <n v="202301071"/>
    <x v="3"/>
    <s v="EUR"/>
    <x v="6"/>
    <x v="35"/>
    <d v="2022-11-21T00:00:00"/>
    <d v="2022-11-21T00:00:00"/>
    <n v="1.8"/>
    <m/>
    <s v="LU27999000135104200E"/>
    <s v="PayPal Europe S.a.r.l. et Cie S.C.A"/>
    <s v="IN"/>
    <s v="DIV"/>
    <s v="div"/>
    <s v="cb"/>
    <m/>
    <s v="YYW1023578818886"/>
    <m/>
    <m/>
    <m/>
    <s v="YYW1023578818886 0 PAYPAL"/>
    <s v=" "/>
    <m/>
    <m/>
  </r>
  <r>
    <n v="202301072"/>
    <x v="3"/>
    <s v="EUR"/>
    <x v="6"/>
    <x v="35"/>
    <d v="2022-11-21T00:00:00"/>
    <d v="2022-11-21T00:00:00"/>
    <n v="14.05"/>
    <m/>
    <s v="LU27999000135104200E"/>
    <s v="PayPal Europe S.a.r.l. et Cie S.C.A"/>
    <s v="IN"/>
    <s v="DIV"/>
    <s v="div"/>
    <s v="cb"/>
    <m/>
    <s v="YYW1023578810307"/>
    <m/>
    <m/>
    <m/>
    <s v="YYW1023578810307 0 PAYPAL"/>
    <s v=" "/>
    <m/>
    <m/>
  </r>
  <r>
    <n v="202301073"/>
    <x v="3"/>
    <s v="EUR"/>
    <x v="6"/>
    <x v="35"/>
    <d v="2022-11-22T00:00:00"/>
    <d v="2022-11-22T00:00:00"/>
    <n v="-6"/>
    <m/>
    <s v="NL73RABO0325301433"/>
    <s v="Rabo Betaalverzoek"/>
    <s v="UIT"/>
    <s v="DIV"/>
    <s v="DIV"/>
    <s v="id"/>
    <m/>
    <s v="22-11-2022 04:21 0020007458679776"/>
    <m/>
    <m/>
    <m/>
    <s v="NL16RABO0149652143 0020007458679776 L.A. van der Cammen:Simkaart: x4934 pasnr.032"/>
    <s v=" "/>
    <m/>
    <m/>
  </r>
  <r>
    <n v="202301092"/>
    <x v="3"/>
    <s v="EUR"/>
    <x v="6"/>
    <x v="33"/>
    <d v="2022-12-25T00:00:00"/>
    <d v="2022-12-25T00:00:00"/>
    <n v="-100"/>
    <m/>
    <s v="NL27RABO0343552132"/>
    <s v="RL Smit"/>
    <s v="UIT"/>
    <s v="DIV"/>
    <s v="repre"/>
    <s v="bg"/>
    <m/>
    <m/>
    <m/>
    <m/>
    <m/>
    <s v="Kerstkado pa en ma"/>
    <s v=" "/>
    <m/>
    <m/>
  </r>
  <r>
    <n v="202301101"/>
    <x v="8"/>
    <s v="EUR"/>
    <x v="0"/>
    <x v="42"/>
    <d v="2023-01-01T00:00:00"/>
    <d v="2023-01-01T00:00:00"/>
    <n v="2.7"/>
    <m/>
    <n v="0"/>
    <m/>
    <s v="IN"/>
    <s v="DIV"/>
    <s v="rente"/>
    <s v="db"/>
    <m/>
    <m/>
    <m/>
    <m/>
    <m/>
    <s v="Rente over periode                 01-01-2022 t/m 31-12-2022            "/>
    <s v="   "/>
    <m/>
    <m/>
  </r>
  <r>
    <n v="202301110"/>
    <x v="0"/>
    <m/>
    <x v="6"/>
    <x v="34"/>
    <d v="2022-10-17T00:00:00"/>
    <m/>
    <n v="-0.54"/>
    <m/>
    <m/>
    <s v="Koersopslag"/>
    <s v="UIT"/>
    <s v="DIV"/>
    <s v="koersverschillen"/>
    <m/>
    <m/>
    <m/>
    <m/>
    <m/>
    <m/>
    <m/>
    <m/>
    <m/>
    <m/>
  </r>
  <r>
    <n v="202301113"/>
    <x v="0"/>
    <m/>
    <x v="6"/>
    <x v="34"/>
    <d v="2022-10-29T00:00:00"/>
    <m/>
    <n v="-12.37"/>
    <m/>
    <m/>
    <s v="Koersopslag"/>
    <s v="UIT"/>
    <s v="DIV"/>
    <s v="koersverschillen"/>
    <m/>
    <m/>
    <m/>
    <m/>
    <m/>
    <m/>
    <m/>
    <m/>
    <m/>
    <m/>
  </r>
  <r>
    <n v="202301116"/>
    <x v="0"/>
    <m/>
    <x v="6"/>
    <x v="35"/>
    <d v="2022-11-08T00:00:00"/>
    <m/>
    <n v="-0.06"/>
    <m/>
    <m/>
    <s v="Koersopslag"/>
    <s v="UIT"/>
    <s v="DIV"/>
    <s v="koersverschillen"/>
    <m/>
    <m/>
    <m/>
    <m/>
    <m/>
    <m/>
    <m/>
    <m/>
    <m/>
    <m/>
  </r>
  <r>
    <n v="202301118"/>
    <x v="0"/>
    <m/>
    <x v="6"/>
    <x v="35"/>
    <d v="2022-11-08T00:00:00"/>
    <m/>
    <n v="-0.11"/>
    <m/>
    <m/>
    <s v="Koersopslag"/>
    <s v="UIT"/>
    <s v="DIV"/>
    <s v="koersverschillen"/>
    <m/>
    <m/>
    <m/>
    <m/>
    <m/>
    <m/>
    <m/>
    <m/>
    <m/>
    <m/>
  </r>
  <r>
    <n v="202301121"/>
    <x v="0"/>
    <m/>
    <x v="6"/>
    <x v="35"/>
    <d v="2022-11-29T00:00:00"/>
    <m/>
    <n v="-3.39"/>
    <m/>
    <m/>
    <s v="PAYPAL *LAURABONINI8     35314369001  NLD"/>
    <s v="UIT"/>
    <s v="DIV"/>
    <s v="div"/>
    <m/>
    <m/>
    <m/>
    <m/>
    <m/>
    <m/>
    <m/>
    <m/>
    <m/>
    <m/>
  </r>
  <r>
    <n v="202301122"/>
    <x v="0"/>
    <m/>
    <x v="6"/>
    <x v="33"/>
    <d v="2022-12-03T00:00:00"/>
    <m/>
    <n v="-3.49"/>
    <m/>
    <m/>
    <s v="PAYPAL *GOOGLE PRISMA    35314369001  IRL"/>
    <s v="UIT"/>
    <s v="DIV"/>
    <s v="playstore"/>
    <m/>
    <m/>
    <m/>
    <m/>
    <m/>
    <m/>
    <m/>
    <m/>
    <m/>
    <m/>
  </r>
  <r>
    <n v="202301124"/>
    <x v="0"/>
    <m/>
    <x v="6"/>
    <x v="33"/>
    <d v="2022-12-06T00:00:00"/>
    <m/>
    <n v="-4.6900000000000004"/>
    <m/>
    <m/>
    <s v="PAYPAL *GOOGLE PRISMA    35314369001  IRL"/>
    <s v="UIT"/>
    <s v="DIV"/>
    <s v="playstore"/>
    <m/>
    <m/>
    <m/>
    <m/>
    <m/>
    <m/>
    <m/>
    <m/>
    <m/>
    <m/>
  </r>
  <r>
    <n v="202301125"/>
    <x v="0"/>
    <m/>
    <x v="6"/>
    <x v="33"/>
    <d v="2022-12-15T00:00:00"/>
    <m/>
    <n v="-3.54"/>
    <m/>
    <m/>
    <s v="Amazon Downl*1Z49A9814   866-2161072  LUX"/>
    <s v="UIT"/>
    <s v="DIV"/>
    <s v="boeken"/>
    <m/>
    <m/>
    <m/>
    <m/>
    <m/>
    <m/>
    <m/>
    <m/>
    <m/>
    <m/>
  </r>
  <r>
    <n v="202301133"/>
    <x v="6"/>
    <m/>
    <x v="6"/>
    <x v="34"/>
    <d v="2022-10-11T19:17:07"/>
    <m/>
    <n v="10"/>
    <m/>
    <m/>
    <s v="Promo AFF_CREDITCARDNL_EUR"/>
    <s v="IN"/>
    <s v="DIV"/>
    <s v="div"/>
    <m/>
    <m/>
    <m/>
    <m/>
    <m/>
    <m/>
    <m/>
    <m/>
    <m/>
    <m/>
  </r>
  <r>
    <n v="202301146"/>
    <x v="6"/>
    <m/>
    <x v="6"/>
    <x v="33"/>
    <d v="2022-12-31T12:30:56"/>
    <m/>
    <n v="-4.7300000000000004"/>
    <m/>
    <m/>
    <s v="buymeacoffee,com"/>
    <s v="UIT"/>
    <s v="DIV"/>
    <s v="repre"/>
    <m/>
    <m/>
    <m/>
    <m/>
    <m/>
    <m/>
    <m/>
    <m/>
    <m/>
    <m/>
  </r>
  <r>
    <n v="202301154"/>
    <x v="5"/>
    <m/>
    <x v="6"/>
    <x v="34"/>
    <d v="2022-10-16T00:00:00"/>
    <m/>
    <n v="-9.9499999999999993"/>
    <m/>
    <m/>
    <s v="Pasfotos"/>
    <s v="UIT"/>
    <s v="DIV"/>
    <s v="div"/>
    <m/>
    <m/>
    <m/>
    <m/>
    <m/>
    <m/>
    <m/>
    <m/>
    <m/>
    <m/>
  </r>
  <r>
    <n v="202301157"/>
    <x v="5"/>
    <m/>
    <x v="6"/>
    <x v="34"/>
    <d v="2022-10-17T00:00:00"/>
    <m/>
    <n v="-7.0000000000000007E-2"/>
    <m/>
    <m/>
    <s v="kastekort"/>
    <s v="UIT"/>
    <s v="DIV"/>
    <s v="kasverschil"/>
    <m/>
    <m/>
    <m/>
    <m/>
    <m/>
    <m/>
    <m/>
    <m/>
    <m/>
    <m/>
  </r>
  <r>
    <n v="202301180"/>
    <x v="5"/>
    <m/>
    <x v="6"/>
    <x v="34"/>
    <d v="2022-10-24T00:00:00"/>
    <m/>
    <n v="-11.5"/>
    <m/>
    <m/>
    <s v="kastekort"/>
    <s v="UIT"/>
    <s v="DIV"/>
    <s v="kasverschil"/>
    <m/>
    <m/>
    <m/>
    <m/>
    <m/>
    <m/>
    <m/>
    <m/>
    <m/>
    <m/>
  </r>
  <r>
    <n v="202305022"/>
    <x v="3"/>
    <s v="EUR"/>
    <x v="0"/>
    <x v="0"/>
    <d v="2023-02-17T00:00:00"/>
    <d v="2023-02-20T00:00:00"/>
    <n v="-0.01"/>
    <n v="257.74"/>
    <s v="NL51DEUT0265262461"/>
    <s v="Belsimpel / Gomibo via Mollie"/>
    <s v="UIT"/>
    <s v="DIV"/>
    <s v="div"/>
    <n v="257.74"/>
    <m/>
    <s v="17-02-2023 16:41 1150013194076206"/>
    <m/>
    <m/>
    <m/>
    <s v="M11266477MFTA5AD 1150013194076206 bestelling 31510551657 belsimpel.nl x4934 pasnr.032"/>
    <s v=" "/>
    <m/>
    <m/>
  </r>
  <r>
    <n v="202305034"/>
    <x v="3"/>
    <s v="EUR"/>
    <x v="0"/>
    <x v="0"/>
    <d v="2023-02-28T00:00:00"/>
    <d v="2023-02-28T00:00:00"/>
    <n v="-7.55"/>
    <n v="162.94999999999999"/>
    <m/>
    <s v="Action 1325 Panningen"/>
    <s v="UIT"/>
    <s v="DIV"/>
    <s v="div"/>
    <n v="162.94999999999999"/>
    <m/>
    <m/>
    <m/>
    <m/>
    <m/>
    <s v="Betaalautomaat 12:22 pasnr. 032"/>
    <s v=" "/>
    <m/>
    <m/>
  </r>
  <r>
    <n v="202305044"/>
    <x v="3"/>
    <s v="EUR"/>
    <x v="0"/>
    <x v="74"/>
    <d v="2023-03-06T00:00:00"/>
    <d v="2023-03-07T00:00:00"/>
    <n v="-21.74"/>
    <n v="368.89"/>
    <s v="NL27INGB0000026500"/>
    <s v="bol.com b.v. - CO melder"/>
    <s v="UIT"/>
    <s v="DIV"/>
    <s v="div"/>
    <n v="368.89"/>
    <m/>
    <s v="06-03-2023 21:52 0051100265386044"/>
    <m/>
    <m/>
    <m/>
    <s v="1566114700 0051100265386044 bol.com ref 1566114700 bol.com x4934 pasnr.032"/>
    <s v=" "/>
    <m/>
    <m/>
  </r>
  <r>
    <n v="202305051"/>
    <x v="3"/>
    <s v="EUR"/>
    <x v="0"/>
    <x v="74"/>
    <d v="2023-03-18T00:00:00"/>
    <d v="2023-03-18T00:00:00"/>
    <n v="-5.99"/>
    <n v="276.89"/>
    <m/>
    <s v="Primera Aarle Rixtel AARLE-RIXTEL kadootje kleinkind henriette"/>
    <s v="UIT"/>
    <s v="DIV"/>
    <s v="repre"/>
    <n v="276.89"/>
    <m/>
    <m/>
    <m/>
    <m/>
    <m/>
    <s v="Betaalautomaat 14:26 pasnr. 032"/>
    <s v=" "/>
    <m/>
    <m/>
  </r>
  <r>
    <n v="202305058"/>
    <x v="3"/>
    <s v="EUR"/>
    <x v="0"/>
    <x v="74"/>
    <d v="2023-03-25T00:00:00"/>
    <d v="2023-03-25T00:00:00"/>
    <n v="-11.33"/>
    <n v="380.39"/>
    <m/>
    <s v="Action 1152 Sevenum"/>
    <s v="UIT"/>
    <s v="DIV"/>
    <s v="div"/>
    <n v="380.39"/>
    <m/>
    <m/>
    <m/>
    <m/>
    <m/>
    <s v="Betaalautomaat 11:35 pasnr. 032"/>
    <s v=" "/>
    <m/>
    <m/>
  </r>
  <r>
    <n v="202305062"/>
    <x v="3"/>
    <s v="EUR"/>
    <x v="0"/>
    <x v="74"/>
    <d v="2023-03-29T00:00:00"/>
    <d v="2023-03-29T00:00:00"/>
    <n v="-36.65"/>
    <n v="295.27"/>
    <m/>
    <s v="CCV*VAN CRANENBROEK BUDEL gitaar en wat kleding"/>
    <s v="UIT"/>
    <s v="DIV"/>
    <s v="div"/>
    <n v="295.27"/>
    <m/>
    <m/>
    <m/>
    <m/>
    <m/>
    <s v="Betaalautomaat 15:22 pasnr. 032"/>
    <s v=" "/>
    <m/>
    <m/>
  </r>
  <r>
    <n v="202305074"/>
    <x v="3"/>
    <s v="EUR"/>
    <x v="0"/>
    <x v="75"/>
    <d v="2023-04-12T00:00:00"/>
    <d v="2023-04-12T00:00:00"/>
    <n v="-9"/>
    <n v="50.51"/>
    <m/>
    <s v="Allerhande Panningen PANNINGEN"/>
    <s v="UIT"/>
    <s v="DIV"/>
    <s v="div"/>
    <n v="50.51"/>
    <m/>
    <m/>
    <m/>
    <m/>
    <m/>
    <s v="Betaalautomaat 13:32 pasnr. 032"/>
    <s v=" "/>
    <m/>
    <m/>
  </r>
  <r>
    <n v="202305076"/>
    <x v="3"/>
    <s v="EUR"/>
    <x v="0"/>
    <x v="75"/>
    <d v="2023-04-12T00:00:00"/>
    <d v="2023-04-12T00:00:00"/>
    <n v="-8.2200000000000006"/>
    <n v="24.17"/>
    <m/>
    <s v="Action 1325 Panningen"/>
    <s v="UIT"/>
    <s v="DIV"/>
    <s v="div"/>
    <n v="24.17"/>
    <m/>
    <m/>
    <m/>
    <m/>
    <m/>
    <s v="Betaalautomaat 12:05 pasnr. 032"/>
    <s v=" "/>
    <m/>
    <m/>
  </r>
  <r>
    <n v="202305077"/>
    <x v="3"/>
    <s v="EUR"/>
    <x v="0"/>
    <x v="75"/>
    <d v="2023-04-12T00:00:00"/>
    <d v="2023-04-12T00:00:00"/>
    <n v="-4.97"/>
    <n v="19.2"/>
    <m/>
    <s v="Action 1325 Panningen"/>
    <s v="UIT"/>
    <s v="DIV"/>
    <s v="div"/>
    <n v="19.2"/>
    <m/>
    <m/>
    <m/>
    <m/>
    <m/>
    <s v="Betaalautomaat 12:05 pasnr. 032"/>
    <s v=" "/>
    <m/>
    <m/>
  </r>
  <r>
    <n v="202305086"/>
    <x v="3"/>
    <s v="EUR"/>
    <x v="0"/>
    <x v="75"/>
    <d v="2023-04-19T00:00:00"/>
    <d v="2023-04-19T00:00:00"/>
    <n v="-1.2"/>
    <n v="107.91"/>
    <m/>
    <s v="kringlp oud en nieuw SEVENUM"/>
    <s v="UIT"/>
    <s v="DIV"/>
    <s v="div"/>
    <n v="107.91"/>
    <m/>
    <m/>
    <m/>
    <m/>
    <m/>
    <s v="Betaalautomaat 13:50 pasnr. 032"/>
    <s v=" "/>
    <m/>
    <m/>
  </r>
  <r>
    <n v="202305087"/>
    <x v="3"/>
    <s v="EUR"/>
    <x v="0"/>
    <x v="75"/>
    <d v="2023-04-19T00:00:00"/>
    <d v="2023-04-19T00:00:00"/>
    <n v="-1.5"/>
    <n v="106.41"/>
    <m/>
    <s v="ROZEMARIJN EN THIJM VENLO"/>
    <s v="UIT"/>
    <s v="DIV"/>
    <s v="div"/>
    <n v="106.41"/>
    <m/>
    <m/>
    <m/>
    <m/>
    <m/>
    <s v="Betaalautomaat 14:40 pasnr. 032"/>
    <s v=" "/>
    <m/>
    <m/>
  </r>
  <r>
    <n v="202305090"/>
    <x v="3"/>
    <s v="EUR"/>
    <x v="0"/>
    <x v="75"/>
    <d v="2023-04-19T00:00:00"/>
    <d v="2023-04-19T00:00:00"/>
    <n v="-1.62"/>
    <n v="82.81"/>
    <m/>
    <s v="Xenos Venlo 0029 VENLO"/>
    <s v="UIT"/>
    <s v="DIV"/>
    <s v="div"/>
    <n v="82.81"/>
    <m/>
    <m/>
    <m/>
    <m/>
    <m/>
    <s v="Betaalautomaat 16:22 pasnr. 032"/>
    <s v=" "/>
    <m/>
    <m/>
  </r>
  <r>
    <n v="202305091"/>
    <x v="3"/>
    <s v="EUR"/>
    <x v="0"/>
    <x v="75"/>
    <d v="2023-04-19T00:00:00"/>
    <d v="2023-04-19T00:00:00"/>
    <n v="-7.64"/>
    <n v="75.17"/>
    <m/>
    <s v="Action 1102 Venlo"/>
    <s v="UIT"/>
    <s v="DIV"/>
    <s v="div"/>
    <n v="75.17"/>
    <m/>
    <m/>
    <m/>
    <m/>
    <m/>
    <s v="Betaalautomaat 14:49 pasnr. 032"/>
    <s v=" "/>
    <m/>
    <m/>
  </r>
  <r>
    <n v="202305095"/>
    <x v="3"/>
    <s v="EUR"/>
    <x v="0"/>
    <x v="75"/>
    <d v="2023-04-21T00:00:00"/>
    <d v="2023-04-21T00:00:00"/>
    <n v="-9.25"/>
    <n v="195.81"/>
    <m/>
    <s v="Allerhande Panningen PANNINGEN"/>
    <s v="UIT"/>
    <s v="DIV"/>
    <s v="div"/>
    <n v="195.81"/>
    <m/>
    <m/>
    <m/>
    <m/>
    <m/>
    <s v="Betaalautomaat 16:01 pasnr. 032"/>
    <s v=" "/>
    <m/>
    <m/>
  </r>
  <r>
    <n v="202305096"/>
    <x v="3"/>
    <s v="EUR"/>
    <x v="0"/>
    <x v="75"/>
    <d v="2023-04-21T00:00:00"/>
    <d v="2023-04-21T00:00:00"/>
    <n v="-1.78"/>
    <n v="194.03"/>
    <m/>
    <s v="Action 1325 Panningen"/>
    <s v="UIT"/>
    <s v="DIV"/>
    <s v="div"/>
    <n v="194.03"/>
    <m/>
    <m/>
    <m/>
    <m/>
    <m/>
    <s v="Betaalautomaat 15:10 pasnr. 032"/>
    <s v=" "/>
    <m/>
    <m/>
  </r>
  <r>
    <n v="202305097"/>
    <x v="3"/>
    <s v="EUR"/>
    <x v="0"/>
    <x v="75"/>
    <d v="2023-04-21T00:00:00"/>
    <d v="2023-04-21T00:00:00"/>
    <n v="-0.49"/>
    <n v="193.54"/>
    <m/>
    <s v="Action 1325 Panningen"/>
    <s v="UIT"/>
    <s v="DIV"/>
    <s v="div"/>
    <n v="193.54"/>
    <m/>
    <m/>
    <m/>
    <m/>
    <m/>
    <s v="Betaalautomaat 15:14 pasnr. 032"/>
    <s v=" "/>
    <m/>
    <m/>
  </r>
  <r>
    <n v="202305098"/>
    <x v="3"/>
    <s v="EUR"/>
    <x v="0"/>
    <x v="75"/>
    <d v="2023-04-21T00:00:00"/>
    <d v="2023-04-21T00:00:00"/>
    <n v="-2.78"/>
    <n v="190.76"/>
    <m/>
    <s v="Kruidvat 3123 PANNINGEN"/>
    <s v="UIT"/>
    <s v="DIV"/>
    <s v="div"/>
    <n v="190.76"/>
    <m/>
    <m/>
    <m/>
    <m/>
    <m/>
    <s v="Betaalautomaat 17:26 pasnr. 032"/>
    <s v=" "/>
    <m/>
    <m/>
  </r>
  <r>
    <n v="202305103"/>
    <x v="3"/>
    <s v="EUR"/>
    <x v="0"/>
    <x v="75"/>
    <d v="2023-04-26T00:00:00"/>
    <d v="2023-04-26T00:00:00"/>
    <n v="-1.5"/>
    <n v="558.75"/>
    <m/>
    <s v="Stg. De Bibliotheek REUVER"/>
    <s v="UIT"/>
    <s v="DIV"/>
    <s v="div"/>
    <n v="558.75"/>
    <m/>
    <m/>
    <m/>
    <m/>
    <m/>
    <s v="Betaalautomaat 15:32 pasnr. 032"/>
    <s v=" "/>
    <m/>
    <m/>
  </r>
  <r>
    <n v="202305104"/>
    <x v="3"/>
    <s v="EUR"/>
    <x v="0"/>
    <x v="75"/>
    <d v="2023-04-26T00:00:00"/>
    <d v="2023-04-26T00:00:00"/>
    <n v="-4.47"/>
    <n v="554.28"/>
    <m/>
    <s v="Kruidvat 3123 PANNINGEN"/>
    <s v="UIT"/>
    <s v="DIV"/>
    <s v="div"/>
    <n v="554.28"/>
    <m/>
    <m/>
    <m/>
    <m/>
    <m/>
    <s v="Betaalautomaat 15:54 pasnr. 032"/>
    <s v=" "/>
    <m/>
    <m/>
  </r>
  <r>
    <n v="202305105"/>
    <x v="3"/>
    <s v="EUR"/>
    <x v="0"/>
    <x v="75"/>
    <d v="2023-04-26T00:00:00"/>
    <d v="2023-04-26T00:00:00"/>
    <n v="-2.54"/>
    <n v="551.74"/>
    <m/>
    <s v="Action 1325 Panningen"/>
    <s v="UIT"/>
    <s v="DIV"/>
    <s v="div"/>
    <n v="551.74"/>
    <m/>
    <m/>
    <m/>
    <m/>
    <m/>
    <s v="Betaalautomaat 14:04 pasnr. 032"/>
    <s v=" "/>
    <m/>
    <m/>
  </r>
  <r>
    <n v="202305106"/>
    <x v="3"/>
    <s v="EUR"/>
    <x v="0"/>
    <x v="75"/>
    <d v="2023-04-26T00:00:00"/>
    <d v="2023-04-26T00:00:00"/>
    <n v="-4.99"/>
    <n v="546.75"/>
    <m/>
    <s v="Trekpleister 1522 PANNINGEN"/>
    <s v="UIT"/>
    <s v="DIV"/>
    <s v="div"/>
    <n v="546.75"/>
    <m/>
    <m/>
    <m/>
    <m/>
    <m/>
    <s v="Betaalautomaat 16:18 pasnr. 032"/>
    <s v=" "/>
    <m/>
    <m/>
  </r>
  <r>
    <n v="202305119"/>
    <x v="3"/>
    <s v="EUR"/>
    <x v="0"/>
    <x v="76"/>
    <d v="2023-05-03T00:00:00"/>
    <d v="2023-05-03T00:00:00"/>
    <n v="-17.41"/>
    <n v="258.95999999999998"/>
    <m/>
    <s v="Action 1152 Sevenum"/>
    <s v="UIT"/>
    <s v="DIV"/>
    <s v="div"/>
    <n v="258.95999999999998"/>
    <m/>
    <m/>
    <m/>
    <m/>
    <m/>
    <s v="Betaalautomaat 14:02 pasnr. 032"/>
    <s v=" "/>
    <m/>
    <m/>
  </r>
  <r>
    <n v="202305120"/>
    <x v="3"/>
    <s v="EUR"/>
    <x v="0"/>
    <x v="76"/>
    <d v="2023-05-03T00:00:00"/>
    <d v="2023-05-03T00:00:00"/>
    <n v="-12.46"/>
    <n v="246.5"/>
    <m/>
    <s v="Action 1152 Sevenum"/>
    <s v="UIT"/>
    <s v="DIV"/>
    <s v="div"/>
    <n v="246.5"/>
    <m/>
    <m/>
    <m/>
    <m/>
    <m/>
    <s v="Betaalautomaat 14:03 pasnr. 032"/>
    <s v=" "/>
    <m/>
    <m/>
  </r>
  <r>
    <n v="202305123"/>
    <x v="3"/>
    <s v="EUR"/>
    <x v="0"/>
    <x v="76"/>
    <d v="2023-05-06T00:00:00"/>
    <d v="2023-05-06T00:00:00"/>
    <n v="-10"/>
    <n v="216.53"/>
    <s v="NL13RABO0181015595"/>
    <s v="Rabo Betaalverzoek kofffer samsonite"/>
    <s v="UIT"/>
    <s v="DIV"/>
    <s v="DIV"/>
    <n v="216.53"/>
    <m/>
    <s v="06-05-2023 10:12 0020008185020024"/>
    <m/>
    <m/>
    <m/>
    <s v="NL08RABO0105021423 0020008185020024 A.M.H. Pennings eo H.T.B:Wordt tij: xui-80747085"/>
    <s v=" "/>
    <m/>
    <m/>
  </r>
  <r>
    <n v="202305124"/>
    <x v="3"/>
    <s v="EUR"/>
    <x v="0"/>
    <x v="76"/>
    <d v="2023-05-06T00:00:00"/>
    <d v="2023-05-06T00:00:00"/>
    <n v="-2.4300000000000002"/>
    <n v="214.1"/>
    <m/>
    <s v="Action 1325 Panningen"/>
    <s v="UIT"/>
    <s v="DIV"/>
    <s v="div"/>
    <n v="214.1"/>
    <m/>
    <m/>
    <m/>
    <m/>
    <m/>
    <s v="Betaalautomaat 14:34 pasnr. 032"/>
    <s v=" "/>
    <m/>
    <m/>
  </r>
  <r>
    <n v="202305125"/>
    <x v="3"/>
    <s v="EUR"/>
    <x v="0"/>
    <x v="76"/>
    <d v="2023-05-06T00:00:00"/>
    <d v="2023-05-06T00:00:00"/>
    <n v="-17.97"/>
    <n v="196.13"/>
    <m/>
    <s v="EP:Tummers Panningen PANNINGEN koptelefoon"/>
    <s v="UIT"/>
    <s v="DIV"/>
    <s v="div"/>
    <n v="196.13"/>
    <m/>
    <m/>
    <m/>
    <m/>
    <m/>
    <s v="Betaalautomaat 16:52 pasnr. 032"/>
    <s v=" "/>
    <m/>
    <m/>
  </r>
  <r>
    <n v="202305126"/>
    <x v="3"/>
    <s v="EUR"/>
    <x v="0"/>
    <x v="76"/>
    <d v="2023-05-06T00:00:00"/>
    <d v="2023-05-06T00:00:00"/>
    <n v="-0.69"/>
    <n v="195.44"/>
    <m/>
    <s v="Primera Panningen PANNINGEN"/>
    <s v="UIT"/>
    <s v="DIV"/>
    <s v="div"/>
    <n v="195.44"/>
    <m/>
    <m/>
    <m/>
    <m/>
    <m/>
    <s v="Betaalautomaat 16:56 pasnr. 032"/>
    <s v=" "/>
    <m/>
    <m/>
  </r>
  <r>
    <n v="202305129"/>
    <x v="3"/>
    <s v="EUR"/>
    <x v="0"/>
    <x v="76"/>
    <d v="2023-05-06T00:00:00"/>
    <d v="2023-05-08T00:00:00"/>
    <n v="-3.85"/>
    <n v="168.02"/>
    <s v="NL26INGB0006865503"/>
    <s v="Kamer van Koophandel via CCV Group BV"/>
    <s v="UIT"/>
    <s v="DIV"/>
    <s v="div"/>
    <n v="168.02"/>
    <m/>
    <s v="06-05-2023 08:16 0051100302599271"/>
    <m/>
    <m/>
    <m/>
    <s v="I230506221606625CB9CECD9NB 0051100302599271 Tegoed ophogen Kamer van Koophandel xui-80747085"/>
    <s v=" "/>
    <m/>
    <m/>
  </r>
  <r>
    <n v="202305130"/>
    <x v="3"/>
    <s v="EUR"/>
    <x v="0"/>
    <x v="76"/>
    <d v="2023-05-08T00:00:00"/>
    <d v="2023-05-08T00:00:00"/>
    <n v="-1"/>
    <n v="167.02"/>
    <m/>
    <s v="Stg. De Bibliotheek REUVER"/>
    <s v="UIT"/>
    <s v="DIV"/>
    <s v="div"/>
    <n v="167.02"/>
    <m/>
    <m/>
    <m/>
    <m/>
    <m/>
    <s v="Betaalautomaat 16:20 pasnr. 032"/>
    <s v=" "/>
    <m/>
    <m/>
  </r>
  <r>
    <n v="202305131"/>
    <x v="3"/>
    <s v="EUR"/>
    <x v="0"/>
    <x v="76"/>
    <d v="2023-05-08T00:00:00"/>
    <d v="2023-05-08T00:00:00"/>
    <n v="-1.99"/>
    <n v="165.03"/>
    <m/>
    <s v="Primera Panningen PANNINGEN"/>
    <s v="UIT"/>
    <s v="DIV"/>
    <s v="div"/>
    <n v="165.03"/>
    <m/>
    <m/>
    <m/>
    <m/>
    <m/>
    <s v="Betaalautomaat 17:08 pasnr. 032"/>
    <s v=" "/>
    <m/>
    <m/>
  </r>
  <r>
    <n v="202305132"/>
    <x v="3"/>
    <s v="EUR"/>
    <x v="0"/>
    <x v="76"/>
    <d v="2023-05-08T00:00:00"/>
    <d v="2023-05-08T00:00:00"/>
    <n v="-2.48"/>
    <n v="162.55000000000001"/>
    <m/>
    <s v="Kruidvat 3123 PANNINGEN"/>
    <s v="UIT"/>
    <s v="DIV"/>
    <s v="div"/>
    <n v="162.55000000000001"/>
    <m/>
    <m/>
    <m/>
    <m/>
    <m/>
    <s v="Betaalautomaat 17:22 pasnr. 032"/>
    <s v=" "/>
    <m/>
    <m/>
  </r>
  <r>
    <n v="202305148"/>
    <x v="0"/>
    <s v="EUR"/>
    <x v="0"/>
    <x v="0"/>
    <d v="2023-02-20T00:00:00"/>
    <m/>
    <n v="-0.02"/>
    <m/>
    <n v="-0.02"/>
    <s v="Koersopslag"/>
    <s v="UIT"/>
    <s v="DIV"/>
    <s v="koersverschillen"/>
    <m/>
    <m/>
    <m/>
    <m/>
    <m/>
    <m/>
    <m/>
    <m/>
    <m/>
    <m/>
  </r>
  <r>
    <n v="202305150"/>
    <x v="0"/>
    <s v="EUR"/>
    <x v="0"/>
    <x v="0"/>
    <d v="2023-02-20T00:00:00"/>
    <m/>
    <n v="-0.15"/>
    <m/>
    <n v="-0.15"/>
    <s v="Koersopslag"/>
    <s v="UIT"/>
    <s v="DIV"/>
    <s v="koersverschillen"/>
    <m/>
    <m/>
    <m/>
    <m/>
    <m/>
    <m/>
    <m/>
    <m/>
    <m/>
    <m/>
  </r>
  <r>
    <n v="202305163"/>
    <x v="7"/>
    <m/>
    <x v="0"/>
    <x v="76"/>
    <d v="2023-05-07T00:00:00"/>
    <m/>
    <n v="12.46"/>
    <m/>
    <m/>
    <s v="Iris Kocks TOTAAL 74,14 blender en haakjes"/>
    <s v="UIT"/>
    <s v="DIV"/>
    <s v="div"/>
    <m/>
    <m/>
    <m/>
    <m/>
    <m/>
    <m/>
    <m/>
    <m/>
    <m/>
    <m/>
  </r>
  <r>
    <n v="202305163"/>
    <x v="7"/>
    <m/>
    <x v="0"/>
    <x v="76"/>
    <d v="2023-05-07T00:00:00"/>
    <m/>
    <n v="1.88"/>
    <m/>
    <m/>
    <s v="Iris Kocks LOPENDE REKENING schrift+mok"/>
    <s v="UIT"/>
    <s v="DIV"/>
    <s v="div"/>
    <m/>
    <m/>
    <m/>
    <m/>
    <m/>
    <m/>
    <m/>
    <m/>
    <m/>
    <m/>
  </r>
  <r>
    <n v="421"/>
    <x v="3"/>
    <m/>
    <x v="1"/>
    <x v="77"/>
    <d v="2013-12-31T00:00:00"/>
    <d v="2017-05-16T00:00:00"/>
    <n v="659"/>
    <n v="659"/>
    <m/>
    <s v="BELASTINGDIENST 2013"/>
    <s v="IN"/>
    <s v="INKOMSTEN DIV"/>
    <s v="fiscus retour"/>
    <m/>
    <m/>
    <m/>
    <m/>
    <m/>
    <m/>
    <m/>
    <m/>
    <m/>
    <m/>
  </r>
  <r>
    <n v="422"/>
    <x v="3"/>
    <s v="fiscus retour"/>
    <x v="3"/>
    <x v="78"/>
    <d v="2013-12-31T00:00:00"/>
    <d v="2019-01-25T00:00:00"/>
    <n v="603"/>
    <n v="603"/>
    <m/>
    <s v="BELASTINGDIENST 2017"/>
    <s v="IN"/>
    <s v="INKOMSTEN DIV"/>
    <s v="fiscus retour"/>
    <m/>
    <m/>
    <m/>
    <m/>
    <m/>
    <m/>
    <m/>
    <m/>
    <m/>
    <m/>
  </r>
  <r>
    <n v="778"/>
    <x v="1"/>
    <m/>
    <x v="2"/>
    <x v="11"/>
    <d v="2018-10-09T00:00:00"/>
    <d v="2018-10-09T00:00:00"/>
    <n v="130.87"/>
    <n v="130.87"/>
    <m/>
    <s v="retour kiva"/>
    <s v="IN"/>
    <s v="INKOMSTEN DIV"/>
    <s v="retour kiva"/>
    <m/>
    <m/>
    <m/>
    <m/>
    <m/>
    <m/>
    <m/>
    <m/>
    <m/>
    <m/>
  </r>
  <r>
    <n v="791"/>
    <x v="1"/>
    <m/>
    <x v="2"/>
    <x v="7"/>
    <d v="2018-11-01T00:00:00"/>
    <d v="2018-11-01T00:00:00"/>
    <n v="96.15"/>
    <n v="96.15"/>
    <m/>
    <s v="retour residetape"/>
    <s v="IN"/>
    <s v="INKOMSTEN DIV"/>
    <s v="retour deposit"/>
    <m/>
    <m/>
    <m/>
    <m/>
    <m/>
    <m/>
    <m/>
    <m/>
    <m/>
    <m/>
  </r>
  <r>
    <n v="1202"/>
    <x v="3"/>
    <m/>
    <x v="2"/>
    <x v="49"/>
    <d v="2018-04-15T00:00:00"/>
    <d v="2018-04-15T00:00:00"/>
    <n v="32"/>
    <n v="32"/>
    <m/>
    <s v="belastingdienst 2018"/>
    <s v="IN"/>
    <s v="INKOMSTEN DIV"/>
    <s v="fiscus retour"/>
    <m/>
    <m/>
    <m/>
    <m/>
    <m/>
    <m/>
    <m/>
    <m/>
    <m/>
    <m/>
  </r>
  <r>
    <n v="1365"/>
    <x v="3"/>
    <m/>
    <x v="3"/>
    <x v="79"/>
    <d v="2018-12-31T00:00:00"/>
    <d v="2019-04-29T00:00:00"/>
    <n v="1116"/>
    <n v="1116"/>
    <m/>
    <s v="BELASTINGDIENST 2018"/>
    <s v="IN"/>
    <s v="INKOMSTEN DIV"/>
    <s v="fiscus retour"/>
    <m/>
    <m/>
    <m/>
    <m/>
    <m/>
    <m/>
    <m/>
    <m/>
    <m/>
    <m/>
  </r>
  <r>
    <n v="1487"/>
    <x v="5"/>
    <m/>
    <x v="3"/>
    <x v="14"/>
    <n v="43536"/>
    <n v="43536"/>
    <n v="100"/>
    <n v="100"/>
    <m/>
    <s v="kado ouders"/>
    <s v="IN"/>
    <s v="INKOMSTEN DIV"/>
    <s v="repre in"/>
    <m/>
    <m/>
    <m/>
    <m/>
    <m/>
    <m/>
    <m/>
    <m/>
    <m/>
    <m/>
  </r>
  <r>
    <n v="1673"/>
    <x v="3"/>
    <m/>
    <x v="3"/>
    <x v="13"/>
    <d v="2019-01-03T00:00:00"/>
    <d v="2019-01-03T00:00:00"/>
    <n v="0.1"/>
    <n v="0.1"/>
    <m/>
    <s v="Debetrente"/>
    <s v="IN"/>
    <s v="INKOMSTEN DIV"/>
    <s v="rente"/>
    <m/>
    <m/>
    <m/>
    <m/>
    <m/>
    <m/>
    <m/>
    <m/>
    <m/>
    <m/>
  </r>
  <r>
    <n v="1692"/>
    <x v="3"/>
    <m/>
    <x v="3"/>
    <x v="14"/>
    <d v="2019-03-02T00:00:00"/>
    <d v="2019-03-02T00:00:00"/>
    <n v="0.27"/>
    <n v="0.27"/>
    <m/>
    <s v="Debetrente"/>
    <s v="IN"/>
    <s v="INKOMSTEN DIV"/>
    <s v="rente"/>
    <m/>
    <m/>
    <m/>
    <m/>
    <m/>
    <m/>
    <m/>
    <m/>
    <m/>
    <m/>
  </r>
  <r>
    <n v="1824"/>
    <x v="3"/>
    <m/>
    <x v="3"/>
    <x v="54"/>
    <d v="2019-05-23T00:00:00"/>
    <d v="2019-05-23T00:00:00"/>
    <n v="26.91"/>
    <n v="26.91"/>
    <m/>
    <s v="STIPP"/>
    <s v="IN"/>
    <s v="INKOMSTEN DIV"/>
    <s v="pensioen"/>
    <m/>
    <m/>
    <m/>
    <m/>
    <m/>
    <m/>
    <m/>
    <m/>
    <m/>
    <m/>
  </r>
  <r>
    <n v="1894"/>
    <x v="3"/>
    <m/>
    <x v="3"/>
    <x v="18"/>
    <d v="2019-09-13T00:00:00"/>
    <d v="2019-09-13T00:00:00"/>
    <n v="7"/>
    <n v="7"/>
    <m/>
    <s v="BELASTINGDIENST"/>
    <s v="IN"/>
    <s v="INKOMSTEN DIV"/>
    <s v="fiscus retour"/>
    <m/>
    <m/>
    <m/>
    <m/>
    <m/>
    <m/>
    <m/>
    <m/>
    <m/>
    <m/>
  </r>
  <r>
    <n v="1901"/>
    <x v="3"/>
    <m/>
    <x v="3"/>
    <x v="18"/>
    <d v="2019-09-25T00:00:00"/>
    <d v="2019-09-25T00:00:00"/>
    <n v="9"/>
    <n v="9"/>
    <m/>
    <s v="BELASTINGDIENST"/>
    <s v="IN"/>
    <s v="INKOMSTEN DIV"/>
    <s v="fiscus retour"/>
    <m/>
    <m/>
    <m/>
    <m/>
    <m/>
    <m/>
    <m/>
    <m/>
    <m/>
    <m/>
  </r>
  <r>
    <n v="2107"/>
    <x v="5"/>
    <m/>
    <x v="4"/>
    <x v="58"/>
    <d v="2020-12-24T00:00:00"/>
    <d v="2020-12-24T00:00:00"/>
    <n v="150"/>
    <n v="150"/>
    <m/>
    <s v="cadeau ouders"/>
    <s v="IN"/>
    <s v="INKOMSTEN DIV"/>
    <s v="repre in"/>
    <m/>
    <m/>
    <m/>
    <m/>
    <m/>
    <m/>
    <m/>
    <m/>
    <m/>
    <m/>
  </r>
  <r>
    <n v="2213"/>
    <x v="3"/>
    <m/>
    <x v="4"/>
    <x v="56"/>
    <d v="2020-07-06T00:00:00"/>
    <d v="2020-07-06T00:00:00"/>
    <n v="250"/>
    <n v="250"/>
    <m/>
    <s v="SMIT W en/of SMIT-BRANDS W R F"/>
    <s v="IN"/>
    <s v="INKOMSTEN DIV"/>
    <s v="repre in"/>
    <m/>
    <s v="bekend"/>
    <s v="RBRBNL21"/>
    <s v="cb"/>
    <m/>
    <m/>
    <m/>
    <m/>
    <m/>
    <m/>
  </r>
  <r>
    <n v="2579"/>
    <x v="3"/>
    <m/>
    <x v="4"/>
    <x v="80"/>
    <d v="2020-12-31T00:00:00"/>
    <d v="2021-07-19T00:00:00"/>
    <n v="344"/>
    <n v="344"/>
    <s v="NL36INGB0003445588"/>
    <s v="BELASTINGDIENST 2020"/>
    <s v="IN"/>
    <s v="INKOMSTEN DIV"/>
    <s v="fiscus retour"/>
    <s v="INGBNL2A"/>
    <s v="cb"/>
    <m/>
    <s v="GVSXX20210714017151697"/>
    <m/>
    <m/>
    <m/>
    <s v="TERUGGAAF NR. 103261187H0601 IB/PVV 2020 (SMIT )"/>
    <s v=" "/>
    <m/>
  </r>
  <r>
    <n v="2580"/>
    <x v="8"/>
    <m/>
    <x v="4"/>
    <x v="20"/>
    <d v="2020-01-01T00:00:00"/>
    <d v="2020-01-01T00:00:00"/>
    <n v="1.23"/>
    <n v="1.23"/>
    <m/>
    <s v="RABOBANK NEDERLAND"/>
    <s v="IN"/>
    <s v="INKOMSTEN DIV"/>
    <s v="rente"/>
    <m/>
    <s v="NL24RABO3628561752"/>
    <s v="Rente over periode                 01-01-2019 t/m 31-12-2019            "/>
    <s v="RABONL2U"/>
    <n v="83"/>
    <d v="2020-01-01T00:00:00"/>
    <d v="2020-01-01T00:00:00"/>
    <n v="1.23"/>
    <n v="8086.51"/>
    <n v="0"/>
  </r>
  <r>
    <n v="2581"/>
    <x v="9"/>
    <m/>
    <x v="4"/>
    <x v="58"/>
    <d v="2020-12-31T00:00:00"/>
    <d v="2020-12-31T00:00:00"/>
    <n v="4.2300000000000004"/>
    <n v="4.2300000000000004"/>
    <m/>
    <s v="Redbubble"/>
    <s v="IN"/>
    <s v="INKOMSTEN DIV"/>
    <s v="redbubble"/>
    <m/>
    <m/>
    <m/>
    <m/>
    <m/>
    <m/>
    <m/>
    <m/>
    <m/>
    <m/>
  </r>
  <r>
    <n v="3152"/>
    <x v="8"/>
    <m/>
    <x v="5"/>
    <x v="63"/>
    <d v="2021-01-01T00:00:00"/>
    <d v="2021-01-01T00:00:00"/>
    <n v="0.4"/>
    <n v="0.4"/>
    <n v="0"/>
    <s v="Rente"/>
    <s v="IN"/>
    <s v="INKOMSTEN DIV"/>
    <s v="rente"/>
    <m/>
    <s v="db"/>
    <m/>
    <m/>
    <m/>
    <m/>
    <m/>
    <s v="Rente over periode                 01-01-2020 t/m 31-12-2020            "/>
    <s v="   "/>
    <m/>
  </r>
  <r>
    <n v="3238"/>
    <x v="5"/>
    <m/>
    <x v="6"/>
    <x v="32"/>
    <d v="2022-05-31T00:00:00"/>
    <m/>
    <n v="100"/>
    <n v="100"/>
    <m/>
    <s v="kerstcadeau pa ma"/>
    <s v="IN"/>
    <s v="INKOMSTEN DIV"/>
    <s v="repre"/>
    <s v="bc"/>
    <m/>
    <m/>
    <m/>
    <m/>
    <m/>
    <m/>
    <m/>
    <m/>
    <m/>
  </r>
  <r>
    <n v="3329"/>
    <x v="8"/>
    <m/>
    <x v="6"/>
    <x v="28"/>
    <d v="2022-01-01T00:00:00"/>
    <d v="2022-01-01T00:00:00"/>
    <n v="0.71"/>
    <n v="0.71"/>
    <n v="0"/>
    <s v="Rente"/>
    <s v="IN"/>
    <s v="INKOMSTEN DIV"/>
    <s v="rente"/>
    <s v="db"/>
    <m/>
    <m/>
    <m/>
    <m/>
    <m/>
    <s v="Rente over periode                 01-01-2021 t/m 31-12-2021            "/>
    <s v="   "/>
    <m/>
    <m/>
  </r>
  <r>
    <n v="202208020"/>
    <x v="3"/>
    <s v="EUR"/>
    <x v="6"/>
    <x v="71"/>
    <d v="2022-06-09T00:00:00"/>
    <d v="2022-06-09T00:00:00"/>
    <n v="550"/>
    <n v="550"/>
    <s v="NL36INGB0003445588"/>
    <s v="BELASTINGDIENST"/>
    <s v="IN"/>
    <s v="INKOMSTEN DIV"/>
    <s v="fiscus retour"/>
    <s v="cb"/>
    <m/>
    <s v="GVSXX20220603076506469"/>
    <m/>
    <m/>
    <m/>
    <s v="TERUGGAAF NR. 103261187H1601 IB/PVV 2021 (SMIT )"/>
    <s v=" "/>
    <m/>
    <m/>
  </r>
  <r>
    <n v="202208508"/>
    <x v="5"/>
    <m/>
    <x v="6"/>
    <x v="72"/>
    <d v="2022-07-08T00:00:00"/>
    <d v="2022-07-08T00:00:00"/>
    <n v="4.25"/>
    <n v="4.25"/>
    <m/>
    <s v="GEVONDEN"/>
    <s v="IN"/>
    <s v="INKOMSTEN DIV"/>
    <s v="div"/>
    <m/>
    <m/>
    <m/>
    <m/>
    <m/>
    <m/>
    <m/>
    <m/>
    <m/>
    <m/>
  </r>
  <r>
    <n v="202208515"/>
    <x v="5"/>
    <m/>
    <x v="6"/>
    <x v="40"/>
    <d v="2022-08-10T00:00:00"/>
    <d v="2022-08-10T00:00:00"/>
    <n v="2.0499999999999998"/>
    <n v="2.0499999999999998"/>
    <m/>
    <s v="kasoverschot"/>
    <s v="IN"/>
    <s v="INKOMSTEN DIV"/>
    <s v="kasverschil"/>
    <m/>
    <m/>
    <m/>
    <m/>
    <m/>
    <m/>
    <m/>
    <m/>
    <m/>
    <m/>
  </r>
  <r>
    <n v="81"/>
    <x v="1"/>
    <m/>
    <x v="1"/>
    <x v="3"/>
    <d v="2017-10-19T00:00:00"/>
    <d v="2017-10-19T00:00:00"/>
    <n v="-99.99"/>
    <n v="99.99"/>
    <m/>
    <s v="FACTURE CARTE DU 181017 PERRY SPORT 04 CARTE 4974XXXXX"/>
    <s v="UIT"/>
    <s v="KLEDING_PERSVERZ"/>
    <s v="kleding"/>
    <m/>
    <m/>
    <m/>
    <m/>
    <m/>
    <m/>
    <m/>
    <m/>
    <m/>
    <m/>
  </r>
  <r>
    <n v="146"/>
    <x v="5"/>
    <m/>
    <x v="1"/>
    <x v="44"/>
    <d v="2017-04-07T00:00:00"/>
    <d v="2017-04-07T00:00:00"/>
    <n v="-12.5"/>
    <n v="12.5"/>
    <m/>
    <s v="waskaart"/>
    <s v="UIT"/>
    <s v="KLEDING_PERSVERZ"/>
    <s v="wassen"/>
    <m/>
    <m/>
    <m/>
    <m/>
    <m/>
    <m/>
    <m/>
    <m/>
    <m/>
    <m/>
  </r>
  <r>
    <n v="176"/>
    <x v="5"/>
    <m/>
    <x v="1"/>
    <x v="44"/>
    <d v="2017-04-22T00:00:00"/>
    <d v="2017-04-22T00:00:00"/>
    <n v="-1.5"/>
    <n v="1.5"/>
    <m/>
    <s v="sokken"/>
    <s v="UIT"/>
    <s v="KLEDING_PERSVERZ"/>
    <s v="kleding"/>
    <m/>
    <m/>
    <m/>
    <m/>
    <m/>
    <m/>
    <m/>
    <m/>
    <m/>
    <m/>
  </r>
  <r>
    <n v="198"/>
    <x v="5"/>
    <m/>
    <x v="1"/>
    <x v="45"/>
    <d v="2017-05-02T00:00:00"/>
    <d v="2017-05-02T00:00:00"/>
    <n v="-10"/>
    <n v="10"/>
    <m/>
    <s v="waskaart"/>
    <s v="UIT"/>
    <s v="KLEDING_PERSVERZ"/>
    <s v="wassen"/>
    <m/>
    <m/>
    <m/>
    <m/>
    <m/>
    <m/>
    <m/>
    <m/>
    <m/>
    <m/>
  </r>
  <r>
    <n v="223"/>
    <x v="5"/>
    <m/>
    <x v="1"/>
    <x v="45"/>
    <d v="2017-05-17T00:00:00"/>
    <d v="2017-05-17T00:00:00"/>
    <n v="-13"/>
    <n v="13"/>
    <m/>
    <s v="kapper 17/5"/>
    <s v="UIT"/>
    <s v="KLEDING_PERSVERZ"/>
    <s v="kapper"/>
    <m/>
    <m/>
    <m/>
    <m/>
    <m/>
    <m/>
    <m/>
    <m/>
    <m/>
    <m/>
  </r>
  <r>
    <n v="261"/>
    <x v="5"/>
    <m/>
    <x v="1"/>
    <x v="46"/>
    <d v="2017-06-10T00:00:00"/>
    <d v="2017-06-10T00:00:00"/>
    <n v="-9.9"/>
    <n v="9.9"/>
    <m/>
    <s v="ibuprofen"/>
    <s v="UIT"/>
    <s v="KLEDING_PERSVERZ"/>
    <s v="persoonlijke_verzorging"/>
    <m/>
    <m/>
    <m/>
    <m/>
    <m/>
    <m/>
    <m/>
    <m/>
    <m/>
    <m/>
  </r>
  <r>
    <n v="294"/>
    <x v="5"/>
    <m/>
    <x v="1"/>
    <x v="46"/>
    <d v="2017-06-24T00:00:00"/>
    <d v="2017-06-24T00:00:00"/>
    <n v="-12.5"/>
    <n v="12.5"/>
    <m/>
    <s v="waskaart"/>
    <s v="UIT"/>
    <s v="KLEDING_PERSVERZ"/>
    <s v="wassen"/>
    <m/>
    <m/>
    <m/>
    <m/>
    <m/>
    <m/>
    <m/>
    <m/>
    <m/>
    <m/>
  </r>
  <r>
    <n v="301"/>
    <x v="5"/>
    <m/>
    <x v="1"/>
    <x v="36"/>
    <d v="2017-07-05T00:00:00"/>
    <d v="2017-07-05T00:00:00"/>
    <n v="-13"/>
    <n v="13"/>
    <m/>
    <s v="kapper 4/7"/>
    <s v="UIT"/>
    <s v="KLEDING_PERSVERZ"/>
    <s v="kapper"/>
    <m/>
    <m/>
    <m/>
    <m/>
    <m/>
    <m/>
    <m/>
    <m/>
    <m/>
    <m/>
  </r>
  <r>
    <n v="328"/>
    <x v="5"/>
    <m/>
    <x v="1"/>
    <x v="36"/>
    <d v="2017-07-16T00:00:00"/>
    <d v="2017-07-16T00:00:00"/>
    <n v="-4"/>
    <n v="4"/>
    <m/>
    <s v="waskaart"/>
    <s v="UIT"/>
    <s v="KLEDING_PERSVERZ"/>
    <s v="wassen"/>
    <m/>
    <m/>
    <m/>
    <m/>
    <m/>
    <m/>
    <m/>
    <m/>
    <m/>
    <m/>
  </r>
  <r>
    <n v="329"/>
    <x v="5"/>
    <m/>
    <x v="1"/>
    <x v="36"/>
    <d v="2017-07-16T00:00:00"/>
    <d v="2017-07-16T00:00:00"/>
    <n v="-2.5"/>
    <n v="2.5"/>
    <m/>
    <s v="waskaart"/>
    <s v="UIT"/>
    <s v="KLEDING_PERSVERZ"/>
    <s v="wassen"/>
    <m/>
    <m/>
    <m/>
    <m/>
    <m/>
    <m/>
    <m/>
    <m/>
    <m/>
    <m/>
  </r>
  <r>
    <n v="349"/>
    <x v="5"/>
    <m/>
    <x v="1"/>
    <x v="47"/>
    <d v="2017-08-11T00:00:00"/>
    <d v="2017-08-11T00:00:00"/>
    <n v="-4"/>
    <n v="4"/>
    <m/>
    <s v="ibuprofen"/>
    <s v="UIT"/>
    <s v="KLEDING_PERSVERZ"/>
    <s v="persoonlijke_verzorging"/>
    <m/>
    <m/>
    <m/>
    <m/>
    <m/>
    <m/>
    <m/>
    <m/>
    <m/>
    <m/>
  </r>
  <r>
    <n v="359"/>
    <x v="5"/>
    <m/>
    <x v="1"/>
    <x v="47"/>
    <d v="2017-08-21T00:00:00"/>
    <d v="2017-08-21T00:00:00"/>
    <n v="-13"/>
    <n v="13"/>
    <m/>
    <s v="Kapper"/>
    <s v="UIT"/>
    <s v="KLEDING_PERSVERZ"/>
    <s v="kapper"/>
    <m/>
    <m/>
    <m/>
    <m/>
    <m/>
    <m/>
    <m/>
    <m/>
    <m/>
    <m/>
  </r>
  <r>
    <n v="472"/>
    <x v="3"/>
    <m/>
    <x v="1"/>
    <x v="43"/>
    <d v="2017-03-13T00:00:00"/>
    <d v="2017-03-13T00:00:00"/>
    <n v="-6.38"/>
    <n v="6.38"/>
    <m/>
    <s v="Kruidvat 7082 ARNHEM"/>
    <s v="UIT"/>
    <s v="KLEDING_PERSVERZ"/>
    <s v="persoonlijke_verzorging"/>
    <m/>
    <m/>
    <m/>
    <m/>
    <m/>
    <m/>
    <m/>
    <m/>
    <m/>
    <m/>
  </r>
  <r>
    <n v="491"/>
    <x v="3"/>
    <m/>
    <x v="1"/>
    <x v="43"/>
    <d v="2017-03-17T00:00:00"/>
    <d v="2017-03-17T00:00:00"/>
    <n v="-1"/>
    <n v="1"/>
    <m/>
    <s v="ETOS 7579 'S-HERTOGENBO"/>
    <s v="UIT"/>
    <s v="KLEDING_PERSVERZ"/>
    <s v="persoonlijke_verzorging"/>
    <m/>
    <m/>
    <m/>
    <m/>
    <m/>
    <m/>
    <m/>
    <m/>
    <m/>
    <m/>
  </r>
  <r>
    <n v="493"/>
    <x v="3"/>
    <m/>
    <x v="1"/>
    <x v="43"/>
    <d v="2017-03-17T00:00:00"/>
    <d v="2017-03-17T00:00:00"/>
    <n v="-0.99"/>
    <n v="0.99"/>
    <m/>
    <s v="Decathlon Benelux N.V. EINDHOVEN"/>
    <s v="UIT"/>
    <s v="KLEDING_PERSVERZ"/>
    <s v="kleding"/>
    <m/>
    <m/>
    <m/>
    <m/>
    <m/>
    <m/>
    <m/>
    <m/>
    <m/>
    <m/>
  </r>
  <r>
    <n v="517"/>
    <x v="3"/>
    <m/>
    <x v="1"/>
    <x v="43"/>
    <d v="2017-03-27T00:00:00"/>
    <d v="2017-03-27T00:00:00"/>
    <n v="-13.5"/>
    <n v="13.5"/>
    <m/>
    <s v="Kapsalon Promise VOF GRONINGEN"/>
    <s v="UIT"/>
    <s v="KLEDING_PERSVERZ"/>
    <s v="kapper"/>
    <m/>
    <m/>
    <m/>
    <m/>
    <m/>
    <m/>
    <m/>
    <m/>
    <m/>
    <m/>
  </r>
  <r>
    <n v="534"/>
    <x v="3"/>
    <m/>
    <x v="1"/>
    <x v="44"/>
    <d v="2017-04-11T00:00:00"/>
    <d v="2017-04-11T00:00:00"/>
    <n v="-9"/>
    <n v="9"/>
    <m/>
    <s v="FARMACIA TOTINO       \ROMA         \"/>
    <s v="UIT"/>
    <s v="KLEDING_PERSVERZ"/>
    <s v="persoonlijke_verzorging"/>
    <m/>
    <m/>
    <m/>
    <m/>
    <m/>
    <m/>
    <m/>
    <m/>
    <m/>
    <m/>
  </r>
  <r>
    <n v="550"/>
    <x v="3"/>
    <m/>
    <x v="1"/>
    <x v="45"/>
    <d v="2017-05-01T00:00:00"/>
    <d v="2017-05-01T00:00:00"/>
    <n v="-15.95"/>
    <n v="15.95"/>
    <m/>
    <s v="PIAZZA ITALIA         \ROMA         \"/>
    <s v="UIT"/>
    <s v="KLEDING_PERSVERZ"/>
    <s v="kleding"/>
    <m/>
    <m/>
    <m/>
    <m/>
    <m/>
    <m/>
    <m/>
    <m/>
    <m/>
    <m/>
  </r>
  <r>
    <n v="641"/>
    <x v="3"/>
    <m/>
    <x v="1"/>
    <x v="3"/>
    <d v="2017-10-12T00:00:00"/>
    <d v="2017-10-12T00:00:00"/>
    <n v="-4.99"/>
    <n v="4.99"/>
    <m/>
    <s v="Decathlon Arnhem ARNHEM"/>
    <s v="UIT"/>
    <s v="KLEDING_PERSVERZ"/>
    <s v="kleding"/>
    <m/>
    <m/>
    <m/>
    <m/>
    <m/>
    <m/>
    <m/>
    <m/>
    <m/>
    <m/>
  </r>
  <r>
    <n v="643"/>
    <x v="3"/>
    <m/>
    <x v="1"/>
    <x v="3"/>
    <d v="2017-10-12T00:00:00"/>
    <d v="2017-10-12T00:00:00"/>
    <n v="-1.69"/>
    <n v="1.69"/>
    <m/>
    <s v="Kruidvat 7082 ARNHEM"/>
    <s v="UIT"/>
    <s v="KLEDING_PERSVERZ"/>
    <s v="persoonlijke_verzorging"/>
    <m/>
    <m/>
    <m/>
    <m/>
    <m/>
    <m/>
    <m/>
    <m/>
    <m/>
    <m/>
  </r>
  <r>
    <n v="645"/>
    <x v="3"/>
    <m/>
    <x v="1"/>
    <x v="3"/>
    <d v="2017-10-12T00:00:00"/>
    <d v="2017-10-12T00:00:00"/>
    <n v="-239.49"/>
    <n v="239.49"/>
    <m/>
    <s v="TANDARTSPRAKTIJK RAKTOE"/>
    <s v="UIT"/>
    <s v="KLEDING_PERSVERZ"/>
    <s v="tandarts"/>
    <m/>
    <m/>
    <m/>
    <m/>
    <m/>
    <m/>
    <m/>
    <m/>
    <m/>
    <m/>
  </r>
  <r>
    <n v="659"/>
    <x v="3"/>
    <m/>
    <x v="1"/>
    <x v="3"/>
    <d v="2017-10-19T00:00:00"/>
    <d v="2017-10-19T00:00:00"/>
    <n v="-5.39"/>
    <n v="5.39"/>
    <m/>
    <s v="CCV*TOPSHELF ARNHEM ARNHEM"/>
    <s v="UIT"/>
    <s v="KLEDING_PERSVERZ"/>
    <s v="kleding"/>
    <m/>
    <m/>
    <m/>
    <m/>
    <m/>
    <m/>
    <m/>
    <m/>
    <m/>
    <m/>
  </r>
  <r>
    <n v="671"/>
    <x v="3"/>
    <m/>
    <x v="1"/>
    <x v="3"/>
    <d v="2017-10-22T00:00:00"/>
    <d v="2017-10-22T00:00:00"/>
    <n v="-9.9499999999999993"/>
    <n v="9.9499999999999993"/>
    <m/>
    <s v="Bever Arnhem ARNHEM"/>
    <s v="UIT"/>
    <s v="KLEDING_PERSVERZ"/>
    <s v="kleding"/>
    <m/>
    <m/>
    <m/>
    <m/>
    <m/>
    <m/>
    <m/>
    <m/>
    <m/>
    <m/>
  </r>
  <r>
    <n v="685"/>
    <x v="3"/>
    <m/>
    <x v="1"/>
    <x v="3"/>
    <d v="2017-10-27T00:00:00"/>
    <d v="2017-10-27T00:00:00"/>
    <n v="-12"/>
    <n v="12"/>
    <m/>
    <s v="HEMA STADSKANAAL"/>
    <s v="UIT"/>
    <s v="KLEDING_PERSVERZ"/>
    <s v="kleding"/>
    <m/>
    <m/>
    <m/>
    <m/>
    <m/>
    <m/>
    <m/>
    <m/>
    <m/>
    <m/>
  </r>
  <r>
    <n v="686"/>
    <x v="3"/>
    <m/>
    <x v="1"/>
    <x v="3"/>
    <d v="2017-10-27T00:00:00"/>
    <d v="2017-10-27T00:00:00"/>
    <n v="-10.029999999999999"/>
    <n v="10.029999999999999"/>
    <m/>
    <s v="Scapino Stadskanaal STADSKANAAL"/>
    <s v="UIT"/>
    <s v="KLEDING_PERSVERZ"/>
    <s v="kleding"/>
    <m/>
    <m/>
    <m/>
    <m/>
    <m/>
    <m/>
    <m/>
    <m/>
    <m/>
    <m/>
  </r>
  <r>
    <n v="692"/>
    <x v="3"/>
    <m/>
    <x v="1"/>
    <x v="3"/>
    <d v="2017-10-31T00:00:00"/>
    <d v="2017-10-31T00:00:00"/>
    <n v="-29.9"/>
    <n v="29.9"/>
    <m/>
    <s v="C&amp;A 135 STADSKANAAL"/>
    <s v="UIT"/>
    <s v="KLEDING_PERSVERZ"/>
    <s v="kleding"/>
    <m/>
    <m/>
    <m/>
    <m/>
    <m/>
    <m/>
    <m/>
    <m/>
    <m/>
    <m/>
  </r>
  <r>
    <n v="698"/>
    <x v="3"/>
    <m/>
    <x v="1"/>
    <x v="4"/>
    <d v="2017-11-01T00:00:00"/>
    <d v="2017-11-01T00:00:00"/>
    <n v="-7.25"/>
    <n v="7.25"/>
    <m/>
    <s v="Sumatra Apotheek AMSTERDAM"/>
    <s v="UIT"/>
    <s v="KLEDING_PERSVERZ"/>
    <s v="persoonlijke_verzorging"/>
    <m/>
    <m/>
    <m/>
    <m/>
    <m/>
    <m/>
    <m/>
    <m/>
    <m/>
    <m/>
  </r>
  <r>
    <n v="831"/>
    <x v="5"/>
    <m/>
    <x v="2"/>
    <x v="10"/>
    <d v="2018-03-02T00:00:00"/>
    <d v="2018-03-02T00:00:00"/>
    <n v="-1.6"/>
    <n v="1.6"/>
    <m/>
    <s v="tandenstsokers"/>
    <s v="UIT"/>
    <s v="KLEDING_PERSVERZ"/>
    <s v="persoonlijke_verzorging"/>
    <m/>
    <m/>
    <m/>
    <m/>
    <m/>
    <m/>
    <m/>
    <m/>
    <m/>
    <m/>
  </r>
  <r>
    <n v="889"/>
    <x v="5"/>
    <m/>
    <x v="2"/>
    <x v="49"/>
    <d v="2018-04-15T00:00:00"/>
    <d v="2018-04-15T00:00:00"/>
    <n v="-10"/>
    <n v="10"/>
    <m/>
    <s v="schoenen"/>
    <s v="UIT"/>
    <s v="KLEDING_PERSVERZ"/>
    <s v="kleding"/>
    <m/>
    <m/>
    <m/>
    <m/>
    <m/>
    <m/>
    <m/>
    <m/>
    <m/>
    <m/>
  </r>
  <r>
    <n v="942"/>
    <x v="5"/>
    <m/>
    <x v="2"/>
    <x v="51"/>
    <d v="2018-06-03T00:00:00"/>
    <d v="2018-06-03T00:00:00"/>
    <n v="-2.5"/>
    <n v="2.5"/>
    <m/>
    <s v="wassen"/>
    <s v="UIT"/>
    <s v="KLEDING_PERSVERZ"/>
    <s v="wassen"/>
    <m/>
    <m/>
    <m/>
    <m/>
    <m/>
    <m/>
    <m/>
    <m/>
    <m/>
    <m/>
  </r>
  <r>
    <n v="991"/>
    <x v="5"/>
    <m/>
    <x v="2"/>
    <x v="52"/>
    <d v="2018-07-03T00:00:00"/>
    <d v="2018-07-03T00:00:00"/>
    <n v="-12.5"/>
    <n v="12.5"/>
    <m/>
    <s v="waskaart 26/7"/>
    <s v="UIT"/>
    <s v="KLEDING_PERSVERZ"/>
    <s v="wassen"/>
    <m/>
    <m/>
    <m/>
    <m/>
    <m/>
    <m/>
    <m/>
    <m/>
    <m/>
    <m/>
  </r>
  <r>
    <n v="1012"/>
    <x v="5"/>
    <m/>
    <x v="2"/>
    <x v="37"/>
    <d v="2018-08-01T00:00:00"/>
    <d v="2018-08-01T00:00:00"/>
    <n v="-2"/>
    <n v="2"/>
    <m/>
    <s v="Sokken"/>
    <s v="UIT"/>
    <s v="KLEDING_PERSVERZ"/>
    <s v="kleding"/>
    <m/>
    <m/>
    <m/>
    <m/>
    <m/>
    <m/>
    <m/>
    <m/>
    <m/>
    <m/>
  </r>
  <r>
    <n v="1063"/>
    <x v="5"/>
    <m/>
    <x v="2"/>
    <x v="12"/>
    <d v="2018-09-01T00:00:00"/>
    <d v="2018-09-01T00:00:00"/>
    <n v="-14"/>
    <n v="14"/>
    <m/>
    <s v="tshirt acroyoga roma comm"/>
    <s v="UIT"/>
    <s v="KLEDING_PERSVERZ"/>
    <s v="kleding"/>
    <m/>
    <m/>
    <m/>
    <m/>
    <m/>
    <m/>
    <m/>
    <m/>
    <m/>
    <m/>
  </r>
  <r>
    <n v="1091"/>
    <x v="5"/>
    <m/>
    <x v="2"/>
    <x v="11"/>
    <d v="2018-10-01T00:00:00"/>
    <d v="2018-10-01T00:00:00"/>
    <n v="-10"/>
    <n v="10"/>
    <m/>
    <s v="schoenen primark"/>
    <s v="UIT"/>
    <s v="KLEDING_PERSVERZ"/>
    <s v="kleding"/>
    <m/>
    <m/>
    <m/>
    <m/>
    <m/>
    <m/>
    <m/>
    <m/>
    <m/>
    <m/>
  </r>
  <r>
    <n v="1159"/>
    <x v="3"/>
    <m/>
    <x v="2"/>
    <x v="10"/>
    <d v="2018-03-11T00:00:00"/>
    <d v="2018-03-11T00:00:00"/>
    <n v="-58.17"/>
    <n v="58.17"/>
    <m/>
    <s v="TANDARTSPRAKTIJK RAKTOE"/>
    <s v="UIT"/>
    <s v="KLEDING_PERSVERZ"/>
    <s v="tandarts"/>
    <m/>
    <m/>
    <m/>
    <m/>
    <m/>
    <m/>
    <m/>
    <m/>
    <m/>
    <m/>
  </r>
  <r>
    <n v="1205"/>
    <x v="3"/>
    <m/>
    <x v="2"/>
    <x v="50"/>
    <d v="2018-05-15T00:00:00"/>
    <d v="2018-05-15T00:00:00"/>
    <n v="-13"/>
    <n v="13"/>
    <m/>
    <s v="kapper 8/5"/>
    <s v="UIT"/>
    <s v="KLEDING_PERSVERZ"/>
    <s v="kapper"/>
    <m/>
    <m/>
    <m/>
    <m/>
    <m/>
    <m/>
    <m/>
    <m/>
    <m/>
    <m/>
  </r>
  <r>
    <n v="1231"/>
    <x v="3"/>
    <m/>
    <x v="2"/>
    <x v="51"/>
    <d v="2018-06-13T00:00:00"/>
    <d v="2018-06-13T00:00:00"/>
    <n v="-20"/>
    <n v="20"/>
    <m/>
    <s v="SUPERMERCATO DUE P 201 ROMA ITA electrische tandenborstel"/>
    <s v="UIT"/>
    <s v="KLEDING_PERSVERZ"/>
    <s v="persoonlijke_verzorging"/>
    <m/>
    <m/>
    <m/>
    <m/>
    <m/>
    <m/>
    <m/>
    <m/>
    <m/>
    <m/>
  </r>
  <r>
    <n v="1237"/>
    <x v="3"/>
    <m/>
    <x v="2"/>
    <x v="51"/>
    <d v="2018-06-22T00:00:00"/>
    <d v="2018-06-22T00:00:00"/>
    <n v="-13"/>
    <n v="13"/>
    <m/>
    <s v="L'HAIR DI IURATO A.RIT ROMA        R"/>
    <s v="UIT"/>
    <s v="KLEDING_PERSVERZ"/>
    <s v="kapper"/>
    <m/>
    <m/>
    <m/>
    <m/>
    <m/>
    <m/>
    <m/>
    <m/>
    <m/>
    <m/>
  </r>
  <r>
    <n v="1273"/>
    <x v="3"/>
    <m/>
    <x v="2"/>
    <x v="12"/>
    <d v="2018-09-14T00:00:00"/>
    <d v="2018-09-14T00:00:00"/>
    <n v="-89.9"/>
    <n v="89.9"/>
    <m/>
    <s v="SPORT 85 S.R.L. ROMA ITA"/>
    <s v="UIT"/>
    <s v="KLEDING_PERSVERZ"/>
    <s v="sportkleding"/>
    <m/>
    <m/>
    <m/>
    <m/>
    <m/>
    <m/>
    <m/>
    <m/>
    <m/>
    <m/>
  </r>
  <r>
    <n v="1297"/>
    <x v="3"/>
    <m/>
    <x v="2"/>
    <x v="11"/>
    <d v="2018-10-11T00:00:00"/>
    <d v="2018-10-11T00:00:00"/>
    <n v="-45.78"/>
    <n v="45.78"/>
    <m/>
    <s v="TANDARTSPRAKTIJK RAKTOE"/>
    <s v="UIT"/>
    <s v="KLEDING_PERSVERZ"/>
    <s v="tandarts"/>
    <m/>
    <m/>
    <m/>
    <m/>
    <m/>
    <m/>
    <m/>
    <m/>
    <m/>
    <m/>
  </r>
  <r>
    <n v="1327"/>
    <x v="3"/>
    <m/>
    <x v="2"/>
    <x v="11"/>
    <d v="2018-10-23T00:00:00"/>
    <d v="2018-10-23T00:00:00"/>
    <n v="-39.979999999999997"/>
    <n v="39.979999999999997"/>
    <m/>
    <s v="Decathlon Arnhem ARNHEM"/>
    <s v="UIT"/>
    <s v="KLEDING_PERSVERZ"/>
    <s v="kleding"/>
    <m/>
    <m/>
    <m/>
    <m/>
    <m/>
    <m/>
    <m/>
    <m/>
    <m/>
    <m/>
  </r>
  <r>
    <n v="1502"/>
    <x v="5"/>
    <m/>
    <x v="3"/>
    <x v="53"/>
    <d v="2019-04-01T00:00:00"/>
    <d v="2019-04-01T00:00:00"/>
    <n v="-40"/>
    <n v="40"/>
    <m/>
    <s v="wasmachine"/>
    <s v="UIT"/>
    <s v="KLEDING_PERSVERZ"/>
    <s v="wassen"/>
    <m/>
    <m/>
    <m/>
    <m/>
    <m/>
    <m/>
    <m/>
    <m/>
    <m/>
    <m/>
  </r>
  <r>
    <n v="1545"/>
    <x v="5"/>
    <m/>
    <x v="3"/>
    <x v="54"/>
    <d v="2019-05-01T00:00:00"/>
    <d v="2019-05-01T00:00:00"/>
    <n v="-10"/>
    <n v="10"/>
    <m/>
    <s v="kapper"/>
    <s v="UIT"/>
    <s v="KLEDING_PERSVERZ"/>
    <s v="kapper"/>
    <m/>
    <m/>
    <m/>
    <m/>
    <m/>
    <m/>
    <m/>
    <m/>
    <m/>
    <m/>
  </r>
  <r>
    <n v="1580"/>
    <x v="5"/>
    <m/>
    <x v="3"/>
    <x v="38"/>
    <d v="2019-07-01T00:00:00"/>
    <d v="2019-07-01T00:00:00"/>
    <n v="-14"/>
    <n v="14"/>
    <m/>
    <s v="kapper"/>
    <s v="UIT"/>
    <s v="KLEDING_PERSVERZ"/>
    <s v="kapper"/>
    <m/>
    <m/>
    <m/>
    <m/>
    <m/>
    <m/>
    <m/>
    <m/>
    <m/>
    <m/>
  </r>
  <r>
    <n v="1599"/>
    <x v="5"/>
    <m/>
    <x v="3"/>
    <x v="41"/>
    <d v="2019-08-12T00:00:00"/>
    <d v="2019-08-12T00:00:00"/>
    <n v="-10"/>
    <n v="10"/>
    <m/>
    <s v="kapper 9/8"/>
    <s v="UIT"/>
    <s v="KLEDING_PERSVERZ"/>
    <s v="kapper"/>
    <m/>
    <m/>
    <m/>
    <m/>
    <m/>
    <m/>
    <m/>
    <m/>
    <m/>
    <m/>
  </r>
  <r>
    <n v="1622"/>
    <x v="5"/>
    <m/>
    <x v="3"/>
    <x v="18"/>
    <d v="2019-09-06T00:00:00"/>
    <d v="2019-09-06T00:00:00"/>
    <n v="-10"/>
    <n v="10"/>
    <m/>
    <s v="kapper 26/9"/>
    <s v="UIT"/>
    <s v="KLEDING_PERSVERZ"/>
    <s v="kapper"/>
    <m/>
    <m/>
    <m/>
    <m/>
    <m/>
    <m/>
    <m/>
    <m/>
    <m/>
    <m/>
  </r>
  <r>
    <n v="1633"/>
    <x v="5"/>
    <m/>
    <x v="3"/>
    <x v="39"/>
    <d v="2019-10-31T00:00:00"/>
    <d v="2019-10-31T00:00:00"/>
    <n v="-53"/>
    <n v="53"/>
    <m/>
    <s v="tandarts"/>
    <s v="UIT"/>
    <s v="KLEDING_PERSVERZ"/>
    <s v="tandarts"/>
    <m/>
    <m/>
    <m/>
    <m/>
    <m/>
    <m/>
    <m/>
    <m/>
    <m/>
    <m/>
  </r>
  <r>
    <n v="1700"/>
    <x v="3"/>
    <m/>
    <x v="3"/>
    <x v="14"/>
    <d v="2019-03-05T00:00:00"/>
    <d v="2019-03-05T00:00:00"/>
    <n v="-10.78"/>
    <n v="10.78"/>
    <m/>
    <s v="Kruidvat 6224 MUSSELKANAAL"/>
    <s v="UIT"/>
    <s v="KLEDING_PERSVERZ"/>
    <s v="persoonlijke_verzorging"/>
    <m/>
    <m/>
    <m/>
    <m/>
    <m/>
    <m/>
    <m/>
    <m/>
    <m/>
    <m/>
  </r>
  <r>
    <n v="1723"/>
    <x v="3"/>
    <m/>
    <x v="3"/>
    <x v="14"/>
    <d v="2019-03-18T00:00:00"/>
    <d v="2019-03-18T00:00:00"/>
    <n v="-47.48"/>
    <n v="47.48"/>
    <m/>
    <s v="TANDARTSPRAKTIJK RAKTOE"/>
    <s v="UIT"/>
    <s v="KLEDING_PERSVERZ"/>
    <s v="tandarts"/>
    <m/>
    <m/>
    <m/>
    <m/>
    <m/>
    <m/>
    <m/>
    <m/>
    <m/>
    <m/>
  </r>
  <r>
    <n v="1729"/>
    <x v="3"/>
    <m/>
    <x v="3"/>
    <x v="14"/>
    <d v="2019-03-19T00:00:00"/>
    <d v="2019-03-19T00:00:00"/>
    <n v="-49.99"/>
    <n v="49.99"/>
    <m/>
    <s v="Blokker 0586 Arnhem ARNHEM / flosapparaat"/>
    <s v="UIT"/>
    <s v="KLEDING_PERSVERZ"/>
    <s v="persoonlijke_verzorging"/>
    <m/>
    <m/>
    <m/>
    <m/>
    <m/>
    <m/>
    <m/>
    <m/>
    <m/>
    <m/>
  </r>
  <r>
    <n v="1781"/>
    <x v="3"/>
    <m/>
    <x v="3"/>
    <x v="53"/>
    <d v="2019-04-02T00:00:00"/>
    <d v="2019-04-02T00:00:00"/>
    <n v="-12.76"/>
    <n v="12.76"/>
    <m/>
    <s v="Kruidvat 4642 STADSKANAAL"/>
    <s v="UIT"/>
    <s v="KLEDING_PERSVERZ"/>
    <s v="persoonlijke_verzorging"/>
    <m/>
    <m/>
    <m/>
    <m/>
    <m/>
    <m/>
    <m/>
    <m/>
    <m/>
    <m/>
  </r>
  <r>
    <n v="1785"/>
    <x v="3"/>
    <m/>
    <x v="3"/>
    <x v="53"/>
    <d v="2019-04-05T00:00:00"/>
    <d v="2019-04-05T00:00:00"/>
    <n v="-13.5"/>
    <n v="13.5"/>
    <m/>
    <s v="SumUp  *Kapsalon Famou Stadskanaal"/>
    <s v="UIT"/>
    <s v="KLEDING_PERSVERZ"/>
    <s v="kapper"/>
    <m/>
    <m/>
    <m/>
    <m/>
    <m/>
    <m/>
    <m/>
    <m/>
    <m/>
    <m/>
  </r>
  <r>
    <n v="1860"/>
    <x v="3"/>
    <m/>
    <x v="3"/>
    <x v="38"/>
    <d v="2019-07-19T00:00:00"/>
    <d v="2019-07-19T00:00:00"/>
    <n v="-10.199999999999999"/>
    <n v="10.199999999999999"/>
    <m/>
    <s v="FARMACIA TOTINO ROMA ITA"/>
    <s v="UIT"/>
    <s v="KLEDING_PERSVERZ"/>
    <s v="persoonlijke_verzorging"/>
    <m/>
    <m/>
    <m/>
    <m/>
    <m/>
    <m/>
    <m/>
    <m/>
    <m/>
    <m/>
  </r>
  <r>
    <n v="1950"/>
    <x v="3"/>
    <m/>
    <x v="3"/>
    <x v="39"/>
    <d v="2019-10-22T00:00:00"/>
    <d v="2019-10-22T00:00:00"/>
    <n v="-6.23"/>
    <n v="6.23"/>
    <m/>
    <s v="Kruidvat 4316 AMSTERDAM"/>
    <s v="UIT"/>
    <s v="KLEDING_PERSVERZ"/>
    <s v="persoonlijke_verzorging"/>
    <m/>
    <m/>
    <m/>
    <m/>
    <m/>
    <m/>
    <m/>
    <m/>
    <m/>
    <m/>
  </r>
  <r>
    <n v="1973"/>
    <x v="3"/>
    <m/>
    <x v="3"/>
    <x v="39"/>
    <d v="2019-10-29T00:00:00"/>
    <d v="2019-10-29T00:00:00"/>
    <n v="-16.27"/>
    <n v="16.27"/>
    <m/>
    <s v="Decathlon Olympus ARNHEM"/>
    <s v="UIT"/>
    <s v="KLEDING_PERSVERZ"/>
    <s v="kleding"/>
    <m/>
    <m/>
    <m/>
    <m/>
    <m/>
    <m/>
    <m/>
    <m/>
    <m/>
    <m/>
  </r>
  <r>
    <n v="2102"/>
    <x v="5"/>
    <m/>
    <x v="4"/>
    <x v="60"/>
    <d v="2020-08-23T00:00:00"/>
    <d v="2020-08-23T00:00:00"/>
    <n v="-15"/>
    <n v="15"/>
    <m/>
    <s v="kapper"/>
    <s v="UIT"/>
    <s v="KLEDING_PERSVERZ"/>
    <s v="kapper"/>
    <m/>
    <m/>
    <m/>
    <m/>
    <m/>
    <m/>
    <m/>
    <m/>
    <m/>
    <m/>
  </r>
  <r>
    <n v="2103"/>
    <x v="5"/>
    <m/>
    <x v="4"/>
    <x v="60"/>
    <d v="2020-08-23T00:00:00"/>
    <d v="2020-08-23T00:00:00"/>
    <n v="-20"/>
    <n v="20"/>
    <m/>
    <s v="kapper"/>
    <s v="UIT"/>
    <s v="KLEDING_PERSVERZ"/>
    <s v="tandarts"/>
    <m/>
    <m/>
    <m/>
    <m/>
    <m/>
    <m/>
    <m/>
    <m/>
    <m/>
    <m/>
  </r>
  <r>
    <n v="2105"/>
    <x v="5"/>
    <m/>
    <x v="4"/>
    <x v="61"/>
    <d v="2020-09-23T00:00:00"/>
    <d v="2020-09-23T00:00:00"/>
    <n v="-20"/>
    <n v="20"/>
    <m/>
    <s v="kapper"/>
    <s v="UIT"/>
    <s v="KLEDING_PERSVERZ"/>
    <s v="kapper"/>
    <m/>
    <m/>
    <m/>
    <m/>
    <m/>
    <m/>
    <m/>
    <m/>
    <m/>
    <m/>
  </r>
  <r>
    <n v="2136"/>
    <x v="2"/>
    <m/>
    <x v="4"/>
    <x v="56"/>
    <d v="2020-07-07T00:00:00"/>
    <d v="2020-07-07T00:00:00"/>
    <n v="-17"/>
    <n v="17"/>
    <m/>
    <s v="electrische tandenborstel"/>
    <s v="UIT"/>
    <s v="KLEDING_PERSVERZ"/>
    <s v="persoonlijke_verzorging"/>
    <m/>
    <m/>
    <m/>
    <m/>
    <m/>
    <m/>
    <m/>
    <m/>
    <m/>
    <m/>
  </r>
  <r>
    <n v="2241"/>
    <x v="3"/>
    <m/>
    <x v="4"/>
    <x v="56"/>
    <d v="2020-07-18T00:00:00"/>
    <d v="2020-07-18T00:00:00"/>
    <n v="-12.49"/>
    <n v="12.49"/>
    <m/>
    <s v="vanHaren 090 ARNHEM"/>
    <s v="UIT"/>
    <s v="KLEDING_PERSVERZ"/>
    <s v="schoenen"/>
    <m/>
    <s v="Betaalautomaat 16:19 pasnr. 011"/>
    <m/>
    <s v="bc"/>
    <m/>
    <m/>
    <m/>
    <m/>
    <m/>
    <m/>
  </r>
  <r>
    <n v="2254"/>
    <x v="3"/>
    <m/>
    <x v="4"/>
    <x v="56"/>
    <d v="2020-07-21T00:00:00"/>
    <d v="2020-07-21T00:00:00"/>
    <n v="-4.99"/>
    <n v="4.99"/>
    <m/>
    <s v="vanHaren 207 WINTERSWIJK"/>
    <s v="UIT"/>
    <s v="KLEDING_PERSVERZ"/>
    <s v="schoenen"/>
    <m/>
    <s v="Betaalautomaat 15:56 pasnr. 011"/>
    <m/>
    <s v="bc"/>
    <m/>
    <m/>
    <m/>
    <m/>
    <m/>
    <s v="Betaalautomaat 19:11 pasnr. 011"/>
  </r>
  <r>
    <n v="2286"/>
    <x v="3"/>
    <m/>
    <x v="4"/>
    <x v="60"/>
    <d v="2020-08-03T00:00:00"/>
    <d v="2020-08-03T00:00:00"/>
    <n v="-9"/>
    <n v="9"/>
    <m/>
    <s v="PRIMARK ARNHEM ARNHEM"/>
    <s v="UIT"/>
    <s v="KLEDING_PERSVERZ"/>
    <s v="kleding"/>
    <m/>
    <s v="Betaalautomaat 16:44 pasnr. 022"/>
    <m/>
    <s v="bc"/>
    <m/>
    <m/>
    <m/>
    <m/>
    <m/>
    <s v="Betaalautomaat 18:41 pasnr. 022"/>
  </r>
  <r>
    <n v="2287"/>
    <x v="3"/>
    <m/>
    <x v="4"/>
    <x v="60"/>
    <d v="2020-08-03T00:00:00"/>
    <d v="2020-08-03T00:00:00"/>
    <n v="-9.99"/>
    <n v="9.99"/>
    <m/>
    <s v="KiK Fil  7610 BC Arnhem"/>
    <s v="UIT"/>
    <s v="KLEDING_PERSVERZ"/>
    <s v="kleding"/>
    <m/>
    <s v="Betaalautomaat 17:12 pasnr. 022"/>
    <m/>
    <s v="bc"/>
    <m/>
    <m/>
    <m/>
    <m/>
    <m/>
    <s v="Betaalautomaat 10:32 pasnr. 022"/>
  </r>
  <r>
    <n v="2311"/>
    <x v="3"/>
    <m/>
    <x v="4"/>
    <x v="60"/>
    <d v="2020-08-12T00:00:00"/>
    <d v="2020-08-12T00:00:00"/>
    <n v="-11.97"/>
    <n v="11.97"/>
    <m/>
    <s v="Decathlon Arnhem ARNHEM"/>
    <s v="UIT"/>
    <s v="KLEDING_PERSVERZ"/>
    <s v="kleding"/>
    <m/>
    <m/>
    <m/>
    <m/>
    <m/>
    <m/>
    <m/>
    <m/>
    <m/>
    <m/>
  </r>
  <r>
    <n v="2341"/>
    <x v="3"/>
    <m/>
    <x v="4"/>
    <x v="60"/>
    <d v="2020-08-22T00:00:00"/>
    <d v="2020-08-22T00:00:00"/>
    <n v="-3.79"/>
    <n v="3.79"/>
    <m/>
    <s v="Action 1138 Winterswijk"/>
    <s v="UIT"/>
    <s v="KLEDING_PERSVERZ"/>
    <s v="kleding"/>
    <m/>
    <m/>
    <m/>
    <m/>
    <m/>
    <m/>
    <m/>
    <m/>
    <m/>
    <m/>
  </r>
  <r>
    <n v="2441"/>
    <x v="3"/>
    <m/>
    <x v="4"/>
    <x v="57"/>
    <d v="2020-10-12T00:00:00"/>
    <d v="2020-10-12T00:00:00"/>
    <n v="-14.99"/>
    <n v="14.99"/>
    <m/>
    <s v="Decathlon Arnhem ARNHEM Geel hardloopjack"/>
    <s v="UIT"/>
    <s v="KLEDING_PERSVERZ"/>
    <s v="kleding"/>
    <m/>
    <m/>
    <m/>
    <m/>
    <m/>
    <m/>
    <m/>
    <m/>
    <m/>
    <m/>
  </r>
  <r>
    <n v="2641"/>
    <x v="5"/>
    <m/>
    <x v="5"/>
    <x v="63"/>
    <d v="2021-03-23T00:00:00"/>
    <d v="2021-03-23T00:00:00"/>
    <n v="-22"/>
    <n v="22"/>
    <m/>
    <s v="kapper"/>
    <s v="UIT"/>
    <s v="KLEDING_PERSVERZ"/>
    <s v="kapper"/>
    <m/>
    <m/>
    <m/>
    <m/>
    <m/>
    <m/>
    <m/>
    <m/>
    <m/>
    <m/>
  </r>
  <r>
    <n v="2741"/>
    <x v="3"/>
    <m/>
    <x v="5"/>
    <x v="66"/>
    <d v="2021-04-14T00:00:00"/>
    <d v="2021-04-14T00:00:00"/>
    <n v="-119.99"/>
    <n v="119.99"/>
    <m/>
    <s v="Sport 2000 de Bruijn PANNINGEN"/>
    <s v="UIT"/>
    <s v="KLEDING_PERSVERZ"/>
    <s v="sportkleding"/>
    <m/>
    <m/>
    <m/>
    <m/>
    <m/>
    <m/>
    <m/>
    <m/>
    <m/>
    <m/>
  </r>
  <r>
    <n v="2762"/>
    <x v="3"/>
    <m/>
    <x v="5"/>
    <x v="66"/>
    <d v="2021-04-28T00:00:00"/>
    <d v="2021-04-28T00:00:00"/>
    <n v="-9.99"/>
    <n v="9.99"/>
    <m/>
    <s v="Kruidvat 3123 PANNINGEN"/>
    <s v="UIT"/>
    <s v="KLEDING_PERSVERZ"/>
    <s v="persoonlijke_verzorging"/>
    <s v="O KEEFES Handcreme"/>
    <m/>
    <m/>
    <m/>
    <m/>
    <m/>
    <m/>
    <m/>
    <m/>
    <m/>
  </r>
  <r>
    <n v="2809"/>
    <x v="3"/>
    <m/>
    <x v="5"/>
    <x v="67"/>
    <d v="2021-05-31T00:00:00"/>
    <d v="2021-05-31T00:00:00"/>
    <n v="-5.49"/>
    <n v="5.49"/>
    <m/>
    <s v="Medikam die Grenze ARNHEM"/>
    <s v="UIT"/>
    <s v="KLEDING_PERSVERZ"/>
    <s v="persoonlijke_verzorging"/>
    <m/>
    <s v="bc"/>
    <m/>
    <m/>
    <m/>
    <m/>
    <m/>
    <m/>
    <m/>
    <m/>
  </r>
  <r>
    <n v="2812"/>
    <x v="3"/>
    <m/>
    <x v="5"/>
    <x v="67"/>
    <d v="2021-05-31T00:00:00"/>
    <d v="2021-05-31T00:00:00"/>
    <n v="-16"/>
    <n v="16"/>
    <m/>
    <s v="PRIMARK ARNHEM ARNHEM"/>
    <s v="UIT"/>
    <s v="KLEDING_PERSVERZ"/>
    <s v="kleding"/>
    <m/>
    <s v="bc"/>
    <m/>
    <m/>
    <m/>
    <m/>
    <m/>
    <m/>
    <m/>
    <m/>
  </r>
  <r>
    <n v="2839"/>
    <x v="3"/>
    <m/>
    <x v="5"/>
    <x v="68"/>
    <d v="2021-06-10T00:00:00"/>
    <d v="2021-06-10T00:00:00"/>
    <n v="-8.56"/>
    <n v="8.56"/>
    <m/>
    <s v="Medikam. die Grenze VENLO"/>
    <s v="UIT"/>
    <s v="KLEDING_PERSVERZ"/>
    <s v="persoonlijke_verzorging"/>
    <m/>
    <s v="bc"/>
    <m/>
    <m/>
    <m/>
    <m/>
    <m/>
    <s v="Betaalautomaat 16:38 pasnr. 022"/>
    <s v=" "/>
    <m/>
  </r>
  <r>
    <n v="2844"/>
    <x v="3"/>
    <m/>
    <x v="5"/>
    <x v="68"/>
    <d v="2021-06-14T00:00:00"/>
    <d v="2021-06-14T00:00:00"/>
    <n v="-49.95"/>
    <n v="49.95"/>
    <s v="NL63ABNA0517816466"/>
    <s v="TANDARTSPRAKTIJK RAKTOE"/>
    <s v="UIT"/>
    <s v="KLEDING_PERSVERZ"/>
    <s v="tandarts"/>
    <s v="ABNANL2AXXX"/>
    <s v="bg"/>
    <m/>
    <m/>
    <m/>
    <m/>
    <m/>
    <s v="Factuur 21001797"/>
    <s v=" "/>
    <m/>
  </r>
  <r>
    <n v="2847"/>
    <x v="3"/>
    <m/>
    <x v="5"/>
    <x v="68"/>
    <d v="2021-06-14T00:00:00"/>
    <d v="2021-06-14T00:00:00"/>
    <n v="-8.57"/>
    <n v="8.57"/>
    <m/>
    <s v="ZEEMAN ARNHEM MUSISKWA ARNHEM"/>
    <s v="UIT"/>
    <s v="KLEDING_PERSVERZ"/>
    <s v="kleding"/>
    <s v="mexico tshirt"/>
    <s v="bc"/>
    <m/>
    <m/>
    <m/>
    <m/>
    <m/>
    <s v="Betaalautomaat 16:55 pasnr. 022"/>
    <s v=" "/>
    <m/>
  </r>
  <r>
    <n v="2893"/>
    <x v="3"/>
    <m/>
    <x v="5"/>
    <x v="69"/>
    <d v="2021-07-15T00:00:00"/>
    <d v="2021-07-15T00:00:00"/>
    <n v="-2"/>
    <n v="2"/>
    <m/>
    <s v="PRIMARK VENLO VENLO"/>
    <s v="UIT"/>
    <s v="KLEDING_PERSVERZ"/>
    <s v="kleding"/>
    <m/>
    <s v="bc"/>
    <m/>
    <m/>
    <m/>
    <m/>
    <m/>
    <s v="Betaalautomaat 16:05 pasnr. 022"/>
    <s v=" "/>
    <m/>
  </r>
  <r>
    <n v="2927"/>
    <x v="3"/>
    <m/>
    <x v="5"/>
    <x v="70"/>
    <d v="2021-08-12T00:00:00"/>
    <d v="2021-08-12T00:00:00"/>
    <n v="-11"/>
    <n v="11"/>
    <m/>
    <s v="SumUp  *Kapsalon fresh Venlo"/>
    <s v="UIT"/>
    <s v="KLEDING_PERSVERZ"/>
    <s v="kapper"/>
    <m/>
    <s v="bc"/>
    <m/>
    <m/>
    <m/>
    <m/>
    <m/>
    <s v="Betaalautomaat 15:34 pasnr. 011"/>
    <s v=" "/>
    <m/>
  </r>
  <r>
    <n v="3012"/>
    <x v="3"/>
    <m/>
    <x v="5"/>
    <x v="25"/>
    <d v="2021-10-10T00:00:00"/>
    <d v="2021-10-10T00:00:00"/>
    <n v="-9.9700000000000006"/>
    <n v="9.9700000000000006"/>
    <m/>
    <s v="Medikam die Grenze ARNHEM"/>
    <s v="UIT"/>
    <s v="KLEDING_PERSVERZ"/>
    <s v="persoonlijke_verzorging"/>
    <s v="2x coronatest, eau de toilette"/>
    <m/>
    <m/>
    <m/>
    <m/>
    <m/>
    <s v="Betaalautomaat 16:51 pasnr. 022"/>
    <s v=" "/>
    <m/>
    <m/>
  </r>
  <r>
    <n v="3027"/>
    <x v="3"/>
    <m/>
    <x v="5"/>
    <x v="25"/>
    <d v="2021-10-15T00:00:00"/>
    <d v="2021-10-15T00:00:00"/>
    <n v="-0.84"/>
    <n v="0.84"/>
    <m/>
    <s v="Kruidvat 6505 'S-GRAVENHAGE"/>
    <s v="UIT"/>
    <s v="KLEDING_PERSVERZ"/>
    <s v="persoonlijke_verzorging"/>
    <s v="bc"/>
    <m/>
    <m/>
    <m/>
    <m/>
    <m/>
    <s v="Betaalautomaat 15:58 pasnr. 022"/>
    <s v=" "/>
    <m/>
    <m/>
  </r>
  <r>
    <n v="3078"/>
    <x v="3"/>
    <m/>
    <x v="5"/>
    <x v="25"/>
    <d v="2021-10-30T00:00:00"/>
    <d v="2021-10-30T00:00:00"/>
    <n v="-5.99"/>
    <n v="5.99"/>
    <m/>
    <s v="Kruidvat 6224 MUSSELKANAAL"/>
    <s v="UIT"/>
    <s v="KLEDING_PERSVERZ"/>
    <s v="persoonlijke_verzorging"/>
    <s v="bc"/>
    <m/>
    <m/>
    <m/>
    <m/>
    <m/>
    <s v="Betaalautomaat 15:36 pasnr. 022"/>
    <s v=" "/>
    <m/>
    <m/>
  </r>
  <r>
    <n v="3090"/>
    <x v="3"/>
    <m/>
    <x v="5"/>
    <x v="26"/>
    <d v="2021-11-02T00:00:00"/>
    <d v="2021-11-02T00:00:00"/>
    <n v="-8.58"/>
    <n v="8.58"/>
    <m/>
    <s v="Kruidvat 6277 STADSKANAAL"/>
    <s v="UIT"/>
    <s v="KLEDING_PERSVERZ"/>
    <s v="persoonlijke_verzorging"/>
    <s v="bc"/>
    <m/>
    <m/>
    <m/>
    <m/>
    <m/>
    <s v="Betaalautomaat 13:53 pasnr. 022"/>
    <s v=" "/>
    <m/>
    <m/>
  </r>
  <r>
    <n v="3110"/>
    <x v="3"/>
    <m/>
    <x v="5"/>
    <x v="26"/>
    <d v="2021-11-09T00:00:00"/>
    <d v="2021-11-09T00:00:00"/>
    <n v="-4.79"/>
    <n v="4.79"/>
    <m/>
    <s v="Kruidvat 6224 MUSSELKANAAL"/>
    <s v="UIT"/>
    <s v="KLEDING_PERSVERZ"/>
    <s v="persoonlijke_verzorging"/>
    <s v="bc"/>
    <m/>
    <m/>
    <m/>
    <m/>
    <m/>
    <s v="Betaalautomaat 16:50 pasnr. 022"/>
    <s v=" "/>
    <m/>
    <m/>
  </r>
  <r>
    <n v="3116"/>
    <x v="3"/>
    <m/>
    <x v="5"/>
    <x v="26"/>
    <d v="2021-11-12T00:00:00"/>
    <d v="2021-11-12T00:00:00"/>
    <n v="-4"/>
    <n v="4"/>
    <m/>
    <s v="113  DIO-Readshop MUSSELKANAAL"/>
    <s v="UIT"/>
    <s v="KLEDING_PERSVERZ"/>
    <s v="persoonlijke_verzorging"/>
    <s v="bc"/>
    <m/>
    <m/>
    <m/>
    <m/>
    <m/>
    <s v="Betaalautomaat 17:05 pasnr. 022"/>
    <s v=" "/>
    <m/>
    <m/>
  </r>
  <r>
    <n v="3121"/>
    <x v="3"/>
    <m/>
    <x v="5"/>
    <x v="26"/>
    <d v="2021-11-13T00:00:00"/>
    <d v="2021-11-13T00:00:00"/>
    <n v="-1"/>
    <n v="1"/>
    <m/>
    <s v="DrogisterijDieGrenze EMMEN"/>
    <s v="UIT"/>
    <s v="KLEDING_PERSVERZ"/>
    <s v="persoonlijke_verzorging"/>
    <s v="bc"/>
    <m/>
    <m/>
    <m/>
    <m/>
    <m/>
    <s v="Betaalautomaat 12:40 pasnr. 022"/>
    <s v=" "/>
    <m/>
    <m/>
  </r>
  <r>
    <n v="3257"/>
    <x v="2"/>
    <m/>
    <x v="6"/>
    <x v="32"/>
    <d v="2022-05-31T00:00:00"/>
    <m/>
    <n v="-52.777777777777779"/>
    <n v="52.777777777777779"/>
    <m/>
    <s v="UMC"/>
    <s v="UIT"/>
    <s v="KLEDING_PERSVERZ"/>
    <s v="medische kosten"/>
    <m/>
    <m/>
    <m/>
    <m/>
    <m/>
    <m/>
    <m/>
    <m/>
    <m/>
    <m/>
  </r>
  <r>
    <n v="202208026"/>
    <x v="3"/>
    <s v="EUR"/>
    <x v="6"/>
    <x v="71"/>
    <d v="2022-06-14T00:00:00"/>
    <d v="2022-06-14T00:00:00"/>
    <n v="-7"/>
    <n v="7"/>
    <m/>
    <s v="PRIMARK VENLO VENLO"/>
    <s v="UIT"/>
    <s v="KLEDING_PERSVERZ"/>
    <s v="kleding"/>
    <s v="bc"/>
    <m/>
    <m/>
    <m/>
    <m/>
    <m/>
    <s v="Betaalautomaat 14:35 pasnr. 032"/>
    <s v=" "/>
    <m/>
    <m/>
  </r>
  <r>
    <n v="202208027"/>
    <x v="3"/>
    <s v="EUR"/>
    <x v="6"/>
    <x v="71"/>
    <d v="2022-06-14T00:00:00"/>
    <d v="2022-06-14T00:00:00"/>
    <n v="-2.99"/>
    <n v="2.99"/>
    <m/>
    <s v="Medikam. die Grenze VENLO"/>
    <s v="UIT"/>
    <s v="KLEDING_PERSVERZ"/>
    <s v="persoonlijke_verzorging"/>
    <s v="bc"/>
    <m/>
    <m/>
    <m/>
    <m/>
    <m/>
    <s v="Betaalautomaat 15:34 pasnr. 032"/>
    <s v=" "/>
    <m/>
    <m/>
  </r>
  <r>
    <n v="202208049"/>
    <x v="3"/>
    <s v="EUR"/>
    <x v="6"/>
    <x v="71"/>
    <d v="2022-06-29T00:00:00"/>
    <d v="2022-06-29T00:00:00"/>
    <n v="-10.26"/>
    <n v="10.26"/>
    <m/>
    <s v="Kruidvat 3123 PANNINGEN"/>
    <s v="UIT"/>
    <s v="KLEDING_PERSVERZ"/>
    <s v="persoonlijke_verzorging"/>
    <s v="bc"/>
    <m/>
    <m/>
    <m/>
    <m/>
    <m/>
    <s v="Betaalautomaat 18:35 pasnr. 032"/>
    <s v=" "/>
    <m/>
    <m/>
  </r>
  <r>
    <n v="202208056"/>
    <x v="3"/>
    <s v="EUR"/>
    <x v="6"/>
    <x v="72"/>
    <d v="2022-07-05T00:00:00"/>
    <d v="2022-07-05T00:00:00"/>
    <n v="-48.95"/>
    <n v="48.95"/>
    <s v="DE73202208000093052702"/>
    <s v="Homediq Europe B.V."/>
    <s v="UIT"/>
    <s v="KLEDING_PERSVERZ"/>
    <s v="zorgkosten"/>
    <s v="id"/>
    <m/>
    <s v="05-07-2022 01:16 0140000455427298"/>
    <m/>
    <m/>
    <m/>
    <s v="3W8PK8B 0140000455427298 Homediq Europe x4934 pasnr.032"/>
    <s v=" "/>
    <m/>
    <m/>
  </r>
  <r>
    <n v="202208133"/>
    <x v="3"/>
    <s v="EUR"/>
    <x v="6"/>
    <x v="40"/>
    <d v="2022-08-09T00:00:00"/>
    <d v="2022-08-09T00:00:00"/>
    <n v="-51.13"/>
    <n v="51.13"/>
    <s v="NL63ABNA0517816466"/>
    <s v="TANDARTSPRAKTIJK RAKTOE"/>
    <s v="UIT"/>
    <s v="KLEDING_PERSVERZ"/>
    <s v="tandarts"/>
    <s v="bg"/>
    <m/>
    <m/>
    <m/>
    <m/>
    <m/>
    <s v="Factuur 22002694"/>
    <s v=" "/>
    <m/>
    <m/>
  </r>
  <r>
    <n v="202208143"/>
    <x v="3"/>
    <s v="EUR"/>
    <x v="6"/>
    <x v="40"/>
    <d v="2022-08-11T00:00:00"/>
    <d v="2022-08-11T00:00:00"/>
    <n v="-2.08"/>
    <n v="2.08"/>
    <m/>
    <s v="Kruidvat 3123 PANNINGEN"/>
    <s v="UIT"/>
    <s v="KLEDING_PERSVERZ"/>
    <s v="persoonlijke_verzorging"/>
    <s v="bc"/>
    <m/>
    <m/>
    <m/>
    <m/>
    <m/>
    <s v="Betaalautomaat 16:32 pasnr. 032"/>
    <s v=" "/>
    <m/>
    <m/>
  </r>
  <r>
    <n v="202208153"/>
    <x v="3"/>
    <s v="EUR"/>
    <x v="6"/>
    <x v="40"/>
    <d v="2022-08-21T00:00:00"/>
    <d v="2022-08-21T00:00:00"/>
    <n v="-4.37"/>
    <n v="4.37"/>
    <m/>
    <s v="Kruidvat 3123 PANNINGEN"/>
    <s v="UIT"/>
    <s v="KLEDING_PERSVERZ"/>
    <s v="persoonlijke_verzorging"/>
    <s v="bc"/>
    <m/>
    <m/>
    <m/>
    <m/>
    <m/>
    <s v="Betaalautomaat 17:26 pasnr. 032"/>
    <s v=" "/>
    <m/>
    <m/>
  </r>
  <r>
    <n v="202208154"/>
    <x v="3"/>
    <s v="EUR"/>
    <x v="6"/>
    <x v="40"/>
    <d v="2022-08-21T00:00:00"/>
    <d v="2022-08-21T00:00:00"/>
    <n v="-2.99"/>
    <n v="2.99"/>
    <m/>
    <s v="Kruidvat 3123 PANNINGEN"/>
    <s v="UIT"/>
    <s v="KLEDING_PERSVERZ"/>
    <s v="persoonlijke_verzorging"/>
    <s v="bc"/>
    <m/>
    <m/>
    <m/>
    <m/>
    <m/>
    <s v="Betaalautomaat 17:28 pasnr. 032"/>
    <s v=" "/>
    <m/>
    <m/>
  </r>
  <r>
    <n v="202210014"/>
    <x v="3"/>
    <s v="EUR"/>
    <x v="6"/>
    <x v="73"/>
    <d v="2022-09-03T00:00:00"/>
    <d v="2022-09-03T00:00:00"/>
    <n v="-2.29"/>
    <n v="2.29"/>
    <m/>
    <s v="Kruidvat 7047 SEVENUM"/>
    <s v="UIT"/>
    <s v="KLEDING_PERSVERZ"/>
    <s v="persoonlijke_verzorging"/>
    <s v="bc"/>
    <m/>
    <m/>
    <m/>
    <m/>
    <m/>
    <s v="Betaalautomaat 16:35 pasnr. 032"/>
    <s v=" "/>
    <m/>
    <m/>
  </r>
  <r>
    <n v="202210038"/>
    <x v="3"/>
    <s v="EUR"/>
    <x v="6"/>
    <x v="73"/>
    <d v="2022-09-21T00:00:00"/>
    <d v="2022-09-21T00:00:00"/>
    <n v="-1.19"/>
    <n v="1.19"/>
    <m/>
    <s v="Kruidvat 3123 PANNINGEN"/>
    <s v="UIT"/>
    <s v="KLEDING_PERSVERZ"/>
    <s v="persoonlijke_verzorging"/>
    <s v="bc"/>
    <m/>
    <m/>
    <m/>
    <m/>
    <m/>
    <s v="Betaalautomaat 17:09 pasnr. 032"/>
    <s v=" "/>
    <m/>
    <m/>
  </r>
  <r>
    <n v="202301027"/>
    <x v="3"/>
    <s v="EUR"/>
    <x v="6"/>
    <x v="34"/>
    <d v="2022-10-14T00:00:00"/>
    <d v="2022-10-14T00:00:00"/>
    <n v="-3.35"/>
    <m/>
    <m/>
    <s v="113  DIO-Readshop MUSSELKANAAL"/>
    <s v="UIT"/>
    <s v="KLEDING_PERSVERZ"/>
    <s v="persoonlijke_verzorging"/>
    <s v="bc"/>
    <m/>
    <m/>
    <m/>
    <m/>
    <m/>
    <s v="Betaalautomaat 11:54 pasnr. 032"/>
    <s v=" "/>
    <m/>
    <m/>
  </r>
  <r>
    <n v="202301052"/>
    <x v="3"/>
    <s v="EUR"/>
    <x v="6"/>
    <x v="35"/>
    <d v="2022-11-05T00:00:00"/>
    <d v="2022-11-05T00:00:00"/>
    <n v="-9.9499999999999993"/>
    <m/>
    <m/>
    <s v="113  DIO-Readshop MUSSELKANAAL"/>
    <s v="UIT"/>
    <s v="KLEDING_PERSVERZ"/>
    <s v="persoonlijke_verzorging"/>
    <s v="bc"/>
    <m/>
    <m/>
    <m/>
    <m/>
    <m/>
    <s v="Betaalautomaat 11:18 pasnr. 032"/>
    <s v=" "/>
    <m/>
    <m/>
  </r>
  <r>
    <n v="1680"/>
    <x v="3"/>
    <m/>
    <x v="3"/>
    <x v="15"/>
    <d v="2019-02-02T00:00:00"/>
    <d v="2019-02-02T00:00:00"/>
    <n v="-28"/>
    <n v="28"/>
    <m/>
    <s v="UPCA CHIANGMAI THA"/>
    <s v="KRUIS"/>
    <s v="KRUIS"/>
    <s v="KRUIS"/>
    <m/>
    <m/>
    <m/>
    <m/>
    <m/>
    <m/>
    <m/>
    <m/>
    <m/>
    <m/>
  </r>
  <r>
    <n v="1686"/>
    <x v="3"/>
    <m/>
    <x v="3"/>
    <x v="15"/>
    <d v="2019-02-26T00:00:00"/>
    <d v="2019-02-26T00:00:00"/>
    <n v="28"/>
    <n v="28"/>
    <m/>
    <s v="JULIA SELMA ISIKTAS"/>
    <s v="KRUIS"/>
    <s v="KRUIS"/>
    <s v="KRUIS"/>
    <m/>
    <m/>
    <m/>
    <m/>
    <m/>
    <m/>
    <m/>
    <m/>
    <m/>
    <m/>
  </r>
  <r>
    <n v="2007"/>
    <x v="3"/>
    <m/>
    <x v="3"/>
    <x v="16"/>
    <d v="2019-11-14T00:00:00"/>
    <d v="2019-11-14T00:00:00"/>
    <n v="-130.30000000000001"/>
    <n v="130.30000000000001"/>
    <m/>
    <s v="ICICI BANK NORTHGOA IND"/>
    <s v="KRUIS"/>
    <s v="KRUIS"/>
    <s v="KRUIS"/>
    <m/>
    <m/>
    <m/>
    <m/>
    <m/>
    <m/>
    <m/>
    <m/>
    <m/>
    <m/>
  </r>
  <r>
    <n v="2009"/>
    <x v="3"/>
    <m/>
    <x v="3"/>
    <x v="16"/>
    <d v="2019-11-18T00:00:00"/>
    <d v="2019-11-18T00:00:00"/>
    <n v="130.30000000000001"/>
    <n v="130.30000000000001"/>
    <m/>
    <s v="J VAN BEEK CJ"/>
    <s v="KRUIS"/>
    <s v="KRUIS"/>
    <s v="KRUIS"/>
    <m/>
    <m/>
    <m/>
    <m/>
    <m/>
    <m/>
    <m/>
    <m/>
    <m/>
    <m/>
  </r>
  <r>
    <n v="2012"/>
    <x v="3"/>
    <m/>
    <x v="3"/>
    <x v="16"/>
    <d v="2019-11-20T00:00:00"/>
    <d v="2019-11-20T00:00:00"/>
    <n v="130.30000000000001"/>
    <n v="130.30000000000001"/>
    <m/>
    <s v="J VAN BEEK CJ"/>
    <s v="KRUIS"/>
    <s v="KRUIS"/>
    <s v="KRUIS"/>
    <m/>
    <m/>
    <m/>
    <m/>
    <m/>
    <m/>
    <m/>
    <m/>
    <m/>
    <m/>
  </r>
  <r>
    <n v="2015"/>
    <x v="3"/>
    <m/>
    <x v="3"/>
    <x v="16"/>
    <d v="2019-11-22T00:00:00"/>
    <d v="2019-11-22T00:00:00"/>
    <n v="260"/>
    <n v="260"/>
    <m/>
    <s v="J VAN BEEK CJ"/>
    <s v="KRUIS"/>
    <s v="KRUIS"/>
    <s v="KRUIS"/>
    <m/>
    <m/>
    <m/>
    <m/>
    <m/>
    <m/>
    <m/>
    <m/>
    <m/>
    <m/>
  </r>
  <r>
    <n v="2016"/>
    <x v="3"/>
    <m/>
    <x v="3"/>
    <x v="16"/>
    <d v="2019-11-25T00:00:00"/>
    <d v="2019-11-25T00:00:00"/>
    <n v="-130.62"/>
    <n v="130.62"/>
    <m/>
    <s v="ICICI BANK NORTHGOA IND"/>
    <s v="KRUIS"/>
    <s v="KRUIS"/>
    <s v="KRUIS"/>
    <m/>
    <m/>
    <m/>
    <m/>
    <m/>
    <m/>
    <m/>
    <m/>
    <m/>
    <m/>
  </r>
  <r>
    <n v="2017"/>
    <x v="3"/>
    <m/>
    <x v="3"/>
    <x v="16"/>
    <d v="2019-11-25T00:00:00"/>
    <d v="2019-11-25T00:00:00"/>
    <n v="-130.62"/>
    <n v="130.62"/>
    <m/>
    <s v="ICICI BANK NORTHGOA IND"/>
    <s v="KRUIS"/>
    <s v="KRUIS"/>
    <s v="KRUIS"/>
    <m/>
    <m/>
    <m/>
    <m/>
    <m/>
    <m/>
    <m/>
    <m/>
    <m/>
    <m/>
  </r>
  <r>
    <n v="2018"/>
    <x v="3"/>
    <m/>
    <x v="3"/>
    <x v="16"/>
    <d v="2019-11-25T00:00:00"/>
    <d v="2019-11-25T00:00:00"/>
    <n v="-130.62"/>
    <n v="130.62"/>
    <m/>
    <s v="ICICI BANK NORTHGOA IND"/>
    <s v="KRUIS"/>
    <s v="KRUIS"/>
    <s v="KRUIS"/>
    <m/>
    <m/>
    <m/>
    <m/>
    <m/>
    <m/>
    <m/>
    <m/>
    <m/>
    <m/>
  </r>
  <r>
    <n v="2019"/>
    <x v="3"/>
    <m/>
    <x v="3"/>
    <x v="16"/>
    <d v="2019-11-26T00:00:00"/>
    <d v="2019-11-26T00:00:00"/>
    <n v="-2.17"/>
    <n v="2.17"/>
    <m/>
    <s v="J VAN BEEK CJ"/>
    <s v="KRUIS"/>
    <s v="KRUIS"/>
    <s v="KRUIS"/>
    <m/>
    <m/>
    <m/>
    <m/>
    <m/>
    <m/>
    <m/>
    <m/>
    <m/>
    <m/>
  </r>
  <r>
    <n v="2020"/>
    <x v="3"/>
    <m/>
    <x v="3"/>
    <x v="17"/>
    <d v="2019-12-01T00:00:00"/>
    <d v="2019-12-01T00:00:00"/>
    <n v="130"/>
    <n v="130"/>
    <m/>
    <s v="J VAN BEEK CJ"/>
    <s v="KRUIS"/>
    <s v="KRUIS"/>
    <s v="KRUIS"/>
    <m/>
    <m/>
    <m/>
    <m/>
    <m/>
    <m/>
    <m/>
    <m/>
    <m/>
    <m/>
  </r>
  <r>
    <n v="2021"/>
    <x v="3"/>
    <m/>
    <x v="3"/>
    <x v="17"/>
    <d v="2019-12-02T00:00:00"/>
    <d v="2019-12-02T00:00:00"/>
    <n v="-128.69"/>
    <n v="128.69"/>
    <m/>
    <s v="SBI ARAMBOL ARAMBOL IND"/>
    <s v="KRUIS"/>
    <s v="KRUIS"/>
    <s v="KRUIS"/>
    <m/>
    <m/>
    <m/>
    <m/>
    <m/>
    <m/>
    <m/>
    <m/>
    <m/>
    <m/>
  </r>
  <r>
    <n v="2024"/>
    <x v="3"/>
    <m/>
    <x v="3"/>
    <x v="17"/>
    <d v="2019-12-05T00:00:00"/>
    <d v="2019-12-05T00:00:00"/>
    <n v="-127.98"/>
    <n v="127.98"/>
    <m/>
    <s v="SBI ARAMBOL ARAMBOL IND"/>
    <s v="KRUIS"/>
    <s v="KRUIS"/>
    <s v="KRUIS"/>
    <m/>
    <m/>
    <m/>
    <m/>
    <m/>
    <m/>
    <m/>
    <m/>
    <m/>
    <m/>
  </r>
  <r>
    <n v="2025"/>
    <x v="3"/>
    <m/>
    <x v="3"/>
    <x v="17"/>
    <d v="2019-12-10T00:00:00"/>
    <d v="2019-12-10T00:00:00"/>
    <n v="128"/>
    <n v="128"/>
    <m/>
    <s v="J VAN BEEK CJ"/>
    <s v="KRUIS"/>
    <s v="KRUIS"/>
    <s v="KRUIS"/>
    <m/>
    <m/>
    <m/>
    <m/>
    <m/>
    <m/>
    <m/>
    <m/>
    <m/>
    <m/>
  </r>
  <r>
    <n v="2046"/>
    <x v="0"/>
    <m/>
    <x v="3"/>
    <x v="17"/>
    <d v="2019-12-01T00:00:00"/>
    <d v="2019-12-01T00:00:00"/>
    <n v="2.4"/>
    <n v="2.4"/>
    <m/>
    <s v="correctie"/>
    <s v="KRUIS"/>
    <s v="KRUIS"/>
    <s v="KRUIS"/>
    <m/>
    <m/>
    <m/>
    <m/>
    <m/>
    <m/>
    <m/>
    <m/>
    <m/>
    <m/>
  </r>
  <r>
    <n v="2100"/>
    <x v="1"/>
    <m/>
    <x v="4"/>
    <x v="57"/>
    <d v="2020-10-16T00:00:00"/>
    <d v="2020-10-16T00:00:00"/>
    <n v="-73.98"/>
    <n v="73.98"/>
    <s v="FR7630004023210000047150210"/>
    <s v="SMIT RENE"/>
    <s v="KRUIS"/>
    <s v="KRUIS"/>
    <s v="KRUIS"/>
    <m/>
    <m/>
    <m/>
    <m/>
    <m/>
    <m/>
    <m/>
    <m/>
    <m/>
    <m/>
  </r>
  <r>
    <n v="2106"/>
    <x v="5"/>
    <m/>
    <x v="4"/>
    <x v="57"/>
    <d v="2020-10-08T00:00:00"/>
    <d v="2020-10-08T00:00:00"/>
    <n v="-5"/>
    <n v="5"/>
    <m/>
    <s v="Joost"/>
    <s v="KRUIS"/>
    <s v="KRUIS"/>
    <s v="KRUIS"/>
    <m/>
    <m/>
    <m/>
    <m/>
    <m/>
    <m/>
    <m/>
    <m/>
    <m/>
    <m/>
  </r>
  <r>
    <n v="2296"/>
    <x v="3"/>
    <m/>
    <x v="4"/>
    <x v="60"/>
    <d v="2020-08-07T00:00:00"/>
    <d v="2020-08-07T00:00:00"/>
    <n v="-20"/>
    <n v="20"/>
    <m/>
    <s v="WIKKERINK WINTERSWIJK WINTERSWYK"/>
    <s v="KRUIS"/>
    <s v="KRUIS"/>
    <s v="KRUIS"/>
    <m/>
    <s v="Betaalautomaat 11:56 pasnr. 022"/>
    <m/>
    <s v="bc"/>
    <m/>
    <m/>
    <m/>
    <m/>
    <m/>
    <s v="Abonnement maandelijks papieren    rekeningafschrift                  Periode 01-08-2020 t/m 31-08-2020"/>
  </r>
  <r>
    <n v="2297"/>
    <x v="3"/>
    <m/>
    <x v="4"/>
    <x v="60"/>
    <d v="2020-08-07T00:00:00"/>
    <d v="2020-08-07T00:00:00"/>
    <n v="20"/>
    <n v="20"/>
    <m/>
    <s v="Mw E van den Bergh"/>
    <s v="KRUIS"/>
    <s v="KRUIS"/>
    <s v="KRUIS"/>
    <m/>
    <s v=" "/>
    <s v="INGBNL2A"/>
    <s v="cb"/>
    <m/>
    <m/>
    <m/>
    <m/>
    <m/>
    <s v="Stortingsapparaat (eigen storting) Periode 01-07-2020 t/m 31-07-2020"/>
  </r>
  <r>
    <n v="2343"/>
    <x v="3"/>
    <m/>
    <x v="4"/>
    <x v="60"/>
    <d v="2020-08-22T00:00:00"/>
    <d v="2020-08-22T00:00:00"/>
    <n v="-3.6"/>
    <n v="3.6"/>
    <m/>
    <s v="Jumbo 236587 WINTERSWIJK"/>
    <s v="KRUIS"/>
    <s v="KRUIS"/>
    <s v="KRUIS"/>
    <m/>
    <m/>
    <m/>
    <m/>
    <m/>
    <m/>
    <m/>
    <m/>
    <m/>
    <m/>
  </r>
  <r>
    <n v="2345"/>
    <x v="3"/>
    <m/>
    <x v="4"/>
    <x v="60"/>
    <d v="2020-08-23T00:00:00"/>
    <d v="2020-08-23T00:00:00"/>
    <n v="3.6"/>
    <n v="3.6"/>
    <s v="NL65INGB0659312603"/>
    <s v="Mw E van den Bergh"/>
    <s v="KRUIS"/>
    <s v="KRUIS"/>
    <s v="KRUIS"/>
    <m/>
    <m/>
    <m/>
    <m/>
    <m/>
    <m/>
    <m/>
    <m/>
    <m/>
    <m/>
  </r>
  <r>
    <n v="2455"/>
    <x v="3"/>
    <m/>
    <x v="4"/>
    <x v="57"/>
    <d v="2020-10-16T00:00:00"/>
    <d v="2020-10-16T00:00:00"/>
    <n v="73.98"/>
    <n v="73.98"/>
    <s v="FR7630004023210000047150210"/>
    <s v="SMIT RENE"/>
    <s v="KRUIS"/>
    <s v="KRUIS"/>
    <s v="KRUIS"/>
    <m/>
    <m/>
    <m/>
    <m/>
    <m/>
    <m/>
    <m/>
    <m/>
    <m/>
    <m/>
  </r>
  <r>
    <n v="2462"/>
    <x v="3"/>
    <m/>
    <x v="4"/>
    <x v="57"/>
    <d v="2020-10-18T00:00:00"/>
    <d v="2020-10-18T00:00:00"/>
    <n v="-50"/>
    <n v="50"/>
    <m/>
    <s v="Geldmaat Vossenstraat Arnhem"/>
    <s v="KRUIS"/>
    <s v="KRUIS"/>
    <s v="KRUIS"/>
    <m/>
    <m/>
    <m/>
    <m/>
    <m/>
    <m/>
    <m/>
    <m/>
    <m/>
    <m/>
  </r>
  <r>
    <n v="2471"/>
    <x v="3"/>
    <m/>
    <x v="4"/>
    <x v="57"/>
    <d v="2020-10-22T00:00:00"/>
    <d v="2020-10-22T00:00:00"/>
    <n v="55"/>
    <n v="55"/>
    <s v="NL83SNSB0933441983"/>
    <s v="TEUNISSEN J B P"/>
    <s v="KRUIS"/>
    <s v="KRUIS"/>
    <s v="KRUIS"/>
    <m/>
    <m/>
    <m/>
    <m/>
    <m/>
    <m/>
    <m/>
    <m/>
    <m/>
    <m/>
  </r>
  <r>
    <n v="2483"/>
    <x v="3"/>
    <m/>
    <x v="4"/>
    <x v="57"/>
    <d v="2020-10-28T00:00:00"/>
    <d v="2020-10-28T00:00:00"/>
    <n v="-36.97"/>
    <n v="36.97"/>
    <m/>
    <s v="Rabobank Nederland"/>
    <s v="KRUIS"/>
    <s v="KRUIS"/>
    <s v="KRUIS"/>
    <s v="NIEUW"/>
    <m/>
    <m/>
    <m/>
    <m/>
    <m/>
    <m/>
    <m/>
    <m/>
    <m/>
  </r>
  <r>
    <n v="2504"/>
    <x v="3"/>
    <m/>
    <x v="4"/>
    <x v="59"/>
    <d v="2020-11-11T00:00:00"/>
    <d v="2020-11-11T00:00:00"/>
    <n v="-20"/>
    <n v="20"/>
    <m/>
    <s v="OPLADEN OV-CHIPKAART AMERSFOORT JOOST"/>
    <s v="KRUIS"/>
    <s v="KRUIS"/>
    <s v="KRUIS"/>
    <s v="NIEUW"/>
    <m/>
    <m/>
    <m/>
    <m/>
    <m/>
    <m/>
    <m/>
    <m/>
    <m/>
  </r>
  <r>
    <n v="2511"/>
    <x v="3"/>
    <m/>
    <x v="4"/>
    <x v="59"/>
    <d v="2020-11-15T00:00:00"/>
    <d v="2020-11-15T00:00:00"/>
    <n v="-7.5"/>
    <n v="7.5"/>
    <s v="NL48RABO0132394782"/>
    <s v="TransferWise by Adyen"/>
    <s v="KRUIS"/>
    <s v="KRUIS"/>
    <s v="KRUIS"/>
    <s v="NIEUW"/>
    <m/>
    <m/>
    <m/>
    <m/>
    <m/>
    <m/>
    <m/>
    <m/>
    <m/>
  </r>
  <r>
    <n v="2524"/>
    <x v="3"/>
    <m/>
    <x v="4"/>
    <x v="59"/>
    <d v="2020-11-20T00:00:00"/>
    <d v="2020-11-20T00:00:00"/>
    <n v="20"/>
    <n v="20"/>
    <s v="NL83SNSB0933441983"/>
    <s v="TEUNISSEN J B P"/>
    <s v="KRUIS"/>
    <s v="KRUIS"/>
    <s v="KRUIS"/>
    <s v="NIEUW"/>
    <m/>
    <m/>
    <m/>
    <m/>
    <m/>
    <m/>
    <m/>
    <m/>
    <m/>
  </r>
  <r>
    <n v="2529"/>
    <x v="3"/>
    <m/>
    <x v="4"/>
    <x v="59"/>
    <d v="2020-11-23T00:00:00"/>
    <d v="2020-11-23T00:00:00"/>
    <n v="7.5"/>
    <n v="7.5"/>
    <s v="NL51ABNA0565668625"/>
    <s v="ADYEN NV"/>
    <s v="KRUIS"/>
    <s v="KRUIS"/>
    <s v="KRUIS"/>
    <s v="NIEUW"/>
    <m/>
    <m/>
    <m/>
    <m/>
    <m/>
    <m/>
    <m/>
    <m/>
    <m/>
  </r>
  <r>
    <n v="2533"/>
    <x v="3"/>
    <m/>
    <x v="4"/>
    <x v="59"/>
    <d v="2020-11-28T00:00:00"/>
    <d v="2020-11-28T00:00:00"/>
    <n v="-7.48"/>
    <n v="7.48"/>
    <m/>
    <s v="Rabobank Nederland"/>
    <s v="KRUIS"/>
    <s v="KRUIS"/>
    <s v="KRUIS"/>
    <s v="NIEUW"/>
    <m/>
    <m/>
    <m/>
    <m/>
    <m/>
    <m/>
    <m/>
    <m/>
    <m/>
  </r>
  <r>
    <n v="2577"/>
    <x v="3"/>
    <m/>
    <x v="4"/>
    <x v="58"/>
    <d v="2020-12-28T00:00:00"/>
    <d v="2020-12-28T00:00:00"/>
    <n v="-38.340000000000003"/>
    <n v="38.340000000000003"/>
    <m/>
    <s v="Rabobank Nederland"/>
    <s v="KRUIS"/>
    <s v="KRUIS"/>
    <s v="KRUIS"/>
    <s v="NIEUW"/>
    <m/>
    <m/>
    <m/>
    <m/>
    <m/>
    <m/>
    <m/>
    <m/>
    <m/>
  </r>
  <r>
    <n v="2621"/>
    <x v="0"/>
    <m/>
    <x v="4"/>
    <x v="57"/>
    <d v="2020-10-15T00:00:00"/>
    <d v="2020-10-15T00:00:00"/>
    <n v="-7.5"/>
    <n v="7.5"/>
    <m/>
    <s v="PAYPAL *RKLEWINS         35314369001  NLD"/>
    <s v="KRUIS"/>
    <s v="KRUIS"/>
    <s v="KRUIS"/>
    <s v="NIEUW"/>
    <m/>
    <m/>
    <m/>
    <m/>
    <m/>
    <m/>
    <m/>
    <m/>
    <m/>
  </r>
  <r>
    <n v="2624"/>
    <x v="0"/>
    <m/>
    <x v="4"/>
    <x v="57"/>
    <d v="2020-10-28T00:00:00"/>
    <d v="2020-10-28T00:00:00"/>
    <n v="36.97"/>
    <n v="36.97"/>
    <m/>
    <s v="Verrekening vorig overzicht"/>
    <s v="KRUIS"/>
    <s v="KRUIS"/>
    <s v="KRUIS"/>
    <s v="NIEUW"/>
    <m/>
    <m/>
    <m/>
    <m/>
    <m/>
    <m/>
    <m/>
    <m/>
    <m/>
  </r>
  <r>
    <n v="2626"/>
    <x v="0"/>
    <m/>
    <x v="4"/>
    <x v="59"/>
    <d v="2020-11-14T00:00:00"/>
    <d v="2020-11-14T00:00:00"/>
    <n v="7.5"/>
    <n v="7.5"/>
    <m/>
    <s v="PAYPAL *RKLEWINS         35314369001  NLD"/>
    <s v="KRUIS"/>
    <s v="KRUIS"/>
    <s v="KRUIS"/>
    <s v="NIEUW"/>
    <m/>
    <m/>
    <m/>
    <m/>
    <m/>
    <m/>
    <m/>
    <m/>
    <m/>
  </r>
  <r>
    <n v="2629"/>
    <x v="0"/>
    <m/>
    <x v="4"/>
    <x v="59"/>
    <d v="2020-11-28T00:00:00"/>
    <d v="2020-11-28T00:00:00"/>
    <n v="7.48"/>
    <n v="7.48"/>
    <m/>
    <s v="Verrekening vorig overzicht"/>
    <s v="KRUIS"/>
    <s v="KRUIS"/>
    <s v="KRUIS"/>
    <s v="NIEUW"/>
    <m/>
    <m/>
    <m/>
    <m/>
    <m/>
    <m/>
    <m/>
    <m/>
    <m/>
  </r>
  <r>
    <n v="2637"/>
    <x v="0"/>
    <m/>
    <x v="4"/>
    <x v="58"/>
    <d v="2020-12-28T00:00:00"/>
    <d v="2020-12-28T00:00:00"/>
    <n v="38.340000000000003"/>
    <n v="38.340000000000003"/>
    <m/>
    <s v="Verrekening vorig overzicht"/>
    <s v="KRUIS"/>
    <s v="KRUIS"/>
    <s v="KRUIS"/>
    <s v="NIEUW"/>
    <m/>
    <m/>
    <m/>
    <m/>
    <m/>
    <m/>
    <m/>
    <m/>
    <m/>
  </r>
  <r>
    <n v="2638"/>
    <x v="10"/>
    <m/>
    <x v="5"/>
    <x v="26"/>
    <d v="2021-11-15T00:00:00"/>
    <d v="2021-04-15T00:00:00"/>
    <n v="150"/>
    <n v="150"/>
    <m/>
    <s v="KRUIS"/>
    <s v="KRUIS"/>
    <s v="KRUIS"/>
    <s v="KRUIS"/>
    <m/>
    <m/>
    <m/>
    <m/>
    <m/>
    <m/>
    <m/>
    <m/>
    <m/>
    <m/>
  </r>
  <r>
    <n v="2643"/>
    <x v="5"/>
    <m/>
    <x v="5"/>
    <x v="26"/>
    <d v="2021-11-19T00:00:00"/>
    <m/>
    <n v="10"/>
    <n v="10"/>
    <m/>
    <s v="kasopname om kaart te activeren"/>
    <s v="KRUIS"/>
    <s v="KRUIS"/>
    <s v="KRUIS"/>
    <m/>
    <m/>
    <m/>
    <m/>
    <m/>
    <m/>
    <m/>
    <m/>
    <m/>
    <m/>
  </r>
  <r>
    <n v="2650"/>
    <x v="2"/>
    <m/>
    <x v="5"/>
    <x v="64"/>
    <d v="2021-09-18T00:00:00"/>
    <d v="2021-09-18T00:00:00"/>
    <m/>
    <n v="0"/>
    <m/>
    <s v="Joost"/>
    <s v="KRUIS"/>
    <s v="KRUIS"/>
    <s v="KRUIS"/>
    <m/>
    <m/>
    <m/>
    <m/>
    <m/>
    <m/>
    <m/>
    <m/>
    <m/>
    <m/>
  </r>
  <r>
    <n v="2674"/>
    <x v="3"/>
    <m/>
    <x v="5"/>
    <x v="65"/>
    <d v="2021-01-14T00:00:00"/>
    <d v="2021-01-14T00:00:00"/>
    <n v="300"/>
    <n v="300"/>
    <s v="NL24RABO3628561752"/>
    <s v="R.C. Smit"/>
    <s v="KRUIS"/>
    <s v="KRUIS"/>
    <s v="KRUIS"/>
    <s v="RABONL2U"/>
    <s v="tb"/>
    <m/>
    <m/>
    <m/>
    <m/>
    <m/>
    <s v=" "/>
    <s v=" "/>
    <m/>
  </r>
  <r>
    <n v="2684"/>
    <x v="3"/>
    <m/>
    <x v="5"/>
    <x v="65"/>
    <d v="2021-01-28T00:00:00"/>
    <d v="2021-01-28T00:00:00"/>
    <n v="-11.57"/>
    <n v="11.57"/>
    <m/>
    <s v="Rabobank Nederland"/>
    <s v="KRUIS"/>
    <s v="KRUIS"/>
    <s v="KRUIS"/>
    <m/>
    <s v="cc"/>
    <m/>
    <m/>
    <m/>
    <m/>
    <m/>
    <s v="Kaartnummer: ****.****.****.1478   Zie rekeningoverzicht 23-01-2021"/>
    <s v=" "/>
    <m/>
  </r>
  <r>
    <n v="2710"/>
    <x v="3"/>
    <m/>
    <x v="5"/>
    <x v="63"/>
    <d v="2021-03-01T00:00:00"/>
    <d v="2021-03-01T00:00:00"/>
    <n v="-29.47"/>
    <n v="29.47"/>
    <m/>
    <s v="Rabobank Nederland"/>
    <s v="KRUIS"/>
    <s v="KRUIS"/>
    <s v="KRUIS"/>
    <m/>
    <s v="cc"/>
    <m/>
    <m/>
    <m/>
    <m/>
    <m/>
    <s v="Kaartnummer: ****.****.****.1478   Zie rekeningoverzicht 24-02-2021"/>
    <s v=" "/>
    <m/>
  </r>
  <r>
    <n v="2724"/>
    <x v="3"/>
    <m/>
    <x v="5"/>
    <x v="63"/>
    <d v="2021-03-29T00:00:00"/>
    <d v="2021-03-29T00:00:00"/>
    <n v="-14.97"/>
    <n v="14.97"/>
    <m/>
    <s v="Rabobank Nederland"/>
    <s v="KRUIS"/>
    <s v="KRUIS"/>
    <s v="KRUIS"/>
    <m/>
    <m/>
    <m/>
    <m/>
    <m/>
    <m/>
    <m/>
    <m/>
    <m/>
    <m/>
  </r>
  <r>
    <n v="2732"/>
    <x v="3"/>
    <m/>
    <x v="5"/>
    <x v="66"/>
    <d v="2021-04-04T00:00:00"/>
    <d v="2021-04-04T00:00:00"/>
    <n v="500"/>
    <n v="500"/>
    <s v="NL24RABO3628561752"/>
    <s v="R.C. Smit"/>
    <s v="KRUIS"/>
    <s v="KRUIS"/>
    <s v="KRUIS"/>
    <m/>
    <m/>
    <m/>
    <m/>
    <m/>
    <m/>
    <m/>
    <m/>
    <m/>
    <m/>
  </r>
  <r>
    <n v="2743"/>
    <x v="3"/>
    <m/>
    <x v="5"/>
    <x v="66"/>
    <d v="2021-04-15T00:00:00"/>
    <d v="2021-04-15T00:00:00"/>
    <n v="-25"/>
    <n v="25"/>
    <s v="IT47Z3608105138243365043377"/>
    <s v="RC Smit"/>
    <s v="KRUIS"/>
    <s v="KRUIS"/>
    <s v="KRUIS"/>
    <m/>
    <m/>
    <m/>
    <m/>
    <m/>
    <m/>
    <m/>
    <m/>
    <m/>
    <m/>
  </r>
  <r>
    <n v="2750"/>
    <x v="3"/>
    <m/>
    <x v="5"/>
    <x v="66"/>
    <d v="2021-04-23T00:00:00"/>
    <d v="2021-04-23T00:00:00"/>
    <n v="-1000"/>
    <n v="1000"/>
    <s v="NL24RABO3628561752"/>
    <s v="R.C. Smit"/>
    <s v="KRUIS"/>
    <s v="KRUIS"/>
    <s v="KRUIS"/>
    <m/>
    <m/>
    <m/>
    <m/>
    <m/>
    <m/>
    <m/>
    <m/>
    <m/>
    <m/>
  </r>
  <r>
    <n v="2759"/>
    <x v="3"/>
    <m/>
    <x v="5"/>
    <x v="66"/>
    <d v="2021-04-28T00:00:00"/>
    <d v="2021-04-28T00:00:00"/>
    <n v="-28.97"/>
    <n v="28.97"/>
    <m/>
    <s v="Rabobank Nederland"/>
    <s v="KRUIS"/>
    <s v="KRUIS"/>
    <s v="KRUIS"/>
    <m/>
    <m/>
    <m/>
    <m/>
    <m/>
    <m/>
    <m/>
    <m/>
    <m/>
    <m/>
  </r>
  <r>
    <n v="2802"/>
    <x v="3"/>
    <m/>
    <x v="5"/>
    <x v="67"/>
    <d v="2021-05-28T00:00:00"/>
    <d v="2021-05-28T00:00:00"/>
    <n v="-21.97"/>
    <n v="21.97"/>
    <m/>
    <s v="Rabobank Nederland"/>
    <s v="KRUIS"/>
    <s v="KRUIS"/>
    <s v="KRUIS"/>
    <m/>
    <s v="cc"/>
    <m/>
    <m/>
    <m/>
    <m/>
    <m/>
    <m/>
    <m/>
    <m/>
  </r>
  <r>
    <n v="2803"/>
    <x v="3"/>
    <m/>
    <x v="5"/>
    <x v="67"/>
    <d v="2021-05-28T00:00:00"/>
    <d v="2021-05-28T00:00:00"/>
    <n v="-1100"/>
    <n v="1100"/>
    <s v="NL24RABO3628561752"/>
    <s v="R.C. Smit"/>
    <s v="KRUIS"/>
    <s v="KRUIS"/>
    <s v="KRUIS"/>
    <s v="RABONL2UXXX"/>
    <s v="tb"/>
    <m/>
    <m/>
    <m/>
    <m/>
    <m/>
    <m/>
    <m/>
    <m/>
  </r>
  <r>
    <n v="2865"/>
    <x v="3"/>
    <m/>
    <x v="5"/>
    <x v="68"/>
    <d v="2021-06-25T00:00:00"/>
    <d v="2021-06-25T00:00:00"/>
    <n v="-900"/>
    <n v="900"/>
    <s v="NL24RABO3628561752"/>
    <s v="R.C. Smit"/>
    <s v="KRUIS"/>
    <s v="KRUIS"/>
    <s v="KRUIS"/>
    <s v="RABONL2UXXX"/>
    <s v="tb"/>
    <m/>
    <m/>
    <m/>
    <m/>
    <m/>
    <s v=" "/>
    <s v=" "/>
    <m/>
  </r>
  <r>
    <n v="2868"/>
    <x v="3"/>
    <m/>
    <x v="5"/>
    <x v="68"/>
    <d v="2021-06-28T00:00:00"/>
    <d v="2021-06-28T00:00:00"/>
    <n v="-14.98"/>
    <n v="14.98"/>
    <m/>
    <s v="Rabobank Nederland"/>
    <s v="KRUIS"/>
    <s v="KRUIS"/>
    <s v="KRUIS"/>
    <m/>
    <s v="cc"/>
    <m/>
    <m/>
    <m/>
    <m/>
    <m/>
    <s v="Kaartnummer: ****.****.****.1478   Zie rekeningoverzicht 24-06-2021"/>
    <s v=" "/>
    <m/>
  </r>
  <r>
    <n v="2909"/>
    <x v="3"/>
    <m/>
    <x v="5"/>
    <x v="69"/>
    <d v="2021-07-26T00:00:00"/>
    <d v="2021-07-26T00:00:00"/>
    <n v="-1500"/>
    <n v="1500"/>
    <s v="NL24RABO3628561752"/>
    <s v="R.C. Smit"/>
    <s v="KRUIS"/>
    <s v="KRUIS"/>
    <s v="KRUIS"/>
    <s v="RABONL2UXXX"/>
    <s v="tb"/>
    <m/>
    <m/>
    <m/>
    <m/>
    <m/>
    <s v=" "/>
    <s v=" "/>
    <m/>
  </r>
  <r>
    <n v="2912"/>
    <x v="3"/>
    <m/>
    <x v="5"/>
    <x v="69"/>
    <d v="2021-07-28T00:00:00"/>
    <d v="2021-07-28T00:00:00"/>
    <n v="-21.65"/>
    <n v="21.65"/>
    <m/>
    <s v="Rabobank Nederland"/>
    <s v="KRUIS"/>
    <s v="KRUIS"/>
    <s v="KRUIS"/>
    <m/>
    <s v="cc"/>
    <m/>
    <m/>
    <m/>
    <m/>
    <m/>
    <s v="Kaartnummer: ****.****.****.1478   Zie rekeningoverzicht 24-07-2021"/>
    <s v=" "/>
    <m/>
  </r>
  <r>
    <n v="2945"/>
    <x v="3"/>
    <m/>
    <x v="5"/>
    <x v="70"/>
    <d v="2021-08-27T00:00:00"/>
    <d v="2021-08-27T00:00:00"/>
    <n v="-1188"/>
    <n v="1188"/>
    <s v="NL24RABO3628561752"/>
    <s v="R.C. Smit"/>
    <s v="KRUIS"/>
    <s v="KRUIS"/>
    <s v="KRUIS"/>
    <s v="RABONL2UXXX"/>
    <s v="tb"/>
    <m/>
    <m/>
    <m/>
    <m/>
    <m/>
    <s v="X"/>
    <s v=" "/>
    <m/>
  </r>
  <r>
    <n v="2946"/>
    <x v="3"/>
    <m/>
    <x v="5"/>
    <x v="70"/>
    <d v="2021-08-28T00:00:00"/>
    <d v="2021-08-28T00:00:00"/>
    <n v="-7.98"/>
    <n v="7.98"/>
    <m/>
    <s v="Rabobank Nederland"/>
    <s v="KRUIS"/>
    <s v="KRUIS"/>
    <s v="KRUIS"/>
    <m/>
    <s v="cc"/>
    <m/>
    <m/>
    <m/>
    <m/>
    <m/>
    <s v="Kaartnummer: ****.****.****.1478   Zie rekeningoverzicht 24-08-2021"/>
    <s v=" "/>
    <m/>
  </r>
  <r>
    <n v="2969"/>
    <x v="3"/>
    <m/>
    <x v="5"/>
    <x v="64"/>
    <d v="2021-09-16T00:00:00"/>
    <d v="2021-09-16T00:00:00"/>
    <n v="-50"/>
    <n v="50"/>
    <m/>
    <s v="Geldmaat Marienburgstr Arnhem"/>
    <s v="KRUIS"/>
    <s v="KRUIS"/>
    <s v="KRUIS"/>
    <m/>
    <s v="ga"/>
    <m/>
    <m/>
    <m/>
    <m/>
    <m/>
    <s v="Geldmaat Marienburgstr Arnhem      Geldautomaat 16:08 pasnr. 011"/>
    <s v=" "/>
    <m/>
  </r>
  <r>
    <n v="2987"/>
    <x v="3"/>
    <m/>
    <x v="5"/>
    <x v="64"/>
    <d v="2021-09-24T00:00:00"/>
    <d v="2021-09-24T00:00:00"/>
    <n v="-1700"/>
    <n v="1700"/>
    <s v="NL24RABO3628561752"/>
    <s v="R.C. Smit"/>
    <s v="KRUIS"/>
    <s v="KRUIS"/>
    <s v="KRUIS"/>
    <m/>
    <m/>
    <m/>
    <m/>
    <m/>
    <m/>
    <s v=" "/>
    <s v=" "/>
    <m/>
    <m/>
  </r>
  <r>
    <n v="2991"/>
    <x v="3"/>
    <m/>
    <x v="5"/>
    <x v="64"/>
    <d v="2021-09-28T00:00:00"/>
    <d v="2021-09-28T00:00:00"/>
    <n v="-31.19"/>
    <n v="31.19"/>
    <m/>
    <s v="Rabobank Nederland"/>
    <s v="KRUIS"/>
    <s v="KRUIS"/>
    <s v="KRUIS"/>
    <m/>
    <m/>
    <m/>
    <m/>
    <m/>
    <m/>
    <s v="Kaartnummer: ****.****.****.1478   Zie rekeningoverzicht 24-09-2021"/>
    <s v=" "/>
    <m/>
    <m/>
  </r>
  <r>
    <n v="2993"/>
    <x v="3"/>
    <m/>
    <x v="5"/>
    <x v="64"/>
    <d v="2021-09-28T00:00:00"/>
    <d v="2021-09-28T00:00:00"/>
    <n v="50"/>
    <n v="50"/>
    <s v="NL83SNSB0933441983"/>
    <s v="J.B.P. Teunissen"/>
    <s v="KRUIS"/>
    <s v="KRUIS"/>
    <s v="KRUIS"/>
    <m/>
    <m/>
    <m/>
    <m/>
    <m/>
    <m/>
    <s v="September"/>
    <s v=" "/>
    <m/>
    <m/>
  </r>
  <r>
    <n v="3072"/>
    <x v="3"/>
    <m/>
    <x v="5"/>
    <x v="25"/>
    <d v="2021-10-28T00:00:00"/>
    <d v="2021-10-28T00:00:00"/>
    <n v="-333.93"/>
    <n v="333.93"/>
    <m/>
    <s v="Rabobank Nederland"/>
    <s v="KRUIS"/>
    <s v="KRUIS"/>
    <s v="KRUIS"/>
    <s v="cc"/>
    <m/>
    <m/>
    <m/>
    <m/>
    <m/>
    <s v="Kaartnummer: ****.****.****.1478   Zie rekeningoverzicht 23-10-2021"/>
    <s v=" "/>
    <m/>
    <m/>
  </r>
  <r>
    <n v="3074"/>
    <x v="3"/>
    <m/>
    <x v="5"/>
    <x v="25"/>
    <d v="2021-10-28T00:00:00"/>
    <d v="2021-10-28T00:00:00"/>
    <n v="300"/>
    <n v="300"/>
    <s v="NL24RABO3628561752"/>
    <s v="R.C. Smit"/>
    <s v="KRUIS"/>
    <s v="KRUIS"/>
    <s v="KRUIS"/>
    <s v="tb"/>
    <m/>
    <m/>
    <m/>
    <m/>
    <m/>
    <s v=" "/>
    <s v=" "/>
    <m/>
    <m/>
  </r>
  <r>
    <n v="3092"/>
    <x v="3"/>
    <m/>
    <x v="5"/>
    <x v="26"/>
    <d v="2021-11-02T00:00:00"/>
    <d v="2021-11-02T00:00:00"/>
    <n v="200"/>
    <n v="200"/>
    <s v="NL24RABO3628561752"/>
    <s v="R.C. Smit"/>
    <s v="KRUIS"/>
    <s v="KRUIS"/>
    <s v="KRUIS"/>
    <s v="tb"/>
    <m/>
    <m/>
    <m/>
    <m/>
    <m/>
    <s v=" "/>
    <s v=" "/>
    <m/>
    <m/>
  </r>
  <r>
    <n v="3112"/>
    <x v="3"/>
    <m/>
    <x v="5"/>
    <x v="26"/>
    <d v="2021-11-11T00:00:00"/>
    <d v="2021-11-11T00:00:00"/>
    <n v="-10"/>
    <n v="10"/>
    <m/>
    <s v="Geldmaat Marktstraat 8 Musselkanaal"/>
    <s v="KRUIS"/>
    <s v="KRUIS"/>
    <s v="KRUIS"/>
    <s v="ga"/>
    <m/>
    <m/>
    <m/>
    <m/>
    <m/>
    <s v="Geldautomaat 16:05 pasnr. 032"/>
    <s v=" "/>
    <m/>
    <m/>
  </r>
  <r>
    <n v="3118"/>
    <x v="3"/>
    <m/>
    <x v="5"/>
    <x v="26"/>
    <d v="2021-11-12T00:00:00"/>
    <d v="2021-11-12T00:00:00"/>
    <n v="300"/>
    <n v="300"/>
    <s v="NL24RABO3628561752"/>
    <s v="R.C. Smit"/>
    <s v="KRUIS"/>
    <s v="KRUIS"/>
    <s v="KRUIS"/>
    <s v="tb"/>
    <m/>
    <m/>
    <m/>
    <m/>
    <m/>
    <s v=" "/>
    <s v=" "/>
    <m/>
    <m/>
  </r>
  <r>
    <n v="3119"/>
    <x v="3"/>
    <m/>
    <x v="5"/>
    <x v="26"/>
    <d v="2021-11-12T00:00:00"/>
    <d v="2021-11-15T00:00:00"/>
    <n v="-150"/>
    <n v="150"/>
    <s v="IT47Z3608105138243365043377"/>
    <s v="RC Smit"/>
    <s v="KRUIS"/>
    <s v="KRUIS"/>
    <s v="KRUIS"/>
    <s v="bg"/>
    <m/>
    <m/>
    <m/>
    <m/>
    <m/>
    <s v=" "/>
    <s v=" "/>
    <m/>
    <m/>
  </r>
  <r>
    <n v="3129"/>
    <x v="3"/>
    <m/>
    <x v="5"/>
    <x v="26"/>
    <d v="2021-11-17T00:00:00"/>
    <d v="2021-11-17T00:00:00"/>
    <n v="1000"/>
    <n v="1000"/>
    <s v="NL24RABO3628561752"/>
    <s v="R.C. Smit"/>
    <s v="KRUIS"/>
    <s v="KRUIS"/>
    <s v="KRUIS"/>
    <s v="tb"/>
    <m/>
    <m/>
    <m/>
    <m/>
    <m/>
    <s v=" "/>
    <s v=" "/>
    <m/>
    <m/>
  </r>
  <r>
    <n v="3138"/>
    <x v="3"/>
    <m/>
    <x v="5"/>
    <x v="26"/>
    <d v="2021-11-24T00:00:00"/>
    <d v="2021-11-24T00:00:00"/>
    <n v="73.260000000000005"/>
    <n v="73.260000000000005"/>
    <m/>
    <s v="Boeking naar betaalrekening"/>
    <s v="KRUIS"/>
    <s v="KRUIS"/>
    <s v="KRUIS"/>
    <s v="db"/>
    <m/>
    <m/>
    <m/>
    <m/>
    <m/>
    <s v="Overschrijving saldo afkomstig van uw creditcard ****.****.****.1478"/>
    <s v=" "/>
    <m/>
    <m/>
  </r>
  <r>
    <n v="3148"/>
    <x v="3"/>
    <m/>
    <x v="5"/>
    <x v="27"/>
    <d v="2021-12-23T00:00:00"/>
    <d v="2021-12-23T00:00:00"/>
    <n v="-600"/>
    <n v="600"/>
    <s v="NL24RABO3628561752"/>
    <s v="R.C. Smit"/>
    <s v="KRUIS"/>
    <s v="KRUIS"/>
    <s v="KRUIS"/>
    <s v="tb"/>
    <m/>
    <m/>
    <m/>
    <m/>
    <m/>
    <s v=" "/>
    <s v=" "/>
    <m/>
    <m/>
  </r>
  <r>
    <n v="3150"/>
    <x v="3"/>
    <m/>
    <x v="5"/>
    <x v="27"/>
    <d v="2021-12-28T00:00:00"/>
    <d v="2021-12-28T00:00:00"/>
    <n v="-241.46"/>
    <n v="241.46"/>
    <m/>
    <s v="Rabobank Nederland"/>
    <s v="KRUIS"/>
    <s v="KRUIS"/>
    <s v="KRUIS"/>
    <s v="cc"/>
    <m/>
    <m/>
    <m/>
    <m/>
    <m/>
    <s v="Kaartnummer: ****.****.****.1478   Zie rekeningoverzicht 24-12-2021"/>
    <s v=" "/>
    <m/>
    <m/>
  </r>
  <r>
    <n v="3151"/>
    <x v="3"/>
    <m/>
    <x v="5"/>
    <x v="27"/>
    <d v="2021-12-31T00:00:00"/>
    <d v="2021-12-31T00:00:00"/>
    <n v="800"/>
    <n v="800"/>
    <s v="NL24RABO3628561752"/>
    <s v="R.C. Smit"/>
    <s v="KRUIS"/>
    <s v="KRUIS"/>
    <s v="KRUIS"/>
    <s v="tb"/>
    <m/>
    <m/>
    <m/>
    <m/>
    <m/>
    <s v=" "/>
    <s v=" "/>
    <m/>
    <m/>
  </r>
  <r>
    <n v="3153"/>
    <x v="8"/>
    <m/>
    <x v="5"/>
    <x v="65"/>
    <d v="2021-01-14T00:00:00"/>
    <d v="2021-01-14T00:00:00"/>
    <n v="-300"/>
    <n v="300"/>
    <s v="NL22RABO0381604934"/>
    <s v="R.C. SMIT"/>
    <s v="KRUIS"/>
    <s v="KRUIS"/>
    <s v="KRUIS"/>
    <m/>
    <s v="db"/>
    <m/>
    <m/>
    <m/>
    <m/>
    <m/>
    <s v="Afschrijving                          "/>
    <s v="   "/>
    <m/>
  </r>
  <r>
    <n v="3154"/>
    <x v="8"/>
    <m/>
    <x v="5"/>
    <x v="66"/>
    <d v="2021-04-04T00:00:00"/>
    <d v="2021-04-04T00:00:00"/>
    <n v="-500"/>
    <n v="500"/>
    <s v="NL22RABO0381604934"/>
    <s v="R.C. Smit"/>
    <s v="KRUIS"/>
    <s v="KRUIS"/>
    <s v="KRUIS"/>
    <m/>
    <m/>
    <m/>
    <m/>
    <m/>
    <m/>
    <m/>
    <m/>
    <m/>
    <m/>
  </r>
  <r>
    <n v="3155"/>
    <x v="8"/>
    <m/>
    <x v="5"/>
    <x v="66"/>
    <d v="2021-04-23T00:00:00"/>
    <d v="2021-04-23T00:00:00"/>
    <n v="1000"/>
    <n v="1000"/>
    <s v="NL22RABO0381604934"/>
    <s v="R.C. Smit"/>
    <s v="KRUIS"/>
    <s v="KRUIS"/>
    <s v="KRUIS"/>
    <m/>
    <m/>
    <m/>
    <m/>
    <m/>
    <m/>
    <m/>
    <m/>
    <m/>
    <m/>
  </r>
  <r>
    <n v="3156"/>
    <x v="8"/>
    <m/>
    <x v="5"/>
    <x v="67"/>
    <d v="2021-05-28T00:00:00"/>
    <d v="2021-05-28T00:00:00"/>
    <n v="1100"/>
    <n v="1100"/>
    <s v="NL22RABO0381604934"/>
    <s v="R.C. Smit"/>
    <s v="KRUIS"/>
    <s v="KRUIS"/>
    <s v="KRUIS"/>
    <m/>
    <s v="db"/>
    <m/>
    <m/>
    <m/>
    <m/>
    <m/>
    <m/>
    <m/>
    <m/>
  </r>
  <r>
    <n v="3157"/>
    <x v="8"/>
    <m/>
    <x v="5"/>
    <x v="68"/>
    <d v="2021-06-25T00:00:00"/>
    <d v="2021-06-25T00:00:00"/>
    <n v="900"/>
    <n v="900"/>
    <s v="NL22RABO0381604934"/>
    <s v="R.C. Smit"/>
    <s v="KRUIS"/>
    <s v="KRUIS"/>
    <s v="KRUIS"/>
    <m/>
    <s v="db"/>
    <m/>
    <m/>
    <m/>
    <m/>
    <m/>
    <s v="Bijschrijving                         "/>
    <s v="   "/>
    <m/>
  </r>
  <r>
    <n v="3158"/>
    <x v="8"/>
    <m/>
    <x v="5"/>
    <x v="69"/>
    <d v="2021-07-26T00:00:00"/>
    <d v="2021-07-26T00:00:00"/>
    <n v="1500"/>
    <n v="1500"/>
    <s v="NL22RABO0381604934"/>
    <s v="R.C. Smit"/>
    <s v="KRUIS"/>
    <s v="KRUIS"/>
    <s v="KRUIS"/>
    <m/>
    <s v="db"/>
    <m/>
    <m/>
    <m/>
    <m/>
    <m/>
    <s v="Bijschrijving                         "/>
    <s v="   "/>
    <m/>
  </r>
  <r>
    <n v="3159"/>
    <x v="8"/>
    <m/>
    <x v="5"/>
    <x v="70"/>
    <d v="2021-08-27T00:00:00"/>
    <d v="2021-08-27T00:00:00"/>
    <n v="1188"/>
    <n v="1188"/>
    <s v="NL22RABO0381604934"/>
    <s v="R.C. Smit"/>
    <s v="KRUIS"/>
    <s v="KRUIS"/>
    <s v="KRUIS"/>
    <m/>
    <s v="db"/>
    <m/>
    <m/>
    <m/>
    <m/>
    <m/>
    <s v="X                                     "/>
    <s v="   "/>
    <m/>
  </r>
  <r>
    <n v="3160"/>
    <x v="8"/>
    <m/>
    <x v="5"/>
    <x v="64"/>
    <d v="2021-09-24T00:00:00"/>
    <d v="2021-09-24T00:00:00"/>
    <n v="1700"/>
    <n v="1700"/>
    <s v="NL22RABO0381604934"/>
    <s v="R.C. Smit"/>
    <s v="KRUIS"/>
    <s v="KRUIS"/>
    <s v="KRUIS"/>
    <m/>
    <m/>
    <m/>
    <m/>
    <m/>
    <m/>
    <s v="Bijschrijving                         "/>
    <s v="   "/>
    <m/>
    <m/>
  </r>
  <r>
    <n v="3161"/>
    <x v="8"/>
    <m/>
    <x v="5"/>
    <x v="25"/>
    <d v="2021-10-28T00:00:00"/>
    <d v="2021-10-28T00:00:00"/>
    <n v="-300"/>
    <n v="3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162"/>
    <x v="8"/>
    <m/>
    <x v="5"/>
    <x v="26"/>
    <d v="2021-11-02T00:00:00"/>
    <d v="2021-11-02T00:00:00"/>
    <n v="-200"/>
    <n v="2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163"/>
    <x v="8"/>
    <m/>
    <x v="5"/>
    <x v="26"/>
    <d v="2021-11-12T00:00:00"/>
    <d v="2021-11-12T00:00:00"/>
    <n v="-300"/>
    <n v="3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164"/>
    <x v="8"/>
    <m/>
    <x v="5"/>
    <x v="26"/>
    <d v="2021-11-17T00:00:00"/>
    <d v="2021-11-17T00:00:00"/>
    <n v="-1000"/>
    <n v="10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165"/>
    <x v="8"/>
    <m/>
    <x v="5"/>
    <x v="27"/>
    <d v="2021-12-23T00:00:00"/>
    <d v="2021-12-23T00:00:00"/>
    <n v="600"/>
    <n v="600"/>
    <s v="NL22RABO0381604934"/>
    <s v="R.C. Smit"/>
    <s v="KRUIS"/>
    <s v="KRUIS"/>
    <s v="KRUIS"/>
    <s v="db"/>
    <m/>
    <m/>
    <m/>
    <m/>
    <m/>
    <s v="Bijschrijving                         "/>
    <s v="   "/>
    <m/>
    <m/>
  </r>
  <r>
    <n v="3166"/>
    <x v="8"/>
    <m/>
    <x v="5"/>
    <x v="27"/>
    <d v="2021-12-31T00:00:00"/>
    <d v="2021-12-31T00:00:00"/>
    <n v="-800"/>
    <n v="8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167"/>
    <x v="4"/>
    <m/>
    <x v="5"/>
    <x v="66"/>
    <d v="2021-04-29T00:00:00"/>
    <d v="2021-04-29T00:00:00"/>
    <n v="25"/>
    <n v="25"/>
    <m/>
    <s v="overboeking"/>
    <s v="KRUIS"/>
    <s v="KRUIS"/>
    <s v="KRUIS"/>
    <m/>
    <m/>
    <m/>
    <m/>
    <m/>
    <m/>
    <m/>
    <m/>
    <m/>
    <m/>
  </r>
  <r>
    <n v="3172"/>
    <x v="0"/>
    <m/>
    <x v="5"/>
    <x v="65"/>
    <d v="2021-01-28T00:00:00"/>
    <d v="2021-01-28T00:00:00"/>
    <n v="11.57"/>
    <n v="11.57"/>
    <n v="11.57"/>
    <s v="Verrekening vorig overzicht"/>
    <s v="KRUIS"/>
    <s v="KRUIS"/>
    <s v="KRUIS"/>
    <m/>
    <m/>
    <m/>
    <m/>
    <m/>
    <m/>
    <m/>
    <m/>
    <m/>
    <m/>
  </r>
  <r>
    <n v="3178"/>
    <x v="0"/>
    <m/>
    <x v="5"/>
    <x v="63"/>
    <d v="2021-03-01T00:00:00"/>
    <d v="2021-02-28T00:00:00"/>
    <n v="29.47"/>
    <n v="29.47"/>
    <n v="29.47"/>
    <s v="Verrekening vorig overzicht"/>
    <s v="KRUIS"/>
    <s v="KRUIS"/>
    <s v="KRUIS"/>
    <m/>
    <m/>
    <m/>
    <m/>
    <m/>
    <m/>
    <m/>
    <m/>
    <m/>
    <m/>
  </r>
  <r>
    <n v="3183"/>
    <x v="0"/>
    <m/>
    <x v="5"/>
    <x v="63"/>
    <d v="2021-03-28T00:00:00"/>
    <d v="2021-03-28T00:00:00"/>
    <n v="14.97"/>
    <n v="14.97"/>
    <m/>
    <s v="Verrekening vorig overzicht"/>
    <s v="KRUIS"/>
    <s v="KRUIS"/>
    <s v="KRUIS"/>
    <m/>
    <m/>
    <m/>
    <m/>
    <m/>
    <m/>
    <m/>
    <m/>
    <m/>
    <m/>
  </r>
  <r>
    <n v="3188"/>
    <x v="0"/>
    <m/>
    <x v="5"/>
    <x v="66"/>
    <d v="2021-04-28T00:00:00"/>
    <d v="2021-04-28T00:00:00"/>
    <n v="28.97"/>
    <n v="28.97"/>
    <m/>
    <s v="Verrekening vorig overzicht"/>
    <s v="KRUIS"/>
    <s v="KRUIS"/>
    <s v="KRUIS"/>
    <m/>
    <m/>
    <m/>
    <m/>
    <m/>
    <m/>
    <m/>
    <m/>
    <m/>
    <m/>
  </r>
  <r>
    <n v="3192"/>
    <x v="0"/>
    <m/>
    <x v="5"/>
    <x v="67"/>
    <d v="2021-05-28T00:00:00"/>
    <d v="2021-05-28T00:00:00"/>
    <n v="21.97"/>
    <n v="21.97"/>
    <n v="21.97"/>
    <s v="Verrekening vorig overzicht"/>
    <s v="KRUIS"/>
    <s v="KRUIS"/>
    <s v="KRUIS"/>
    <m/>
    <m/>
    <m/>
    <m/>
    <m/>
    <m/>
    <m/>
    <m/>
    <m/>
    <m/>
  </r>
  <r>
    <n v="3196"/>
    <x v="0"/>
    <m/>
    <x v="5"/>
    <x v="68"/>
    <d v="2021-06-28T00:00:00"/>
    <d v="2021-06-28T00:00:00"/>
    <n v="14.98"/>
    <n v="14.98"/>
    <m/>
    <s v="Verrekening vorig overzicht"/>
    <s v="KRUIS"/>
    <s v="KRUIS"/>
    <s v="KRUIS"/>
    <m/>
    <m/>
    <m/>
    <m/>
    <m/>
    <m/>
    <m/>
    <m/>
    <m/>
    <m/>
  </r>
  <r>
    <n v="3201"/>
    <x v="0"/>
    <m/>
    <x v="5"/>
    <x v="69"/>
    <d v="2021-07-28T00:00:00"/>
    <d v="2021-07-28T00:00:00"/>
    <n v="21.65"/>
    <n v="21.65"/>
    <m/>
    <s v="Verrekening vorig overzicht"/>
    <s v="KRUIS"/>
    <s v="KRUIS"/>
    <s v="KRUIS"/>
    <m/>
    <m/>
    <m/>
    <m/>
    <m/>
    <m/>
    <m/>
    <m/>
    <m/>
    <m/>
  </r>
  <r>
    <n v="3204"/>
    <x v="0"/>
    <m/>
    <x v="5"/>
    <x v="70"/>
    <d v="2021-08-28T00:00:00"/>
    <d v="2021-08-28T00:00:00"/>
    <n v="7.98"/>
    <n v="7.98"/>
    <m/>
    <s v="Verrekening vorig overzicht"/>
    <s v="KRUIS"/>
    <s v="KRUIS"/>
    <s v="KRUIS"/>
    <m/>
    <m/>
    <m/>
    <m/>
    <m/>
    <m/>
    <m/>
    <m/>
    <m/>
    <m/>
  </r>
  <r>
    <n v="3210"/>
    <x v="0"/>
    <m/>
    <x v="5"/>
    <x v="64"/>
    <d v="2021-09-28T00:00:00"/>
    <m/>
    <n v="31.19"/>
    <n v="31.19"/>
    <m/>
    <s v="Verrekening vorig overzicht"/>
    <s v="KRUIS"/>
    <s v="KRUIS"/>
    <s v="KRUIS"/>
    <m/>
    <m/>
    <m/>
    <m/>
    <m/>
    <m/>
    <m/>
    <m/>
    <m/>
    <m/>
  </r>
  <r>
    <n v="3221"/>
    <x v="0"/>
    <m/>
    <x v="5"/>
    <x v="25"/>
    <d v="2021-10-28T00:00:00"/>
    <m/>
    <n v="333.93"/>
    <n v="333.93"/>
    <m/>
    <s v="Verrekening vorig overzicht"/>
    <s v="KRUIS"/>
    <s v="KRUIS"/>
    <s v="KRUIS"/>
    <m/>
    <m/>
    <m/>
    <m/>
    <m/>
    <m/>
    <m/>
    <m/>
    <m/>
    <m/>
  </r>
  <r>
    <n v="3228"/>
    <x v="0"/>
    <m/>
    <x v="5"/>
    <x v="26"/>
    <d v="2021-11-24T00:00:00"/>
    <m/>
    <n v="-73.260000000000005"/>
    <n v="73.260000000000005"/>
    <m/>
    <s v="Boeking naar betaalrekening"/>
    <s v="KRUIS"/>
    <s v="KRUIS"/>
    <s v="KRUIS"/>
    <m/>
    <m/>
    <m/>
    <m/>
    <m/>
    <m/>
    <m/>
    <m/>
    <m/>
    <m/>
  </r>
  <r>
    <n v="3237"/>
    <x v="0"/>
    <m/>
    <x v="5"/>
    <x v="27"/>
    <d v="2021-12-28T00:00:00"/>
    <m/>
    <n v="241.46"/>
    <n v="241.46"/>
    <m/>
    <s v="Verrekening vorig overzicht"/>
    <s v="KRUIS"/>
    <s v="KRUIS"/>
    <s v="KRUIS"/>
    <m/>
    <m/>
    <m/>
    <m/>
    <m/>
    <m/>
    <m/>
    <m/>
    <m/>
    <m/>
  </r>
  <r>
    <n v="3273"/>
    <x v="3"/>
    <m/>
    <x v="6"/>
    <x v="28"/>
    <d v="2022-01-20T00:00:00"/>
    <d v="2022-01-20T00:00:00"/>
    <n v="900"/>
    <n v="900"/>
    <s v="NL24RABO3628561752"/>
    <s v="R.C. Smit"/>
    <s v="KRUIS"/>
    <s v="KRUIS"/>
    <s v="KRUIS"/>
    <s v="tb"/>
    <m/>
    <m/>
    <m/>
    <m/>
    <m/>
    <s v=" "/>
    <s v=" "/>
    <m/>
    <m/>
  </r>
  <r>
    <n v="3277"/>
    <x v="3"/>
    <m/>
    <x v="6"/>
    <x v="28"/>
    <d v="2022-01-28T00:00:00"/>
    <d v="2022-01-28T00:00:00"/>
    <n v="-77.94"/>
    <n v="77.94"/>
    <m/>
    <s v="Rabobank Nederland"/>
    <s v="KRUIS"/>
    <s v="KRUIS"/>
    <s v="KRUIS"/>
    <s v="cc"/>
    <m/>
    <m/>
    <m/>
    <m/>
    <m/>
    <s v="Kaartnummer: ****.****.****.1478   Zie rekeningoverzicht 24-01-2022"/>
    <s v=" "/>
    <m/>
    <m/>
  </r>
  <r>
    <n v="3287"/>
    <x v="3"/>
    <m/>
    <x v="6"/>
    <x v="30"/>
    <d v="2022-02-28T00:00:00"/>
    <d v="2022-02-28T00:00:00"/>
    <n v="-37.47"/>
    <n v="37.47"/>
    <m/>
    <s v="Rabobank Nederland"/>
    <s v="KRUIS"/>
    <s v="KRUIS"/>
    <s v="KRUIS"/>
    <s v="cc"/>
    <m/>
    <m/>
    <m/>
    <m/>
    <m/>
    <s v="Kaartnummer: ****.****.****.1478   Zie rekeningoverzicht 24-02-2022"/>
    <s v=" "/>
    <m/>
    <m/>
  </r>
  <r>
    <n v="3291"/>
    <x v="3"/>
    <m/>
    <x v="6"/>
    <x v="30"/>
    <d v="2022-03-01T00:00:00"/>
    <d v="2022-03-01T00:00:00"/>
    <n v="500"/>
    <n v="500"/>
    <s v="NL24RABO3628561752"/>
    <s v="R.C. Smit"/>
    <s v="KRUIS"/>
    <s v="KRUIS"/>
    <s v="KRUIS"/>
    <s v="tb"/>
    <m/>
    <m/>
    <m/>
    <m/>
    <m/>
    <s v=" "/>
    <s v=" "/>
    <m/>
    <m/>
  </r>
  <r>
    <n v="3297"/>
    <x v="3"/>
    <m/>
    <x v="6"/>
    <x v="30"/>
    <d v="2022-03-22T00:00:00"/>
    <d v="2022-03-22T00:00:00"/>
    <n v="900"/>
    <n v="900"/>
    <s v="NL24RABO3628561752"/>
    <s v="R.C. Smit"/>
    <s v="KRUIS"/>
    <s v="KRUIS"/>
    <s v="KRUIS"/>
    <s v="tb"/>
    <m/>
    <m/>
    <m/>
    <m/>
    <m/>
    <s v=" "/>
    <s v=" "/>
    <m/>
    <m/>
  </r>
  <r>
    <n v="3300"/>
    <x v="3"/>
    <m/>
    <x v="6"/>
    <x v="30"/>
    <d v="2022-03-28T00:00:00"/>
    <d v="2022-03-28T00:00:00"/>
    <n v="-395.4"/>
    <n v="395.4"/>
    <m/>
    <s v="Rabobank Nederland"/>
    <s v="KRUIS"/>
    <s v="KRUIS"/>
    <s v="KRUIS"/>
    <s v="cc"/>
    <m/>
    <m/>
    <m/>
    <m/>
    <m/>
    <s v="Kaartnummer: ****.****.****.1478   Zie rekeningoverzicht 24-03-2022"/>
    <s v=" "/>
    <m/>
    <m/>
  </r>
  <r>
    <n v="3307"/>
    <x v="3"/>
    <m/>
    <x v="6"/>
    <x v="31"/>
    <d v="2022-04-06T00:00:00"/>
    <d v="2022-04-06T00:00:00"/>
    <n v="820"/>
    <n v="820"/>
    <s v="NL24RABO3628561752"/>
    <s v="R.C. Smit"/>
    <s v="KRUIS"/>
    <s v="KRUIS"/>
    <s v="KRUIS"/>
    <s v="tb"/>
    <m/>
    <m/>
    <m/>
    <m/>
    <m/>
    <s v=" "/>
    <s v=" "/>
    <m/>
    <m/>
  </r>
  <r>
    <n v="3311"/>
    <x v="3"/>
    <m/>
    <x v="6"/>
    <x v="31"/>
    <d v="2022-04-28T00:00:00"/>
    <d v="2022-04-28T00:00:00"/>
    <n v="-4.2300000000000004"/>
    <n v="4.2300000000000004"/>
    <m/>
    <s v="Rabobank Nederland"/>
    <s v="KRUIS"/>
    <s v="KRUIS"/>
    <s v="KRUIS"/>
    <s v="cc"/>
    <m/>
    <m/>
    <m/>
    <m/>
    <m/>
    <s v="Kaartnummer: ****.****.****.1478   Zie rekeningoverzicht 23-04-2022"/>
    <s v=" "/>
    <m/>
    <m/>
  </r>
  <r>
    <n v="3330"/>
    <x v="8"/>
    <m/>
    <x v="6"/>
    <x v="28"/>
    <d v="2022-01-20T00:00:00"/>
    <d v="2022-01-20T00:00:00"/>
    <n v="-900"/>
    <n v="9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331"/>
    <x v="8"/>
    <m/>
    <x v="6"/>
    <x v="30"/>
    <d v="2022-03-01T00:00:00"/>
    <d v="2022-03-01T00:00:00"/>
    <n v="-500"/>
    <n v="5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332"/>
    <x v="8"/>
    <m/>
    <x v="6"/>
    <x v="30"/>
    <d v="2022-03-22T00:00:00"/>
    <d v="2022-03-22T00:00:00"/>
    <n v="-900"/>
    <n v="9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333"/>
    <x v="8"/>
    <m/>
    <x v="6"/>
    <x v="31"/>
    <d v="2022-04-06T00:00:00"/>
    <d v="2022-04-06T00:00:00"/>
    <n v="-820"/>
    <n v="82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3344"/>
    <x v="0"/>
    <m/>
    <x v="6"/>
    <x v="28"/>
    <d v="2022-01-28T00:00:00"/>
    <m/>
    <n v="77.94"/>
    <n v="77.94"/>
    <m/>
    <s v="Verrekening vorig overzicht"/>
    <s v="KRUIS"/>
    <s v="KRUIS"/>
    <s v="KRUIS"/>
    <m/>
    <m/>
    <m/>
    <m/>
    <m/>
    <m/>
    <m/>
    <m/>
    <m/>
    <m/>
  </r>
  <r>
    <n v="3354"/>
    <x v="0"/>
    <m/>
    <x v="6"/>
    <x v="30"/>
    <d v="2022-02-28T00:00:00"/>
    <m/>
    <n v="37.47"/>
    <n v="37.47"/>
    <m/>
    <s v="Verrekening vorig overzicht"/>
    <s v="KRUIS"/>
    <s v="KRUIS"/>
    <s v="KRUIS"/>
    <m/>
    <m/>
    <m/>
    <m/>
    <m/>
    <m/>
    <m/>
    <m/>
    <m/>
    <m/>
  </r>
  <r>
    <n v="3375"/>
    <x v="0"/>
    <m/>
    <x v="6"/>
    <x v="30"/>
    <d v="2022-03-28T00:00:00"/>
    <m/>
    <n v="395.4"/>
    <n v="395.4"/>
    <m/>
    <s v="Verrekening vorig overzicht"/>
    <s v="KRUIS"/>
    <s v="KRUIS"/>
    <s v="KRUIS"/>
    <m/>
    <m/>
    <m/>
    <m/>
    <m/>
    <m/>
    <m/>
    <m/>
    <m/>
    <m/>
  </r>
  <r>
    <n v="3382"/>
    <x v="0"/>
    <m/>
    <x v="6"/>
    <x v="31"/>
    <d v="2022-04-28T00:00:00"/>
    <m/>
    <n v="4.2300000000000004"/>
    <n v="4.2300000000000004"/>
    <m/>
    <s v="Verrekening vorig overzicht"/>
    <s v="KRUIS"/>
    <s v="KRUIS"/>
    <s v="KRUIS"/>
    <m/>
    <m/>
    <m/>
    <m/>
    <m/>
    <m/>
    <m/>
    <m/>
    <m/>
    <m/>
  </r>
  <r>
    <n v="202208001"/>
    <x v="3"/>
    <s v="EUR"/>
    <x v="6"/>
    <x v="32"/>
    <d v="2022-05-25T00:00:00"/>
    <d v="2022-05-25T00:00:00"/>
    <n v="-10"/>
    <n v="10"/>
    <m/>
    <s v="Geldmaat Marktstraat 8 Musselkanaal"/>
    <s v="KRUIS"/>
    <s v="KRUIS"/>
    <s v="KRUIS"/>
    <s v="ga"/>
    <m/>
    <m/>
    <m/>
    <m/>
    <m/>
    <s v="Geldautomaat 14:34 pasnr. 032"/>
    <s v=" "/>
    <m/>
    <m/>
  </r>
  <r>
    <n v="202208005"/>
    <x v="3"/>
    <s v="EUR"/>
    <x v="6"/>
    <x v="32"/>
    <d v="2022-05-28T00:00:00"/>
    <d v="2022-05-28T00:00:00"/>
    <n v="-32.61"/>
    <n v="32.61"/>
    <m/>
    <s v="Rabobank Nederland"/>
    <s v="KRUIS"/>
    <s v="KRUIS"/>
    <s v="KRUIS"/>
    <s v="cc"/>
    <m/>
    <m/>
    <m/>
    <m/>
    <m/>
    <s v="Kaartnummer: ****.****.****.1478   Zie rekeningoverzicht 24-05-2022"/>
    <s v=" "/>
    <m/>
    <m/>
  </r>
  <r>
    <n v="202208006"/>
    <x v="3"/>
    <s v="EUR"/>
    <x v="6"/>
    <x v="32"/>
    <d v="2022-05-30T00:00:00"/>
    <d v="2022-05-30T00:00:00"/>
    <n v="-200"/>
    <n v="200"/>
    <s v="NL83SNSB0933441983"/>
    <s v="J.B.P. Teunissen"/>
    <s v="KRUIS"/>
    <s v="KRUIS"/>
    <s v="KRUIS"/>
    <s v="cb"/>
    <m/>
    <m/>
    <m/>
    <m/>
    <m/>
    <m/>
    <m/>
    <m/>
    <m/>
  </r>
  <r>
    <n v="202208006"/>
    <x v="3"/>
    <s v="EUR"/>
    <x v="6"/>
    <x v="32"/>
    <d v="2022-05-30T00:00:00"/>
    <d v="2022-05-30T00:00:00"/>
    <n v="200"/>
    <n v="200"/>
    <s v="NL83SNSB0933441983"/>
    <s v="J.B.P. Teunissen"/>
    <s v="KRUIS"/>
    <s v="KRUIS"/>
    <s v="KRUIS"/>
    <s v="cb"/>
    <m/>
    <m/>
    <m/>
    <m/>
    <m/>
    <s v=" "/>
    <s v=" "/>
    <m/>
    <m/>
  </r>
  <r>
    <n v="202208046"/>
    <x v="3"/>
    <s v="EUR"/>
    <x v="6"/>
    <x v="71"/>
    <d v="2022-06-26T00:00:00"/>
    <d v="2022-06-26T00:00:00"/>
    <n v="-1750"/>
    <n v="1750"/>
    <s v="NL24RABO3628561752"/>
    <s v="R.C. Smit"/>
    <s v="KRUIS"/>
    <s v="KRUIS"/>
    <s v="KRUIS"/>
    <s v="tb"/>
    <m/>
    <m/>
    <m/>
    <m/>
    <m/>
    <s v=" "/>
    <s v=" "/>
    <m/>
    <m/>
  </r>
  <r>
    <n v="202208047"/>
    <x v="3"/>
    <s v="EUR"/>
    <x v="6"/>
    <x v="71"/>
    <d v="2022-06-28T00:00:00"/>
    <d v="2022-06-28T00:00:00"/>
    <n v="-14.98"/>
    <n v="14.98"/>
    <m/>
    <s v="Rabobank Nederland"/>
    <s v="KRUIS"/>
    <s v="KRUIS"/>
    <s v="KRUIS"/>
    <s v="cc"/>
    <m/>
    <m/>
    <m/>
    <m/>
    <m/>
    <s v="Kaartnummer: ****.****.****.1478   Zie rekeningoverzicht 24-06-2022"/>
    <s v=" "/>
    <m/>
    <m/>
  </r>
  <r>
    <n v="202208066"/>
    <x v="3"/>
    <s v="EUR"/>
    <x v="6"/>
    <x v="72"/>
    <d v="2022-07-10T00:00:00"/>
    <d v="2022-07-10T00:00:00"/>
    <n v="-20"/>
    <n v="20"/>
    <m/>
    <s v="Geldmaat Past. Huijben Panningen"/>
    <s v="KRUIS"/>
    <s v="KRUIS"/>
    <s v="KRUIS"/>
    <s v="ga"/>
    <m/>
    <m/>
    <m/>
    <m/>
    <m/>
    <s v="Geldautomaat 20:33 pasnr. 032"/>
    <s v=" "/>
    <m/>
    <m/>
  </r>
  <r>
    <n v="202208069"/>
    <x v="3"/>
    <s v="EUR"/>
    <x v="6"/>
    <x v="72"/>
    <d v="2022-07-12T00:00:00"/>
    <d v="2022-07-12T00:00:00"/>
    <n v="500"/>
    <n v="500"/>
    <s v="NL77RABO0350802467"/>
    <s v="Rabobank inzake Geldmaat"/>
    <s v="KRUIS"/>
    <s v="KRUIS"/>
    <s v="KRUIS"/>
    <s v="kh"/>
    <m/>
    <n v="219315087229"/>
    <m/>
    <m/>
    <m/>
    <s v="812688 12-07-2022 15:17:49 Storting Pastoor Vullinghsstraat 31 Sevenum Pasnr 032 R.C. SMIT"/>
    <s v=" "/>
    <m/>
    <m/>
  </r>
  <r>
    <n v="202208090"/>
    <x v="3"/>
    <s v="EUR"/>
    <x v="6"/>
    <x v="72"/>
    <d v="2022-07-22T00:00:00"/>
    <d v="2022-07-22T00:00:00"/>
    <n v="560"/>
    <n v="560"/>
    <s v="BE27652843579073"/>
    <s v="MEJ HANNE PEETERS"/>
    <s v="KRUIS"/>
    <s v="KRUIS"/>
    <s v="KRUIS"/>
    <s v="cb"/>
    <m/>
    <m/>
    <m/>
    <m/>
    <m/>
    <s v="Geld gsm"/>
    <s v=" "/>
    <m/>
    <m/>
  </r>
  <r>
    <n v="202208100"/>
    <x v="3"/>
    <s v="EUR"/>
    <x v="6"/>
    <x v="72"/>
    <d v="2022-07-28T00:00:00"/>
    <d v="2022-07-28T00:00:00"/>
    <n v="-948.31"/>
    <n v="948.31"/>
    <m/>
    <s v="Rabobank Nederland"/>
    <s v="KRUIS"/>
    <s v="KRUIS"/>
    <s v="KRUIS"/>
    <s v="cc"/>
    <m/>
    <m/>
    <m/>
    <m/>
    <m/>
    <s v="Kaartnummer: ****.****.****.1348   Zie rekeningoverzicht 23-07-2022"/>
    <s v=" "/>
    <m/>
    <m/>
  </r>
  <r>
    <n v="202208102"/>
    <x v="3"/>
    <s v="EUR"/>
    <x v="6"/>
    <x v="72"/>
    <d v="2022-07-28T00:00:00"/>
    <d v="2022-07-28T00:00:00"/>
    <n v="-22.5"/>
    <n v="22.5"/>
    <m/>
    <s v="Kruidvat 7456 VENLO"/>
    <s v="KRUIS"/>
    <s v="KRUIS"/>
    <s v="KRUIS"/>
    <s v="bc"/>
    <m/>
    <m/>
    <m/>
    <m/>
    <m/>
    <s v="Betaalautomaat 15:31 pasnr. 032"/>
    <s v=" "/>
    <m/>
    <m/>
  </r>
  <r>
    <n v="202208109"/>
    <x v="3"/>
    <s v="EUR"/>
    <x v="6"/>
    <x v="72"/>
    <d v="2022-07-29T00:00:00"/>
    <d v="2022-07-29T00:00:00"/>
    <n v="-1000"/>
    <n v="1000"/>
    <s v="NL24RABO3628561752"/>
    <s v="R.C. Smit"/>
    <s v="KRUIS"/>
    <s v="KRUIS"/>
    <s v="KRUIS"/>
    <s v="tb"/>
    <m/>
    <m/>
    <m/>
    <m/>
    <m/>
    <s v="X"/>
    <s v=" "/>
    <m/>
    <m/>
  </r>
  <r>
    <n v="202208110"/>
    <x v="3"/>
    <s v="EUR"/>
    <x v="6"/>
    <x v="72"/>
    <d v="2022-07-29T00:00:00"/>
    <d v="2022-07-29T00:00:00"/>
    <n v="15"/>
    <n v="15"/>
    <s v="NL13ABNA0506417344"/>
    <s v="AAB INZ TIKKIE covid tests"/>
    <s v="KRUIS"/>
    <s v="KRUIS"/>
    <s v="KRUIS"/>
    <s v="cb"/>
    <m/>
    <m/>
    <m/>
    <m/>
    <m/>
    <s v="Tikkie ID 000499466380, Covid tests, Van A.M.H. Pennings eo, NL08RABO0105021423"/>
    <s v=" "/>
    <m/>
    <m/>
  </r>
  <r>
    <n v="202208116"/>
    <x v="3"/>
    <s v="EUR"/>
    <x v="6"/>
    <x v="72"/>
    <d v="2022-07-28T00:00:00"/>
    <d v="2022-08-01T00:00:00"/>
    <n v="7.5"/>
    <n v="7.5"/>
    <s v="BE27652843579073"/>
    <s v="MEJ HANNE PEETERS"/>
    <s v="KRUIS"/>
    <s v="KRUIS"/>
    <s v="KRUIS"/>
    <s v="cb"/>
    <m/>
    <m/>
    <m/>
    <m/>
    <m/>
    <s v=" "/>
    <s v=" "/>
    <m/>
    <m/>
  </r>
  <r>
    <n v="202208135"/>
    <x v="3"/>
    <s v="EUR"/>
    <x v="6"/>
    <x v="40"/>
    <d v="2022-08-09T00:00:00"/>
    <d v="2022-08-09T00:00:00"/>
    <n v="-39.07"/>
    <n v="39.07"/>
    <m/>
    <s v="ALBERT HEIJN 1878 ARNHEM"/>
    <s v="KRUIS"/>
    <s v="KRUIS"/>
    <s v="KRUIS"/>
    <s v="bc"/>
    <m/>
    <m/>
    <m/>
    <m/>
    <m/>
    <s v="Betaalautomaat 16:42 pasnr. 032"/>
    <s v=" "/>
    <m/>
    <m/>
  </r>
  <r>
    <n v="202208136"/>
    <x v="3"/>
    <s v="EUR"/>
    <x v="6"/>
    <x v="40"/>
    <d v="2022-08-09T00:00:00"/>
    <d v="2022-08-09T00:00:00"/>
    <n v="-50"/>
    <n v="50"/>
    <m/>
    <s v="JOOST SEP*Opladen OV-Chipkaa UTRECHT"/>
    <s v="KRUIS"/>
    <s v="KRUIS"/>
    <s v="KRUIS"/>
    <s v="ba"/>
    <m/>
    <m/>
    <m/>
    <m/>
    <m/>
    <s v="Betaalautomaat 16:43 pasnr. 032"/>
    <s v=" "/>
    <m/>
    <m/>
  </r>
  <r>
    <n v="202208137"/>
    <x v="3"/>
    <s v="EUR"/>
    <x v="6"/>
    <x v="40"/>
    <d v="2022-08-09T00:00:00"/>
    <d v="2022-08-09T00:00:00"/>
    <n v="-26.2"/>
    <n v="26.2"/>
    <m/>
    <s v="ALBERT HEIJN 1878 ARNHEM"/>
    <s v="KRUIS"/>
    <s v="KRUIS"/>
    <s v="KRUIS"/>
    <s v="bc"/>
    <m/>
    <m/>
    <m/>
    <m/>
    <m/>
    <s v="Betaalautomaat 16:44 pasnr. 032"/>
    <s v=" "/>
    <m/>
    <m/>
  </r>
  <r>
    <n v="202208139"/>
    <x v="3"/>
    <s v="EUR"/>
    <x v="6"/>
    <x v="40"/>
    <d v="2022-08-09T00:00:00"/>
    <d v="2022-08-09T00:00:00"/>
    <n v="-6"/>
    <n v="6"/>
    <m/>
    <s v="drankjes joost Grand Cafe Metropole ARNHEM"/>
    <s v="KRUIS"/>
    <s v="KRUIS"/>
    <s v="KRUIS"/>
    <s v="bc"/>
    <m/>
    <m/>
    <m/>
    <m/>
    <m/>
    <m/>
    <m/>
    <m/>
    <m/>
  </r>
  <r>
    <n v="202208140"/>
    <x v="3"/>
    <s v="EUR"/>
    <x v="6"/>
    <x v="40"/>
    <d v="2022-08-10T00:00:00"/>
    <d v="2022-08-10T00:00:00"/>
    <n v="500"/>
    <n v="500"/>
    <s v="NL24RABO3628561752"/>
    <s v="R.C. Smit"/>
    <s v="KRUIS"/>
    <s v="KRUIS"/>
    <s v="KRUIS"/>
    <s v="tb"/>
    <m/>
    <m/>
    <m/>
    <m/>
    <m/>
    <s v=" "/>
    <s v=" "/>
    <m/>
    <m/>
  </r>
  <r>
    <n v="202208141"/>
    <x v="3"/>
    <s v="EUR"/>
    <x v="6"/>
    <x v="40"/>
    <d v="2022-08-10T00:00:00"/>
    <d v="2022-08-10T00:00:00"/>
    <n v="121.27"/>
    <n v="121.27"/>
    <s v="NL79INGB0003448888"/>
    <s v="Mevr J M C Meulenbroek"/>
    <s v="KRUIS"/>
    <s v="KRUIS"/>
    <s v="KRUIS"/>
    <s v="cb"/>
    <m/>
    <m/>
    <m/>
    <m/>
    <m/>
    <s v=" "/>
    <s v=" "/>
    <m/>
    <m/>
  </r>
  <r>
    <n v="202208164"/>
    <x v="8"/>
    <s v="EUR"/>
    <x v="6"/>
    <x v="71"/>
    <d v="2022-06-26T00:00:00"/>
    <d v="2022-06-26T00:00:00"/>
    <n v="1750"/>
    <n v="1750"/>
    <s v="NL22RABO0381604934"/>
    <s v="R.C. Smit"/>
    <s v="KRUIS"/>
    <s v="KRUIS"/>
    <s v="KRUIS"/>
    <s v="db"/>
    <m/>
    <m/>
    <m/>
    <m/>
    <m/>
    <s v="Bijschrijving                         "/>
    <s v="   "/>
    <m/>
    <m/>
  </r>
  <r>
    <n v="202208165"/>
    <x v="8"/>
    <s v="EUR"/>
    <x v="6"/>
    <x v="72"/>
    <d v="2022-07-29T00:00:00"/>
    <d v="2022-07-29T00:00:00"/>
    <n v="1000"/>
    <n v="1000"/>
    <s v="NL22RABO0381604934"/>
    <s v="R.C. Smit"/>
    <s v="KRUIS"/>
    <s v="KRUIS"/>
    <s v="KRUIS"/>
    <s v="db"/>
    <m/>
    <m/>
    <m/>
    <m/>
    <m/>
    <s v="X                                     "/>
    <s v="   "/>
    <m/>
    <m/>
  </r>
  <r>
    <n v="202208166"/>
    <x v="8"/>
    <s v="EUR"/>
    <x v="6"/>
    <x v="40"/>
    <d v="2022-08-10T00:00:00"/>
    <d v="2022-08-10T00:00:00"/>
    <n v="-500"/>
    <n v="500"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202208169"/>
    <x v="0"/>
    <m/>
    <x v="6"/>
    <x v="32"/>
    <d v="2022-05-28T00:00:00"/>
    <d v="2022-05-28T00:00:00"/>
    <n v="32.61"/>
    <n v="32.61"/>
    <m/>
    <s v="Verrekening vorig overzicht"/>
    <s v="KRUIS"/>
    <s v="KRUIS"/>
    <s v="KRUIS"/>
    <m/>
    <m/>
    <m/>
    <m/>
    <m/>
    <m/>
    <m/>
    <m/>
    <m/>
    <m/>
  </r>
  <r>
    <n v="202208173"/>
    <x v="0"/>
    <m/>
    <x v="6"/>
    <x v="71"/>
    <d v="2022-06-28T00:00:00"/>
    <d v="2022-06-28T00:00:00"/>
    <n v="14.98"/>
    <n v="14.98"/>
    <m/>
    <s v="Verrekening vorig overzicht"/>
    <s v="KRUIS"/>
    <s v="KRUIS"/>
    <s v="KRUIS"/>
    <m/>
    <m/>
    <m/>
    <m/>
    <m/>
    <m/>
    <m/>
    <m/>
    <m/>
    <m/>
  </r>
  <r>
    <n v="202208175"/>
    <x v="0"/>
    <m/>
    <x v="6"/>
    <x v="72"/>
    <d v="2022-07-08T00:00:00"/>
    <d v="2022-07-08T00:00:00"/>
    <n v="-185.43"/>
    <n v="185.43"/>
    <m/>
    <s v="VANCANSOLEIL NL EINDHOVEN NLD"/>
    <s v="KRUIS"/>
    <s v="KRUIS"/>
    <s v="KRUIS"/>
    <m/>
    <m/>
    <m/>
    <m/>
    <m/>
    <m/>
    <m/>
    <m/>
    <m/>
    <m/>
  </r>
  <r>
    <n v="202208176"/>
    <x v="0"/>
    <m/>
    <x v="6"/>
    <x v="72"/>
    <d v="2022-07-12T00:00:00"/>
    <d v="2022-07-12T00:00:00"/>
    <n v="-195"/>
    <n v="195"/>
    <m/>
    <s v="MAISON CRIVELLI PARIS FRA"/>
    <s v="KRUIS"/>
    <s v="KRUIS"/>
    <s v="KRUIS"/>
    <m/>
    <m/>
    <m/>
    <m/>
    <m/>
    <m/>
    <m/>
    <m/>
    <m/>
    <m/>
  </r>
  <r>
    <n v="202208178"/>
    <x v="0"/>
    <m/>
    <x v="6"/>
    <x v="72"/>
    <d v="2022-07-21T00:00:00"/>
    <d v="2022-07-21T00:00:00"/>
    <n v="-559.9"/>
    <n v="559.9"/>
    <m/>
    <s v="Swappie Germany gmbh Mannheim DEU"/>
    <s v="KRUIS"/>
    <s v="KRUIS"/>
    <s v="KRUIS"/>
    <m/>
    <m/>
    <m/>
    <m/>
    <m/>
    <m/>
    <m/>
    <m/>
    <m/>
    <m/>
  </r>
  <r>
    <n v="202208179"/>
    <x v="0"/>
    <m/>
    <x v="6"/>
    <x v="72"/>
    <d v="2022-07-28T00:00:00"/>
    <d v="2022-07-28T00:00:00"/>
    <n v="948.31"/>
    <n v="948.31"/>
    <m/>
    <s v="Verrekening vorig overzicht"/>
    <s v="KRUIS"/>
    <s v="KRUIS"/>
    <s v="KRUIS"/>
    <m/>
    <m/>
    <m/>
    <m/>
    <m/>
    <m/>
    <m/>
    <m/>
    <m/>
    <m/>
  </r>
  <r>
    <n v="202208187"/>
    <x v="0"/>
    <s v="EUR"/>
    <x v="6"/>
    <x v="40"/>
    <d v="2022-08-25T00:00:00"/>
    <d v="2022-08-25T00:00:00"/>
    <n v="570.27"/>
    <n v="570.27"/>
    <n v="570.27"/>
    <s v="Verrekening vorig overzicht"/>
    <s v="KRUIS"/>
    <s v="KRUIS"/>
    <s v="KRUIS"/>
    <m/>
    <m/>
    <m/>
    <m/>
    <m/>
    <m/>
    <m/>
    <m/>
    <m/>
    <m/>
  </r>
  <r>
    <n v="202208502"/>
    <x v="5"/>
    <m/>
    <x v="6"/>
    <x v="32"/>
    <d v="2022-05-25T00:00:00"/>
    <d v="2022-05-25T00:00:00"/>
    <n v="10"/>
    <n v="10"/>
    <m/>
    <s v="kasopname"/>
    <s v="KRUIS"/>
    <s v="KRUIS"/>
    <s v="KRUIS"/>
    <m/>
    <m/>
    <m/>
    <m/>
    <m/>
    <m/>
    <m/>
    <m/>
    <m/>
    <m/>
  </r>
  <r>
    <n v="202208505"/>
    <x v="5"/>
    <m/>
    <x v="6"/>
    <x v="72"/>
    <d v="2022-07-08T00:00:00"/>
    <d v="2022-07-08T00:00:00"/>
    <n v="185.33"/>
    <n v="185.33"/>
    <m/>
    <s v="BETAALD VOOR KLANT VIA CC"/>
    <s v="KRUIS"/>
    <s v="KRUIS"/>
    <s v="KRUIS"/>
    <m/>
    <m/>
    <m/>
    <m/>
    <m/>
    <m/>
    <m/>
    <m/>
    <m/>
    <m/>
  </r>
  <r>
    <n v="202208506"/>
    <x v="11"/>
    <m/>
    <x v="6"/>
    <x v="72"/>
    <d v="2022-07-08T00:00:00"/>
    <d v="2022-07-08T00:00:00"/>
    <n v="-150"/>
    <n v="150"/>
    <m/>
    <s v="KASOPNAME IT REKENING"/>
    <s v="KRUIS"/>
    <s v="KRUIS"/>
    <s v="KRUIS"/>
    <m/>
    <m/>
    <m/>
    <m/>
    <m/>
    <m/>
    <m/>
    <m/>
    <m/>
    <m/>
  </r>
  <r>
    <n v="202208506"/>
    <x v="5"/>
    <m/>
    <x v="6"/>
    <x v="72"/>
    <d v="2022-07-08T00:00:00"/>
    <d v="2022-07-08T00:00:00"/>
    <n v="150"/>
    <n v="150"/>
    <m/>
    <s v="KASOPNAME IT REKENING"/>
    <s v="KRUIS"/>
    <s v="KRUIS"/>
    <s v="KRUIS"/>
    <m/>
    <m/>
    <m/>
    <m/>
    <m/>
    <m/>
    <m/>
    <m/>
    <m/>
    <m/>
  </r>
  <r>
    <n v="202208507"/>
    <x v="5"/>
    <m/>
    <x v="6"/>
    <x v="72"/>
    <d v="2022-07-08T00:00:00"/>
    <d v="2022-07-08T00:00:00"/>
    <n v="20"/>
    <n v="20"/>
    <m/>
    <s v="KASOPNAME"/>
    <s v="KRUIS"/>
    <s v="KRUIS"/>
    <s v="KRUIS"/>
    <m/>
    <m/>
    <m/>
    <m/>
    <m/>
    <m/>
    <m/>
    <m/>
    <m/>
    <m/>
  </r>
  <r>
    <n v="202208511"/>
    <x v="5"/>
    <m/>
    <x v="6"/>
    <x v="72"/>
    <d v="2022-07-12T00:00:00"/>
    <d v="2022-07-12T00:00:00"/>
    <n v="-500"/>
    <n v="500"/>
    <m/>
    <s v="AFGESTORT"/>
    <s v="KRUIS"/>
    <s v="KRUIS"/>
    <s v="KRUIS"/>
    <m/>
    <m/>
    <m/>
    <m/>
    <m/>
    <m/>
    <m/>
    <m/>
    <m/>
    <m/>
  </r>
  <r>
    <n v="202210004"/>
    <x v="3"/>
    <s v="EUR"/>
    <x v="6"/>
    <x v="40"/>
    <d v="2022-08-29T00:00:00"/>
    <d v="2022-08-29T00:00:00"/>
    <n v="-570.27"/>
    <n v="570.27"/>
    <m/>
    <s v="Rabobank Nederland"/>
    <s v="KRUIS"/>
    <s v="KRUIS"/>
    <s v="KRUIS"/>
    <s v="cc"/>
    <m/>
    <m/>
    <m/>
    <m/>
    <m/>
    <s v="Kaartnummer: ****.****.****.1348   Zie rekeningoverzicht 24-08-2022"/>
    <s v=" "/>
    <m/>
    <m/>
  </r>
  <r>
    <n v="202210007"/>
    <x v="3"/>
    <s v="EUR"/>
    <x v="6"/>
    <x v="40"/>
    <d v="2022-08-31T00:00:00"/>
    <d v="2022-08-31T00:00:00"/>
    <n v="-1200"/>
    <n v="1200"/>
    <s v="NL24RABO3628561752"/>
    <s v="R.C. Smit"/>
    <s v="KRUIS"/>
    <s v="KRUIS"/>
    <s v="KRUIS"/>
    <s v="tb"/>
    <m/>
    <m/>
    <m/>
    <m/>
    <m/>
    <s v=" "/>
    <s v=" "/>
    <m/>
    <m/>
  </r>
  <r>
    <n v="202210008"/>
    <x v="8"/>
    <s v="EUR"/>
    <x v="6"/>
    <x v="40"/>
    <d v="2022-08-31T00:00:00"/>
    <d v="2022-08-31T00:00:00"/>
    <n v="1200"/>
    <n v="1200"/>
    <s v="NL22RABO0381604934"/>
    <s v="R.C. Smit"/>
    <s v="KRUIS"/>
    <s v="KRUIS"/>
    <s v="KRUIS"/>
    <s v="db"/>
    <m/>
    <m/>
    <m/>
    <m/>
    <m/>
    <s v="Bijschrijving                         "/>
    <s v="   "/>
    <m/>
    <m/>
  </r>
  <r>
    <n v="202210042"/>
    <x v="3"/>
    <s v="EUR"/>
    <x v="6"/>
    <x v="73"/>
    <d v="2022-09-24T00:00:00"/>
    <d v="2022-09-24T00:00:00"/>
    <n v="180.02"/>
    <n v="180.02"/>
    <m/>
    <s v="KRUIS"/>
    <s v="KRUIS"/>
    <s v="KRUIS"/>
    <s v="KRUIS"/>
    <s v="cc"/>
    <m/>
    <m/>
    <m/>
    <m/>
    <m/>
    <s v="Overschrijving saldo afkomstig van uw creditcard ****.****.****.1348"/>
    <s v=" "/>
    <m/>
    <m/>
  </r>
  <r>
    <n v="202210047"/>
    <x v="3"/>
    <s v="EUR"/>
    <x v="6"/>
    <x v="73"/>
    <d v="2022-09-27T00:00:00"/>
    <d v="2022-09-27T00:00:00"/>
    <n v="-1500"/>
    <n v="1500"/>
    <s v="NL24RABO3628561752"/>
    <s v="R.C. Smit"/>
    <s v="KRUIS"/>
    <s v="KRUIS"/>
    <s v="KRUIS"/>
    <s v="tb"/>
    <m/>
    <m/>
    <m/>
    <m/>
    <m/>
    <s v="X"/>
    <s v=" "/>
    <m/>
    <m/>
  </r>
  <r>
    <n v="202210048"/>
    <x v="8"/>
    <s v="EUR"/>
    <x v="6"/>
    <x v="73"/>
    <d v="2022-09-27T00:00:00"/>
    <d v="2022-09-27T00:00:00"/>
    <n v="1500"/>
    <n v="1500"/>
    <s v="NL22RABO0381604934"/>
    <s v="R.C. Smit"/>
    <s v="KRUIS"/>
    <s v="KRUIS"/>
    <s v="KRUIS"/>
    <s v="db"/>
    <m/>
    <m/>
    <m/>
    <m/>
    <m/>
    <s v="X                                     "/>
    <s v="   "/>
    <m/>
    <m/>
  </r>
  <r>
    <n v="202210056"/>
    <x v="0"/>
    <s v="EUR"/>
    <x v="6"/>
    <x v="73"/>
    <d v="2022-09-05T00:00:00"/>
    <m/>
    <n v="195"/>
    <n v="195"/>
    <m/>
    <s v="VERGOEDING TRANSACTIE 20220712"/>
    <s v="KRUIS"/>
    <s v="KRUIS"/>
    <s v="KRUIS"/>
    <m/>
    <m/>
    <m/>
    <m/>
    <m/>
    <m/>
    <m/>
    <m/>
    <m/>
    <m/>
  </r>
  <r>
    <n v="202210059"/>
    <x v="0"/>
    <s v="EUR"/>
    <x v="6"/>
    <x v="73"/>
    <d v="2022-09-24T00:00:00"/>
    <m/>
    <n v="-180.02"/>
    <n v="180.02"/>
    <m/>
    <s v="Boeking naar betaalrekening"/>
    <s v="KRUIS"/>
    <s v="KRUIS"/>
    <s v="KRUIS"/>
    <m/>
    <m/>
    <m/>
    <m/>
    <m/>
    <m/>
    <m/>
    <m/>
    <m/>
    <m/>
  </r>
  <r>
    <n v="202301028"/>
    <x v="3"/>
    <s v="EUR"/>
    <x v="6"/>
    <x v="34"/>
    <d v="2022-10-14T00:00:00"/>
    <d v="2022-10-14T00:00:00"/>
    <n v="500.3"/>
    <m/>
    <s v="NL24RABO3628561752"/>
    <s v="R.C. Smit"/>
    <s v="KRUIS"/>
    <s v="KRUIS"/>
    <s v="KRUIS"/>
    <s v="tb"/>
    <m/>
    <m/>
    <m/>
    <m/>
    <m/>
    <s v=" "/>
    <s v=" "/>
    <m/>
    <m/>
  </r>
  <r>
    <n v="202301039"/>
    <x v="3"/>
    <s v="EUR"/>
    <x v="6"/>
    <x v="34"/>
    <d v="2022-10-28T00:00:00"/>
    <d v="2022-10-28T00:00:00"/>
    <n v="-644.27"/>
    <m/>
    <m/>
    <s v="Rabobank Nederland"/>
    <s v="KRUIS"/>
    <s v="KRUIS"/>
    <s v="KRUIS"/>
    <s v="cc"/>
    <m/>
    <m/>
    <m/>
    <m/>
    <m/>
    <s v="Kaartnummer: ****.****.****.1348   Zie rekeningoverzicht 24-10-2022"/>
    <s v=" "/>
    <m/>
    <m/>
  </r>
  <r>
    <n v="202301061"/>
    <x v="3"/>
    <s v="EUR"/>
    <x v="6"/>
    <x v="35"/>
    <d v="2022-11-07T00:00:00"/>
    <d v="2022-11-07T00:00:00"/>
    <n v="250"/>
    <m/>
    <s v="NL24RABO3628561752"/>
    <s v="R.C. Smit"/>
    <s v="KRUIS"/>
    <s v="KRUIS"/>
    <s v="KRUIS"/>
    <s v="tb"/>
    <m/>
    <m/>
    <m/>
    <m/>
    <m/>
    <s v=" "/>
    <s v=" "/>
    <m/>
    <m/>
  </r>
  <r>
    <n v="202301069"/>
    <x v="3"/>
    <s v="EUR"/>
    <x v="6"/>
    <x v="35"/>
    <d v="2022-11-17T00:00:00"/>
    <d v="2022-11-18T00:00:00"/>
    <n v="-100"/>
    <m/>
    <s v="DE45202208000094841595"/>
    <s v="Revolut Payments UAB"/>
    <s v="KRUIS"/>
    <s v="KRUIS"/>
    <s v="KRUIS"/>
    <s v="id"/>
    <m/>
    <s v="17-11-2022 17:21 0140000722789552"/>
    <m/>
    <m/>
    <m/>
    <s v="61Z3UL0 0140000722789552 www.revolut.com x4934 pasnr.032"/>
    <s v=" "/>
    <m/>
    <m/>
  </r>
  <r>
    <n v="202301079"/>
    <x v="3"/>
    <s v="EUR"/>
    <x v="6"/>
    <x v="35"/>
    <d v="2022-11-27T00:00:00"/>
    <d v="2022-11-27T00:00:00"/>
    <n v="630"/>
    <m/>
    <s v="NL24RABO3628561752"/>
    <s v="R.C. Smit"/>
    <s v="KRUIS"/>
    <s v="KRUIS"/>
    <s v="KRUIS"/>
    <s v="tb"/>
    <m/>
    <m/>
    <m/>
    <m/>
    <m/>
    <s v="Tegentransactie samui-ams"/>
    <s v=" "/>
    <m/>
    <m/>
  </r>
  <r>
    <n v="202301080"/>
    <x v="3"/>
    <s v="EUR"/>
    <x v="6"/>
    <x v="35"/>
    <d v="2022-11-28T00:00:00"/>
    <d v="2022-11-28T00:00:00"/>
    <n v="-647.84"/>
    <m/>
    <m/>
    <s v="Rabobank Nederland"/>
    <s v="KRUIS"/>
    <s v="KRUIS"/>
    <s v="KRUIS"/>
    <s v="cc"/>
    <m/>
    <m/>
    <m/>
    <m/>
    <m/>
    <s v="Kaartnummer: ****.****.****.1348   Zie rekeningoverzicht 24-11-2022"/>
    <s v=" "/>
    <m/>
    <m/>
  </r>
  <r>
    <n v="202301087"/>
    <x v="3"/>
    <s v="EUR"/>
    <x v="6"/>
    <x v="33"/>
    <d v="2022-12-17T00:00:00"/>
    <d v="2022-12-17T00:00:00"/>
    <n v="900"/>
    <m/>
    <s v="NL24RABO3628561752"/>
    <s v="R.C. Smit"/>
    <s v="KRUIS"/>
    <s v="KRUIS"/>
    <s v="KRUIS"/>
    <s v="tb"/>
    <m/>
    <m/>
    <m/>
    <m/>
    <m/>
    <s v="X"/>
    <s v=" "/>
    <m/>
    <m/>
  </r>
  <r>
    <n v="202301093"/>
    <x v="3"/>
    <s v="EUR"/>
    <x v="6"/>
    <x v="33"/>
    <d v="2022-12-25T00:00:00"/>
    <d v="2022-12-25T00:00:00"/>
    <n v="700"/>
    <m/>
    <s v="NL24RABO3628561752"/>
    <s v="R.C. Smit"/>
    <s v="KRUIS"/>
    <s v="KRUIS"/>
    <s v="KRUIS"/>
    <s v="tb"/>
    <m/>
    <m/>
    <m/>
    <m/>
    <m/>
    <s v=" "/>
    <s v=" "/>
    <m/>
    <m/>
  </r>
  <r>
    <n v="202301095"/>
    <x v="3"/>
    <s v="EUR"/>
    <x v="6"/>
    <x v="33"/>
    <d v="2022-12-28T00:00:00"/>
    <d v="2022-12-28T00:00:00"/>
    <n v="-24.75"/>
    <m/>
    <m/>
    <s v="Rabobank Nederland"/>
    <s v="KRUIS"/>
    <s v="KRUIS"/>
    <s v="KRUIS"/>
    <s v="cc"/>
    <m/>
    <m/>
    <m/>
    <m/>
    <m/>
    <s v="Kaartnummer: ****.****.****.1348   Zie rekeningoverzicht 24-12-2022"/>
    <s v=" "/>
    <m/>
    <m/>
  </r>
  <r>
    <n v="202301096"/>
    <x v="8"/>
    <s v="EUR"/>
    <x v="6"/>
    <x v="34"/>
    <d v="2022-10-14T00:00:00"/>
    <d v="2022-10-14T00:00:00"/>
    <n v="-500.3"/>
    <m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202301097"/>
    <x v="8"/>
    <s v="EUR"/>
    <x v="6"/>
    <x v="35"/>
    <d v="2022-11-07T00:00:00"/>
    <d v="2022-11-07T00:00:00"/>
    <n v="-250"/>
    <m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202301098"/>
    <x v="8"/>
    <s v="EUR"/>
    <x v="6"/>
    <x v="35"/>
    <d v="2022-11-27T00:00:00"/>
    <d v="2022-11-27T00:00:00"/>
    <n v="-630"/>
    <m/>
    <s v="NL22RABO0381604934"/>
    <s v="R.C. Smit"/>
    <s v="KRUIS"/>
    <s v="KRUIS"/>
    <s v="KRUIS"/>
    <s v="db"/>
    <m/>
    <m/>
    <m/>
    <m/>
    <m/>
    <s v="Tegentransactie samui-ams             "/>
    <s v="   "/>
    <m/>
    <m/>
  </r>
  <r>
    <n v="202301099"/>
    <x v="8"/>
    <s v="EUR"/>
    <x v="6"/>
    <x v="33"/>
    <d v="2022-12-17T00:00:00"/>
    <d v="2022-12-17T00:00:00"/>
    <n v="-900"/>
    <m/>
    <s v="NL22RABO0381604934"/>
    <s v="R.C. Smit"/>
    <s v="KRUIS"/>
    <s v="KRUIS"/>
    <s v="KRUIS"/>
    <s v="db"/>
    <m/>
    <m/>
    <m/>
    <m/>
    <m/>
    <s v="X                                     "/>
    <s v="   "/>
    <m/>
    <m/>
  </r>
  <r>
    <n v="202301100"/>
    <x v="8"/>
    <s v="EUR"/>
    <x v="6"/>
    <x v="33"/>
    <d v="2022-12-25T00:00:00"/>
    <d v="2022-12-25T00:00:00"/>
    <n v="-700"/>
    <m/>
    <s v="NL22RABO0381604934"/>
    <s v="R.C. Smit"/>
    <s v="KRUIS"/>
    <s v="KRUIS"/>
    <s v="KRUIS"/>
    <s v="db"/>
    <m/>
    <m/>
    <m/>
    <m/>
    <m/>
    <s v="Afschrijving                          "/>
    <s v="   "/>
    <m/>
    <m/>
  </r>
  <r>
    <n v="202301104"/>
    <x v="0"/>
    <m/>
    <x v="6"/>
    <x v="34"/>
    <d v="2022-10-08T00:00:00"/>
    <m/>
    <n v="-100"/>
    <m/>
    <m/>
    <s v="Revolut**5063*           Dublin       IRL"/>
    <s v="KRUIS"/>
    <s v="KRUIS"/>
    <s v="KRUIS"/>
    <m/>
    <m/>
    <m/>
    <m/>
    <m/>
    <m/>
    <m/>
    <m/>
    <m/>
    <m/>
  </r>
  <r>
    <n v="202301105"/>
    <x v="0"/>
    <m/>
    <x v="6"/>
    <x v="34"/>
    <d v="2022-10-14T00:00:00"/>
    <m/>
    <m/>
    <m/>
    <m/>
    <s v="GELDMAAT VOSSENSTRAAT 1  ARNHEM       NLD 500 euro"/>
    <s v="KRUIS"/>
    <s v="KRUIS"/>
    <s v="KRUIS"/>
    <m/>
    <m/>
    <m/>
    <m/>
    <m/>
    <m/>
    <m/>
    <m/>
    <m/>
    <m/>
  </r>
  <r>
    <n v="202301111"/>
    <x v="0"/>
    <m/>
    <x v="6"/>
    <x v="34"/>
    <d v="2022-10-28T00:00:00"/>
    <m/>
    <n v="644.27"/>
    <m/>
    <m/>
    <s v="Verrekening vorig overzicht"/>
    <s v="KRUIS"/>
    <s v="KRUIS"/>
    <s v="KRUIS"/>
    <m/>
    <m/>
    <m/>
    <m/>
    <m/>
    <m/>
    <m/>
    <m/>
    <m/>
    <m/>
  </r>
  <r>
    <n v="202301120"/>
    <x v="0"/>
    <m/>
    <x v="6"/>
    <x v="35"/>
    <d v="2022-11-28T00:00:00"/>
    <m/>
    <n v="647.84"/>
    <m/>
    <m/>
    <s v="Verrekening vorig overzicht"/>
    <s v="KRUIS"/>
    <s v="KRUIS"/>
    <s v="KRUIS"/>
    <m/>
    <m/>
    <m/>
    <m/>
    <m/>
    <m/>
    <m/>
    <m/>
    <m/>
    <m/>
  </r>
  <r>
    <n v="202301128"/>
    <x v="0"/>
    <m/>
    <x v="6"/>
    <x v="33"/>
    <d v="2022-12-28T00:00:00"/>
    <m/>
    <n v="24.75"/>
    <m/>
    <m/>
    <s v="Verrekening vorig overzicht"/>
    <s v="KRUIS"/>
    <s v="KRUIS"/>
    <s v="KRUIS"/>
    <m/>
    <m/>
    <m/>
    <m/>
    <m/>
    <m/>
    <m/>
    <m/>
    <m/>
    <m/>
  </r>
  <r>
    <n v="202301131"/>
    <x v="6"/>
    <m/>
    <x v="6"/>
    <x v="34"/>
    <d v="2022-10-08T00:00:00"/>
    <m/>
    <n v="100"/>
    <m/>
    <m/>
    <s v="Card Top-Up"/>
    <s v="KRUIS"/>
    <s v="KRUIS"/>
    <s v="KRUIS"/>
    <m/>
    <m/>
    <m/>
    <m/>
    <m/>
    <m/>
    <m/>
    <m/>
    <m/>
    <m/>
  </r>
  <r>
    <n v="202301136"/>
    <x v="6"/>
    <m/>
    <x v="6"/>
    <x v="35"/>
    <d v="2022-11-17T16:21:41"/>
    <m/>
    <n v="100"/>
    <m/>
    <m/>
    <s v="IDEAL Top-Up"/>
    <s v="KRUIS"/>
    <s v="KRUIS"/>
    <s v="KRUIS"/>
    <m/>
    <m/>
    <m/>
    <m/>
    <m/>
    <m/>
    <m/>
    <m/>
    <m/>
    <m/>
  </r>
  <r>
    <n v="202301147"/>
    <x v="9"/>
    <m/>
    <x v="6"/>
    <x v="33"/>
    <d v="2022-12-25T00:00:00"/>
    <m/>
    <n v="501"/>
    <m/>
    <m/>
    <s v="18000 bahtomgewisseld"/>
    <s v="KRUIS"/>
    <s v="KRUIS"/>
    <s v="KRUIS"/>
    <m/>
    <m/>
    <m/>
    <m/>
    <m/>
    <m/>
    <m/>
    <m/>
    <m/>
    <m/>
  </r>
  <r>
    <n v="202301148"/>
    <x v="5"/>
    <m/>
    <x v="6"/>
    <x v="33"/>
    <d v="2022-12-25T00:00:00"/>
    <m/>
    <n v="-501"/>
    <m/>
    <m/>
    <s v="18000 bahtomgewisseld"/>
    <s v="KRUIS"/>
    <s v="KRUIS"/>
    <s v="KRUIS"/>
    <m/>
    <m/>
    <m/>
    <m/>
    <m/>
    <m/>
    <m/>
    <m/>
    <m/>
    <m/>
  </r>
  <r>
    <n v="202305008"/>
    <x v="3"/>
    <s v="EUR"/>
    <x v="0"/>
    <x v="42"/>
    <d v="2023-01-18T00:00:00"/>
    <d v="2023-01-18T00:00:00"/>
    <n v="500"/>
    <n v="449.49"/>
    <s v="NL24RABO3628561752"/>
    <s v="R.C. Smit"/>
    <s v="KRUIS"/>
    <s v="KRUIS"/>
    <s v="KRUIS"/>
    <n v="449.49"/>
    <m/>
    <m/>
    <m/>
    <m/>
    <m/>
    <s v=" "/>
    <s v=" "/>
    <m/>
    <m/>
  </r>
  <r>
    <n v="202305014"/>
    <x v="3"/>
    <s v="EUR"/>
    <x v="0"/>
    <x v="42"/>
    <d v="2023-01-28T00:00:00"/>
    <d v="2023-01-28T00:00:00"/>
    <n v="-7.98"/>
    <n v="479.47"/>
    <m/>
    <s v="Rabobank Nederland"/>
    <s v="KRUIS"/>
    <s v="KRUIS"/>
    <s v="KRUIS"/>
    <n v="479.47"/>
    <m/>
    <m/>
    <m/>
    <m/>
    <m/>
    <s v="Kaartnummer: ****.****.****.1348   Zie rekeningoverzicht 24-01-2023"/>
    <s v=" "/>
    <m/>
    <m/>
  </r>
  <r>
    <n v="202305031"/>
    <x v="3"/>
    <s v="EUR"/>
    <x v="0"/>
    <x v="0"/>
    <d v="2023-02-28T00:00:00"/>
    <d v="2023-02-28T00:00:00"/>
    <n v="-16.36"/>
    <n v="278.62"/>
    <m/>
    <s v="Rabobank Nederland"/>
    <s v="KRUIS"/>
    <s v="KRUIS"/>
    <s v="KRUIS"/>
    <n v="278.62"/>
    <m/>
    <m/>
    <m/>
    <m/>
    <m/>
    <s v="Kaartnummer: ****.****.****.1348   Zie rekeningoverzicht 24-02-2023"/>
    <s v=" "/>
    <m/>
    <m/>
  </r>
  <r>
    <n v="202305043"/>
    <x v="3"/>
    <s v="EUR"/>
    <x v="0"/>
    <x v="74"/>
    <d v="2023-03-06T00:00:00"/>
    <d v="2023-03-06T00:00:00"/>
    <n v="400"/>
    <n v="390.63"/>
    <s v="NL24RABO3628561752"/>
    <s v="R.C. Smit"/>
    <s v="KRUIS"/>
    <s v="KRUIS"/>
    <s v="KRUIS"/>
    <n v="390.63"/>
    <m/>
    <m/>
    <m/>
    <m/>
    <m/>
    <s v=" "/>
    <s v=" "/>
    <m/>
    <m/>
  </r>
  <r>
    <n v="202305056"/>
    <x v="3"/>
    <s v="EUR"/>
    <x v="0"/>
    <x v="74"/>
    <d v="2023-03-24T00:00:00"/>
    <d v="2023-03-24T00:00:00"/>
    <n v="-2100"/>
    <n v="418.14"/>
    <s v="NL24RABO3628561752"/>
    <s v="R.C. Smit"/>
    <s v="KRUIS"/>
    <s v="KRUIS"/>
    <s v="KRUIS"/>
    <n v="418.14"/>
    <m/>
    <m/>
    <m/>
    <m/>
    <m/>
    <s v=" "/>
    <s v=" "/>
    <m/>
    <m/>
  </r>
  <r>
    <n v="202305061"/>
    <x v="3"/>
    <s v="EUR"/>
    <x v="0"/>
    <x v="74"/>
    <d v="2023-03-28T00:00:00"/>
    <d v="2023-03-28T00:00:00"/>
    <n v="-7.98"/>
    <n v="331.92"/>
    <m/>
    <s v="Rabobank Nederland"/>
    <s v="KRUIS"/>
    <s v="KRUIS"/>
    <s v="KRUIS"/>
    <n v="331.92"/>
    <m/>
    <m/>
    <m/>
    <m/>
    <m/>
    <s v="Kaartnummer: ****.****.****.1348   Zie rekeningoverzicht 24-03-2023"/>
    <s v=" "/>
    <m/>
    <m/>
  </r>
  <r>
    <n v="202305082"/>
    <x v="3"/>
    <s v="EUR"/>
    <x v="0"/>
    <x v="75"/>
    <d v="2023-04-15T00:00:00"/>
    <d v="2023-04-15T00:00:00"/>
    <n v="200"/>
    <n v="171.62"/>
    <s v="NL24RABO3628561752"/>
    <s v="R.C. Smit"/>
    <s v="KRUIS"/>
    <s v="KRUIS"/>
    <s v="KRUIS"/>
    <n v="171.62"/>
    <m/>
    <m/>
    <m/>
    <m/>
    <m/>
    <s v=" "/>
    <s v=" "/>
    <m/>
    <m/>
  </r>
  <r>
    <n v="202305102"/>
    <x v="3"/>
    <s v="EUR"/>
    <x v="0"/>
    <x v="75"/>
    <d v="2023-04-25T00:00:00"/>
    <d v="2023-04-25T00:00:00"/>
    <n v="-1500"/>
    <n v="560.25"/>
    <s v="NL24RABO3628561752"/>
    <s v="R.C. Smit"/>
    <s v="KRUIS"/>
    <s v="KRUIS"/>
    <s v="KRUIS"/>
    <n v="560.25"/>
    <m/>
    <m/>
    <m/>
    <m/>
    <m/>
    <s v=" "/>
    <s v=" "/>
    <m/>
    <m/>
  </r>
  <r>
    <n v="202305111"/>
    <x v="3"/>
    <s v="EUR"/>
    <x v="0"/>
    <x v="75"/>
    <d v="2023-04-28T00:00:00"/>
    <d v="2023-04-28T00:00:00"/>
    <n v="-7.98"/>
    <n v="507.17"/>
    <m/>
    <s v="Rabobank Nederland"/>
    <s v="KRUIS"/>
    <s v="KRUIS"/>
    <s v="KRUIS"/>
    <n v="507.17"/>
    <m/>
    <m/>
    <m/>
    <m/>
    <m/>
    <s v="Kaartnummer: ****.****.****.1348   Zie rekeningoverzicht 24-04-2023"/>
    <s v=" "/>
    <m/>
    <m/>
  </r>
  <r>
    <n v="202305133"/>
    <x v="8"/>
    <s v="EUR"/>
    <x v="0"/>
    <x v="42"/>
    <d v="2023-01-18T00:00:00"/>
    <d v="2023-01-18T00:00:00"/>
    <n v="-500"/>
    <n v="7628.02"/>
    <s v="NL22RABO0381604934"/>
    <s v="R.C. Smit"/>
    <s v="KRUIS"/>
    <s v="KRUIS"/>
    <s v="KRUIS"/>
    <n v="7628.02"/>
    <m/>
    <m/>
    <m/>
    <m/>
    <m/>
    <s v="Afschrijving                          "/>
    <s v="   "/>
    <m/>
    <m/>
  </r>
  <r>
    <n v="202305134"/>
    <x v="8"/>
    <s v="EUR"/>
    <x v="0"/>
    <x v="74"/>
    <d v="2023-03-06T00:00:00"/>
    <d v="2023-03-06T00:00:00"/>
    <n v="-400"/>
    <n v="7228.02"/>
    <s v="NL22RABO0381604934"/>
    <s v="R.C. Smit"/>
    <s v="KRUIS"/>
    <s v="KRUIS"/>
    <s v="KRUIS"/>
    <n v="7228.02"/>
    <m/>
    <m/>
    <m/>
    <m/>
    <m/>
    <s v="Afschrijving                          "/>
    <s v="   "/>
    <m/>
    <m/>
  </r>
  <r>
    <n v="202305135"/>
    <x v="8"/>
    <s v="EUR"/>
    <x v="0"/>
    <x v="74"/>
    <d v="2023-03-24T00:00:00"/>
    <d v="2023-03-24T00:00:00"/>
    <n v="2100"/>
    <n v="9328.02"/>
    <s v="NL22RABO0381604934"/>
    <s v="R.C. Smit"/>
    <s v="KRUIS"/>
    <s v="KRUIS"/>
    <s v="KRUIS"/>
    <n v="9328.02"/>
    <m/>
    <m/>
    <m/>
    <m/>
    <m/>
    <s v="Bijschrijving                         "/>
    <s v="   "/>
    <m/>
    <m/>
  </r>
  <r>
    <n v="202305136"/>
    <x v="8"/>
    <s v="EUR"/>
    <x v="0"/>
    <x v="75"/>
    <d v="2023-04-15T00:00:00"/>
    <d v="2023-04-15T00:00:00"/>
    <n v="-200"/>
    <n v="9128.02"/>
    <s v="NL22RABO0381604934"/>
    <s v="R.C. Smit"/>
    <s v="KRUIS"/>
    <s v="KRUIS"/>
    <s v="KRUIS"/>
    <n v="9128.02"/>
    <m/>
    <m/>
    <m/>
    <m/>
    <m/>
    <s v="Afschrijving                          "/>
    <s v="   "/>
    <m/>
    <m/>
  </r>
  <r>
    <n v="202305137"/>
    <x v="8"/>
    <s v="EUR"/>
    <x v="0"/>
    <x v="75"/>
    <d v="2023-04-25T00:00:00"/>
    <d v="2023-04-25T00:00:00"/>
    <n v="1500"/>
    <n v="10628.02"/>
    <s v="NL22RABO0381604934"/>
    <s v="R.C. Smit"/>
    <s v="KRUIS"/>
    <s v="KRUIS"/>
    <s v="KRUIS"/>
    <n v="10628.02"/>
    <m/>
    <m/>
    <m/>
    <m/>
    <m/>
    <s v="Bijschrijving                         "/>
    <s v="   "/>
    <m/>
    <m/>
  </r>
  <r>
    <n v="202305144"/>
    <x v="0"/>
    <s v="EUR"/>
    <x v="0"/>
    <x v="42"/>
    <d v="2023-01-28T00:00:00"/>
    <m/>
    <n v="7.98"/>
    <m/>
    <n v="7.98"/>
    <s v="Verrekening vorig overzicht"/>
    <s v="KRUIS"/>
    <s v="KRUIS"/>
    <s v="KRUIS"/>
    <m/>
    <m/>
    <m/>
    <m/>
    <m/>
    <m/>
    <m/>
    <m/>
    <m/>
    <m/>
  </r>
  <r>
    <n v="202305151"/>
    <x v="0"/>
    <s v="EUR"/>
    <x v="0"/>
    <x v="0"/>
    <d v="2023-02-28T00:00:00"/>
    <m/>
    <n v="16.36"/>
    <m/>
    <n v="16.36"/>
    <s v="Verrekening vorig overzicht"/>
    <s v="KRUIS"/>
    <s v="KRUIS"/>
    <s v="KRUIS"/>
    <m/>
    <m/>
    <m/>
    <m/>
    <m/>
    <m/>
    <m/>
    <m/>
    <m/>
    <m/>
  </r>
  <r>
    <n v="202305154"/>
    <x v="0"/>
    <s v="EUR"/>
    <x v="0"/>
    <x v="74"/>
    <d v="2023-03-28T00:00:00"/>
    <m/>
    <n v="7.98"/>
    <m/>
    <n v="7.98"/>
    <s v="Verrekening vorig overzicht"/>
    <s v="KRUIS"/>
    <s v="KRUIS"/>
    <s v="KRUIS"/>
    <m/>
    <m/>
    <m/>
    <m/>
    <m/>
    <m/>
    <m/>
    <m/>
    <m/>
    <m/>
  </r>
  <r>
    <n v="202305157"/>
    <x v="0"/>
    <s v="EUR"/>
    <x v="0"/>
    <x v="75"/>
    <d v="2023-04-28T00:00:00"/>
    <m/>
    <n v="7.98"/>
    <m/>
    <n v="7.98"/>
    <s v="Verrekening vorig overzicht"/>
    <s v="KRUIS"/>
    <s v="KRUIS"/>
    <s v="KRUIS"/>
    <m/>
    <m/>
    <m/>
    <m/>
    <m/>
    <m/>
    <m/>
    <m/>
    <m/>
    <m/>
  </r>
  <r>
    <n v="521"/>
    <x v="3"/>
    <m/>
    <x v="1"/>
    <x v="43"/>
    <d v="2017-03-29T00:00:00"/>
    <d v="2017-03-29T00:00:00"/>
    <n v="-125.98"/>
    <n v="125.98"/>
    <m/>
    <s v="RABOBANK NEDERLAND"/>
    <s v="UIT"/>
    <s v="REIZEN_EUR"/>
    <s v="vliegtickets"/>
    <m/>
    <m/>
    <m/>
    <m/>
    <m/>
    <m/>
    <m/>
    <m/>
    <m/>
    <m/>
  </r>
  <r>
    <n v="689"/>
    <x v="3"/>
    <m/>
    <x v="1"/>
    <x v="3"/>
    <d v="2017-10-30T00:00:00"/>
    <d v="2017-10-30T00:00:00"/>
    <n v="191.72"/>
    <n v="191.72"/>
    <m/>
    <s v="EUROPEAN LEISURE SUPPORT"/>
    <s v="UIT"/>
    <s v="REIZEN_EUR"/>
    <s v="vliegtickets"/>
    <m/>
    <m/>
    <m/>
    <m/>
    <m/>
    <m/>
    <m/>
    <m/>
    <m/>
    <m/>
  </r>
  <r>
    <n v="717"/>
    <x v="0"/>
    <m/>
    <x v="1"/>
    <x v="47"/>
    <d v="2017-08-19T00:00:00"/>
    <d v="2017-08-19T00:00:00"/>
    <n v="-65.739999999999995"/>
    <n v="65.739999999999995"/>
    <m/>
    <s v="IBERIA MADRID ESP"/>
    <s v="UIT"/>
    <s v="REIZEN_EUR"/>
    <s v="vliegtickets"/>
    <m/>
    <m/>
    <m/>
    <m/>
    <m/>
    <m/>
    <m/>
    <m/>
    <m/>
    <m/>
  </r>
  <r>
    <n v="1342"/>
    <x v="3"/>
    <m/>
    <x v="2"/>
    <x v="7"/>
    <d v="2018-11-02T00:00:00"/>
    <d v="2018-11-02T00:00:00"/>
    <n v="181.99"/>
    <n v="181.99"/>
    <m/>
    <s v="European Leisure Support"/>
    <s v="UIT"/>
    <s v="REIZEN_EUR"/>
    <s v="vliegtickets"/>
    <m/>
    <m/>
    <m/>
    <m/>
    <m/>
    <m/>
    <m/>
    <m/>
    <m/>
    <m/>
  </r>
  <r>
    <n v="1373"/>
    <x v="0"/>
    <m/>
    <x v="2"/>
    <x v="6"/>
    <d v="2018-01-26T00:00:00"/>
    <d v="2018-01-26T00:00:00"/>
    <n v="-99"/>
    <n v="99"/>
    <m/>
    <s v="Transavia Y2WEJR LUCHTHAVEN SCNLD"/>
    <s v="UIT"/>
    <s v="REIZEN_EUR"/>
    <s v="vliegtickets"/>
    <m/>
    <m/>
    <m/>
    <m/>
    <m/>
    <m/>
    <m/>
    <m/>
    <m/>
    <m/>
  </r>
  <r>
    <n v="1376"/>
    <x v="0"/>
    <m/>
    <x v="2"/>
    <x v="37"/>
    <d v="2018-08-26T00:00:00"/>
    <d v="2018-08-26T00:00:00"/>
    <n v="-82.99"/>
    <n v="82.99"/>
    <m/>
    <s v="VUELING AIRLINES PRAT DE LLOBRESP"/>
    <s v="UIT"/>
    <s v="REIZEN_EUR"/>
    <s v="vliegtickets"/>
    <m/>
    <m/>
    <m/>
    <m/>
    <m/>
    <m/>
    <m/>
    <m/>
    <m/>
    <m/>
  </r>
  <r>
    <n v="2038"/>
    <x v="0"/>
    <m/>
    <x v="3"/>
    <x v="13"/>
    <d v="2019-01-14T00:00:00"/>
    <d v="2019-01-14T00:00:00"/>
    <n v="-102.88"/>
    <n v="102.88"/>
    <m/>
    <s v="TRIPAIR PALAIO FALIROGRC"/>
    <s v="UIT"/>
    <s v="REIZEN_EUR"/>
    <s v="vliegtickets"/>
    <m/>
    <m/>
    <m/>
    <m/>
    <m/>
    <m/>
    <m/>
    <m/>
    <m/>
    <m/>
  </r>
  <r>
    <n v="2042"/>
    <x v="0"/>
    <m/>
    <x v="3"/>
    <x v="38"/>
    <d v="2019-07-19T00:00:00"/>
    <d v="2019-07-19T00:00:00"/>
    <n v="-101.76"/>
    <n v="101.76"/>
    <m/>
    <s v="EASYJET00 000EXHKBL2 LUTON, BEDS GBR"/>
    <s v="UIT"/>
    <s v="REIZEN_EUR"/>
    <s v="vliegtickets"/>
    <m/>
    <m/>
    <m/>
    <m/>
    <m/>
    <m/>
    <m/>
    <m/>
    <m/>
    <m/>
  </r>
  <r>
    <n v="202208075"/>
    <x v="3"/>
    <s v="EUR"/>
    <x v="6"/>
    <x v="72"/>
    <d v="2022-07-12T00:00:00"/>
    <d v="2022-07-13T00:00:00"/>
    <n v="-62.8"/>
    <n v="62.8"/>
    <s v="NL56DEUT0265186420"/>
    <s v="NS Internationaal B.V. by Buckaroo"/>
    <s v="UIT"/>
    <s v="REIZEN_EUR"/>
    <s v="vliegtickets"/>
    <s v="id"/>
    <m/>
    <s v="12-07-2022 23:49 1030000660120071"/>
    <m/>
    <m/>
    <m/>
    <s v="47540984 1030000660120071 DNR: FRBGTQT x4934 pasnr.032"/>
    <s v=" "/>
    <m/>
    <m/>
  </r>
  <r>
    <n v="202301010"/>
    <x v="3"/>
    <s v="EUR"/>
    <x v="6"/>
    <x v="34"/>
    <d v="2022-10-05T00:00:00"/>
    <d v="2022-10-06T00:00:00"/>
    <n v="-10.29"/>
    <m/>
    <s v="NL54INGB0005564520"/>
    <s v="Achmea Schadeverzekeringen N.V."/>
    <s v="UIT"/>
    <s v="REIZEN_EUR"/>
    <s v="REIZEN_EUR"/>
    <s v="id"/>
    <m/>
    <s v="05-10-2022 20:29 0051100168588752"/>
    <m/>
    <m/>
    <m/>
    <s v="TAAAFD2ET6UPZGCT 0051100168588752 Kortlopende Reisverzekering Centraal beheer x4934 pasnr.032"/>
    <s v=" "/>
    <m/>
    <m/>
  </r>
  <r>
    <n v="202301021"/>
    <x v="3"/>
    <s v="EUR"/>
    <x v="6"/>
    <x v="34"/>
    <d v="2022-10-11T00:00:00"/>
    <d v="2022-10-11T00:00:00"/>
    <n v="10.29"/>
    <m/>
    <s v="NL54INGB0005564520"/>
    <s v="Centraal Beheer"/>
    <s v="UIT"/>
    <s v="REIZEN_EUR"/>
    <s v="REIZEN_EUR"/>
    <s v="cb"/>
    <m/>
    <n v="33750167235"/>
    <m/>
    <m/>
    <m/>
    <s v="CB Kortlopende Reis 305949933 Periode 05.10.2022 - 17.10.2022 Centraal Beheer"/>
    <s v=" "/>
    <m/>
    <m/>
  </r>
  <r>
    <n v="202301029"/>
    <x v="3"/>
    <s v="EUR"/>
    <x v="6"/>
    <x v="34"/>
    <d v="2022-10-15T00:00:00"/>
    <d v="2022-10-17T00:00:00"/>
    <n v="-70.900000000000006"/>
    <m/>
    <s v="NL56DEUT0265186420"/>
    <s v="NS Internationaal B.V. by Buckaroo Stichting Derdengelden"/>
    <s v="UIT"/>
    <s v="REIZEN_EUR"/>
    <s v="REIZEN_EUR"/>
    <s v="id"/>
    <m/>
    <s v="15-10-2022 11:31 1030000690379206"/>
    <m/>
    <m/>
    <m/>
    <s v="49087074 1030000690379206 DNR: MHXKLJD x4934 pasnr.032"/>
    <s v=" "/>
    <m/>
    <m/>
  </r>
  <r>
    <n v="202301030"/>
    <x v="3"/>
    <s v="EUR"/>
    <x v="6"/>
    <x v="34"/>
    <d v="2022-10-15T00:00:00"/>
    <d v="2022-10-17T00:00:00"/>
    <n v="-43.9"/>
    <m/>
    <s v="NL56DEUT0265186420"/>
    <s v="NS Internationaal B.V. by Buckaroo Stichting Derdengelden"/>
    <s v="UIT"/>
    <s v="REIZEN_EUR"/>
    <s v="REIZEN_EUR"/>
    <s v="id"/>
    <m/>
    <s v="15-10-2022 11:38 1030000690380928"/>
    <m/>
    <m/>
    <m/>
    <s v="49087188 1030000690380928 DNR: GDFBCBC x4934 pasnr.032"/>
    <s v=" "/>
    <m/>
    <m/>
  </r>
  <r>
    <n v="202301031"/>
    <x v="3"/>
    <s v="EUR"/>
    <x v="6"/>
    <x v="34"/>
    <d v="2022-10-15T00:00:00"/>
    <d v="2022-10-17T00:00:00"/>
    <n v="-9.41"/>
    <m/>
    <s v="NL54INGB0005564520"/>
    <s v="Achmea Schadeverzekeringen N.V."/>
    <s v="UIT"/>
    <s v="REIZEN_EUR"/>
    <s v="REIZEN_EUR"/>
    <s v="id"/>
    <m/>
    <s v="15-10-2022 12:25 0051100173700763"/>
    <m/>
    <m/>
    <m/>
    <s v="TAAAFD2F5UJW1X3X 0051100173700763 Kortlopende Reisverzekering Centraal beheer x4934 pasnr.032"/>
    <s v=" "/>
    <m/>
    <m/>
  </r>
  <r>
    <n v="202301048"/>
    <x v="3"/>
    <s v="EUR"/>
    <x v="6"/>
    <x v="35"/>
    <d v="2022-11-03T00:00:00"/>
    <d v="2022-11-03T00:00:00"/>
    <n v="7.5"/>
    <m/>
    <s v="NL89ABNA0476958822"/>
    <s v="NS GROEP NSR CUST SERV"/>
    <s v="UIT"/>
    <s v="REIZEN_EUR"/>
    <s v="REIZEN_EUR"/>
    <s v="cb"/>
    <m/>
    <n v="2052983997"/>
    <m/>
    <m/>
    <m/>
    <s v="Restitutie NS Z002"/>
    <s v=" "/>
    <m/>
    <m/>
  </r>
  <r>
    <n v="202301056"/>
    <x v="3"/>
    <s v="EUR"/>
    <x v="6"/>
    <x v="35"/>
    <d v="2022-11-06T00:00:00"/>
    <d v="2022-11-06T00:00:00"/>
    <n v="-30.43"/>
    <m/>
    <m/>
    <s v="Meininger Amsterdam BV Amsterdam"/>
    <s v="UIT"/>
    <s v="REIZEN_EUR"/>
    <s v="REIZEN_EUR"/>
    <s v="bc"/>
    <m/>
    <m/>
    <m/>
    <m/>
    <m/>
    <s v="Betaalautomaat 13:47 pasnr. 032"/>
    <s v=" "/>
    <m/>
    <m/>
  </r>
  <r>
    <n v="202301165"/>
    <x v="5"/>
    <m/>
    <x v="6"/>
    <x v="34"/>
    <d v="2022-10-20T00:00:00"/>
    <m/>
    <n v="-10"/>
    <m/>
    <m/>
    <s v="mindkapjes ffp2"/>
    <s v="UIT"/>
    <s v="REIZEN_EUR"/>
    <s v="REIZEN_EUR"/>
    <m/>
    <m/>
    <m/>
    <m/>
    <m/>
    <m/>
    <m/>
    <m/>
    <m/>
    <m/>
  </r>
  <r>
    <n v="202301168"/>
    <x v="5"/>
    <m/>
    <x v="6"/>
    <x v="34"/>
    <d v="2022-10-21T00:00:00"/>
    <m/>
    <n v="-18"/>
    <m/>
    <m/>
    <s v="Diner vrijdag 18 happenpappen"/>
    <s v="UIT"/>
    <s v="REIZEN_EUR"/>
    <s v="REIZEN_EUR"/>
    <m/>
    <m/>
    <m/>
    <m/>
    <m/>
    <m/>
    <m/>
    <m/>
    <m/>
    <m/>
  </r>
  <r>
    <n v="202301169"/>
    <x v="5"/>
    <m/>
    <x v="6"/>
    <x v="34"/>
    <d v="2022-10-22T00:00:00"/>
    <m/>
    <n v="-17.3"/>
    <m/>
    <m/>
    <s v="Lunch za 17,30 an vegan"/>
    <s v="UIT"/>
    <s v="REIZEN_EUR"/>
    <s v="REIZEN_EUR"/>
    <m/>
    <m/>
    <m/>
    <m/>
    <m/>
    <m/>
    <m/>
    <m/>
    <m/>
    <m/>
  </r>
  <r>
    <n v="202301171"/>
    <x v="5"/>
    <m/>
    <x v="6"/>
    <x v="34"/>
    <d v="2022-10-22T00:00:00"/>
    <m/>
    <n v="-7.5"/>
    <m/>
    <m/>
    <s v="Thee+gebak 7,50"/>
    <s v="UIT"/>
    <s v="REIZEN_EUR"/>
    <s v="REIZEN_EUR"/>
    <m/>
    <m/>
    <m/>
    <m/>
    <m/>
    <m/>
    <m/>
    <m/>
    <m/>
    <m/>
  </r>
  <r>
    <n v="202301173"/>
    <x v="5"/>
    <m/>
    <x v="6"/>
    <x v="34"/>
    <d v="2022-10-23T00:00:00"/>
    <m/>
    <n v="0"/>
    <m/>
    <m/>
    <s v="lunch : falaffel betaald door tina"/>
    <s v="UIT"/>
    <s v="REIZEN_EUR"/>
    <s v="REIZEN_EUR"/>
    <m/>
    <m/>
    <m/>
    <m/>
    <m/>
    <m/>
    <m/>
    <m/>
    <m/>
    <m/>
  </r>
  <r>
    <n v="202301174"/>
    <x v="5"/>
    <m/>
    <x v="6"/>
    <x v="34"/>
    <d v="2022-10-23T00:00:00"/>
    <m/>
    <n v="-3.6"/>
    <m/>
    <m/>
    <s v="Treintickets 3,60"/>
    <s v="UIT"/>
    <s v="REIZEN_EUR"/>
    <s v="REIZEN_EUR"/>
    <m/>
    <m/>
    <m/>
    <m/>
    <m/>
    <m/>
    <m/>
    <m/>
    <m/>
    <m/>
  </r>
  <r>
    <n v="202301178"/>
    <x v="5"/>
    <m/>
    <x v="6"/>
    <x v="34"/>
    <d v="2022-10-24T00:00:00"/>
    <m/>
    <n v="-1.8"/>
    <m/>
    <m/>
    <s v="OV 1,80"/>
    <s v="UIT"/>
    <s v="REIZEN_EUR"/>
    <s v="REIZEN_EUR"/>
    <m/>
    <m/>
    <m/>
    <m/>
    <m/>
    <m/>
    <m/>
    <m/>
    <m/>
    <m/>
  </r>
  <r>
    <n v="202301179"/>
    <x v="5"/>
    <m/>
    <x v="6"/>
    <x v="34"/>
    <d v="2022-10-24T00:00:00"/>
    <m/>
    <n v="-6.9"/>
    <m/>
    <m/>
    <s v="Ov 6,90"/>
    <s v="UIT"/>
    <s v="REIZEN_EUR"/>
    <s v="REIZEN_EUR"/>
    <m/>
    <m/>
    <m/>
    <m/>
    <m/>
    <m/>
    <m/>
    <m/>
    <m/>
    <m/>
  </r>
  <r>
    <n v="202301183"/>
    <x v="5"/>
    <m/>
    <x v="6"/>
    <x v="34"/>
    <d v="2022-10-24T00:00:00"/>
    <m/>
    <n v="-11.5"/>
    <m/>
    <m/>
    <s v="lunch kkoki loves vegan"/>
    <s v="UIT"/>
    <s v="REIZEN_EUR"/>
    <s v="REIZEN_EUR"/>
    <m/>
    <m/>
    <m/>
    <m/>
    <m/>
    <m/>
    <m/>
    <m/>
    <m/>
    <m/>
  </r>
  <r>
    <n v="202301185"/>
    <x v="5"/>
    <m/>
    <x v="6"/>
    <x v="34"/>
    <d v="2022-10-24T00:00:00"/>
    <m/>
    <n v="-2.59"/>
    <m/>
    <m/>
    <s v="Chocolade voor isa 2,59"/>
    <s v="UIT"/>
    <s v="REIZEN_EUR"/>
    <s v="REIZEN_EUR"/>
    <m/>
    <m/>
    <m/>
    <m/>
    <m/>
    <m/>
    <m/>
    <m/>
    <m/>
    <m/>
  </r>
  <r>
    <n v="202301187"/>
    <x v="5"/>
    <m/>
    <x v="6"/>
    <x v="34"/>
    <d v="2022-10-24T00:00:00"/>
    <m/>
    <n v="-1.25"/>
    <m/>
    <m/>
    <s v="water"/>
    <s v="UIT"/>
    <s v="REIZEN_EUR"/>
    <s v="REIZEN_EUR"/>
    <m/>
    <m/>
    <m/>
    <m/>
    <m/>
    <m/>
    <m/>
    <m/>
    <m/>
    <m/>
  </r>
  <r>
    <n v="202305005"/>
    <x v="3"/>
    <s v="EUR"/>
    <x v="0"/>
    <x v="42"/>
    <d v="2023-01-05T00:00:00"/>
    <d v="2023-01-05T00:00:00"/>
    <n v="17.73"/>
    <n v="92.99"/>
    <s v="NL06DEUT0265186447"/>
    <s v="STICHTING DERDENGELDEN BUCKAROO geld terug reis hamburg"/>
    <s v="UIT"/>
    <s v="REIZEN_EUR"/>
    <s v="REIZEN_EUR"/>
    <n v="92.99"/>
    <m/>
    <s v="2HY8YEKWJSW8VROVKBKI"/>
    <m/>
    <m/>
    <m/>
    <s v="DNR: MHXKLJD - NS International - BuckID: 2HY8YEKWJSW8VROVKBKI"/>
    <s v=" "/>
    <m/>
    <m/>
  </r>
  <r>
    <n v="119"/>
    <x v="5"/>
    <m/>
    <x v="1"/>
    <x v="43"/>
    <d v="2017-03-28T00:00:00"/>
    <d v="2017-03-28T00:00:00"/>
    <n v="-4.5"/>
    <n v="4.5"/>
    <m/>
    <s v="atac"/>
    <s v="UIT"/>
    <s v="REIZEN_IT"/>
    <s v="atac"/>
    <m/>
    <m/>
    <m/>
    <m/>
    <m/>
    <m/>
    <m/>
    <m/>
    <m/>
    <m/>
  </r>
  <r>
    <n v="129"/>
    <x v="5"/>
    <m/>
    <x v="1"/>
    <x v="44"/>
    <d v="2017-04-01T00:00:00"/>
    <d v="2017-04-01T00:00:00"/>
    <n v="-3"/>
    <n v="3"/>
    <m/>
    <s v="atac"/>
    <s v="UIT"/>
    <s v="REIZEN_IT"/>
    <s v="atac"/>
    <m/>
    <m/>
    <m/>
    <m/>
    <m/>
    <m/>
    <m/>
    <m/>
    <m/>
    <m/>
  </r>
  <r>
    <n v="133"/>
    <x v="5"/>
    <m/>
    <x v="1"/>
    <x v="44"/>
    <d v="2017-04-01T00:00:00"/>
    <d v="2017-04-01T00:00:00"/>
    <n v="-1.5"/>
    <n v="1.5"/>
    <m/>
    <s v="atac"/>
    <s v="UIT"/>
    <s v="REIZEN_IT"/>
    <s v="atac"/>
    <m/>
    <m/>
    <m/>
    <m/>
    <m/>
    <m/>
    <m/>
    <m/>
    <m/>
    <m/>
  </r>
  <r>
    <n v="135"/>
    <x v="5"/>
    <m/>
    <x v="1"/>
    <x v="44"/>
    <d v="2017-04-01T00:00:00"/>
    <d v="2017-04-01T00:00:00"/>
    <n v="-1.5"/>
    <n v="1.5"/>
    <m/>
    <s v="atac 5/4"/>
    <s v="UIT"/>
    <s v="REIZEN_IT"/>
    <s v="atac"/>
    <m/>
    <m/>
    <m/>
    <m/>
    <m/>
    <m/>
    <m/>
    <m/>
    <m/>
    <m/>
  </r>
  <r>
    <n v="149"/>
    <x v="5"/>
    <m/>
    <x v="1"/>
    <x v="44"/>
    <d v="2017-04-11T00:00:00"/>
    <d v="2017-04-11T00:00:00"/>
    <n v="-4.5"/>
    <n v="4.5"/>
    <m/>
    <s v="atac 11/4"/>
    <s v="UIT"/>
    <s v="REIZEN_IT"/>
    <s v="atac"/>
    <m/>
    <m/>
    <m/>
    <m/>
    <m/>
    <m/>
    <m/>
    <m/>
    <m/>
    <m/>
  </r>
  <r>
    <n v="159"/>
    <x v="5"/>
    <m/>
    <x v="1"/>
    <x v="44"/>
    <d v="2017-04-17T00:00:00"/>
    <d v="2017-04-17T00:00:00"/>
    <n v="-3"/>
    <n v="3"/>
    <m/>
    <s v="atac"/>
    <s v="UIT"/>
    <s v="REIZEN_IT"/>
    <s v="atac"/>
    <m/>
    <m/>
    <m/>
    <m/>
    <m/>
    <m/>
    <m/>
    <m/>
    <m/>
    <m/>
  </r>
  <r>
    <n v="184"/>
    <x v="5"/>
    <m/>
    <x v="1"/>
    <x v="44"/>
    <d v="2017-04-26T00:00:00"/>
    <d v="2017-04-26T00:00:00"/>
    <n v="-4.5"/>
    <n v="4.5"/>
    <m/>
    <s v="atac 2/5"/>
    <s v="UIT"/>
    <s v="REIZEN_IT"/>
    <s v="atac"/>
    <m/>
    <m/>
    <m/>
    <m/>
    <m/>
    <m/>
    <m/>
    <m/>
    <m/>
    <m/>
  </r>
  <r>
    <n v="192"/>
    <x v="5"/>
    <m/>
    <x v="1"/>
    <x v="45"/>
    <d v="2017-05-02T00:00:00"/>
    <d v="2017-05-02T00:00:00"/>
    <n v="-3.4"/>
    <n v="3.4"/>
    <m/>
    <s v="atac 6/5"/>
    <s v="UIT"/>
    <s v="REIZEN_IT"/>
    <s v="atac"/>
    <m/>
    <m/>
    <m/>
    <m/>
    <m/>
    <m/>
    <m/>
    <m/>
    <m/>
    <m/>
  </r>
  <r>
    <n v="202"/>
    <x v="5"/>
    <m/>
    <x v="1"/>
    <x v="45"/>
    <d v="2017-05-02T00:00:00"/>
    <d v="2017-05-02T00:00:00"/>
    <n v="-3"/>
    <n v="3"/>
    <m/>
    <s v="atac 7/5"/>
    <s v="UIT"/>
    <s v="REIZEN_IT"/>
    <s v="atac"/>
    <m/>
    <m/>
    <m/>
    <m/>
    <m/>
    <m/>
    <m/>
    <m/>
    <m/>
    <m/>
  </r>
  <r>
    <n v="207"/>
    <x v="5"/>
    <m/>
    <x v="1"/>
    <x v="45"/>
    <d v="2017-05-09T00:00:00"/>
    <d v="2017-05-09T00:00:00"/>
    <n v="-4.5"/>
    <n v="4.5"/>
    <m/>
    <s v="atac 10/5"/>
    <s v="UIT"/>
    <s v="REIZEN_IT"/>
    <s v="atac"/>
    <m/>
    <m/>
    <m/>
    <m/>
    <m/>
    <m/>
    <m/>
    <m/>
    <m/>
    <m/>
  </r>
  <r>
    <n v="222"/>
    <x v="5"/>
    <m/>
    <x v="1"/>
    <x v="45"/>
    <d v="2017-05-17T00:00:00"/>
    <d v="2017-05-17T00:00:00"/>
    <n v="-3"/>
    <n v="3"/>
    <m/>
    <s v="atac 16/5"/>
    <s v="UIT"/>
    <s v="REIZEN_IT"/>
    <s v="atac"/>
    <m/>
    <m/>
    <m/>
    <m/>
    <m/>
    <m/>
    <m/>
    <m/>
    <m/>
    <m/>
  </r>
  <r>
    <n v="227"/>
    <x v="5"/>
    <m/>
    <x v="1"/>
    <x v="45"/>
    <d v="2017-05-17T00:00:00"/>
    <d v="2017-05-17T00:00:00"/>
    <n v="-3"/>
    <n v="3"/>
    <m/>
    <s v="atac"/>
    <s v="UIT"/>
    <s v="REIZEN_IT"/>
    <s v="atac"/>
    <m/>
    <m/>
    <m/>
    <m/>
    <m/>
    <m/>
    <m/>
    <m/>
    <m/>
    <m/>
  </r>
  <r>
    <n v="236"/>
    <x v="5"/>
    <m/>
    <x v="1"/>
    <x v="45"/>
    <d v="2017-05-25T00:00:00"/>
    <d v="2017-05-25T00:00:00"/>
    <n v="-3"/>
    <n v="3"/>
    <m/>
    <s v="atac 23/5"/>
    <s v="UIT"/>
    <s v="REIZEN_IT"/>
    <s v="atac"/>
    <m/>
    <m/>
    <m/>
    <m/>
    <m/>
    <m/>
    <m/>
    <m/>
    <m/>
    <m/>
  </r>
  <r>
    <n v="244"/>
    <x v="5"/>
    <m/>
    <x v="1"/>
    <x v="45"/>
    <d v="2017-05-29T00:00:00"/>
    <d v="2017-05-29T00:00:00"/>
    <n v="-4.5"/>
    <n v="4.5"/>
    <m/>
    <s v="atac 1/6/15"/>
    <s v="UIT"/>
    <s v="REIZEN_IT"/>
    <s v="atac"/>
    <m/>
    <m/>
    <m/>
    <m/>
    <m/>
    <m/>
    <m/>
    <m/>
    <m/>
    <m/>
  </r>
  <r>
    <n v="291"/>
    <x v="5"/>
    <m/>
    <x v="1"/>
    <x v="46"/>
    <d v="2017-06-24T00:00:00"/>
    <d v="2017-06-24T00:00:00"/>
    <n v="-3"/>
    <n v="3"/>
    <m/>
    <s v="atac 20/6"/>
    <s v="UIT"/>
    <s v="REIZEN_IT"/>
    <s v="atac"/>
    <m/>
    <m/>
    <m/>
    <m/>
    <m/>
    <m/>
    <m/>
    <m/>
    <m/>
    <m/>
  </r>
  <r>
    <n v="331"/>
    <x v="5"/>
    <m/>
    <x v="1"/>
    <x v="47"/>
    <d v="2017-08-02T00:00:00"/>
    <d v="2017-08-02T00:00:00"/>
    <n v="-7.5"/>
    <n v="7.5"/>
    <m/>
    <s v="atac"/>
    <s v="UIT"/>
    <s v="REIZEN_IT"/>
    <s v="atac"/>
    <m/>
    <m/>
    <m/>
    <m/>
    <m/>
    <m/>
    <m/>
    <m/>
    <m/>
    <m/>
  </r>
  <r>
    <n v="336"/>
    <x v="5"/>
    <m/>
    <x v="1"/>
    <x v="47"/>
    <d v="2017-08-02T00:00:00"/>
    <d v="2017-08-02T00:00:00"/>
    <n v="-9"/>
    <n v="9"/>
    <m/>
    <s v="atac"/>
    <s v="UIT"/>
    <s v="REIZEN_IT"/>
    <s v="atac"/>
    <m/>
    <m/>
    <m/>
    <m/>
    <m/>
    <m/>
    <m/>
    <m/>
    <m/>
    <m/>
  </r>
  <r>
    <n v="372"/>
    <x v="5"/>
    <m/>
    <x v="1"/>
    <x v="48"/>
    <d v="2017-09-05T00:00:00"/>
    <d v="2017-09-05T00:00:00"/>
    <n v="-4.5"/>
    <n v="4.5"/>
    <m/>
    <s v="atac"/>
    <s v="UIT"/>
    <s v="REIZEN_IT"/>
    <s v="atac"/>
    <m/>
    <m/>
    <m/>
    <m/>
    <m/>
    <m/>
    <m/>
    <m/>
    <m/>
    <m/>
  </r>
  <r>
    <n v="375"/>
    <x v="5"/>
    <m/>
    <x v="1"/>
    <x v="48"/>
    <d v="2017-09-05T00:00:00"/>
    <d v="2017-09-05T00:00:00"/>
    <n v="-4.5"/>
    <n v="4.5"/>
    <m/>
    <s v="Atac 9/4"/>
    <s v="UIT"/>
    <s v="REIZEN_IT"/>
    <s v="atac"/>
    <m/>
    <m/>
    <m/>
    <m/>
    <m/>
    <m/>
    <m/>
    <m/>
    <m/>
    <m/>
  </r>
  <r>
    <n v="380"/>
    <x v="5"/>
    <m/>
    <x v="1"/>
    <x v="48"/>
    <d v="2017-09-05T00:00:00"/>
    <d v="2017-09-05T00:00:00"/>
    <n v="-3"/>
    <n v="3"/>
    <m/>
    <s v="atac 20/9"/>
    <s v="UIT"/>
    <s v="REIZEN_IT"/>
    <s v="atac"/>
    <m/>
    <m/>
    <m/>
    <m/>
    <m/>
    <m/>
    <m/>
    <m/>
    <m/>
    <m/>
  </r>
  <r>
    <n v="388"/>
    <x v="5"/>
    <m/>
    <x v="1"/>
    <x v="48"/>
    <d v="2017-09-14T00:00:00"/>
    <d v="2017-09-14T00:00:00"/>
    <n v="-4.5"/>
    <n v="4.5"/>
    <m/>
    <s v="atac 27/9"/>
    <s v="UIT"/>
    <s v="REIZEN_IT"/>
    <s v="atac"/>
    <m/>
    <m/>
    <m/>
    <m/>
    <m/>
    <m/>
    <m/>
    <m/>
    <m/>
    <m/>
  </r>
  <r>
    <n v="843"/>
    <x v="5"/>
    <m/>
    <x v="2"/>
    <x v="10"/>
    <d v="2018-03-09T00:00:00"/>
    <d v="2018-03-09T00:00:00"/>
    <n v="-6"/>
    <n v="6"/>
    <m/>
    <s v="atac"/>
    <s v="UIT"/>
    <s v="REIZEN_IT"/>
    <s v="atac"/>
    <m/>
    <m/>
    <m/>
    <m/>
    <m/>
    <m/>
    <m/>
    <m/>
    <m/>
    <m/>
  </r>
  <r>
    <n v="852"/>
    <x v="5"/>
    <m/>
    <x v="2"/>
    <x v="10"/>
    <d v="2018-03-31T00:00:00"/>
    <d v="2018-03-31T00:00:00"/>
    <n v="-4.5"/>
    <n v="4.5"/>
    <m/>
    <s v="atac"/>
    <s v="UIT"/>
    <s v="REIZEN_IT"/>
    <s v="atac"/>
    <m/>
    <m/>
    <m/>
    <m/>
    <m/>
    <m/>
    <m/>
    <m/>
    <m/>
    <m/>
  </r>
  <r>
    <n v="921"/>
    <x v="5"/>
    <m/>
    <x v="2"/>
    <x v="50"/>
    <d v="2018-05-15T00:00:00"/>
    <d v="2018-05-15T00:00:00"/>
    <n v="-6"/>
    <n v="6"/>
    <m/>
    <s v="atac"/>
    <s v="UIT"/>
    <s v="REIZEN_IT"/>
    <s v="atac"/>
    <m/>
    <m/>
    <m/>
    <m/>
    <m/>
    <m/>
    <m/>
    <m/>
    <m/>
    <m/>
  </r>
  <r>
    <n v="938"/>
    <x v="5"/>
    <m/>
    <x v="2"/>
    <x v="50"/>
    <d v="2018-05-15T00:00:00"/>
    <d v="2018-05-15T00:00:00"/>
    <n v="-7.5"/>
    <n v="7.5"/>
    <m/>
    <s v="atac"/>
    <s v="UIT"/>
    <s v="REIZEN_IT"/>
    <s v="atac"/>
    <m/>
    <m/>
    <m/>
    <m/>
    <m/>
    <m/>
    <m/>
    <m/>
    <m/>
    <m/>
  </r>
  <r>
    <n v="947"/>
    <x v="5"/>
    <m/>
    <x v="2"/>
    <x v="51"/>
    <d v="2018-06-03T00:00:00"/>
    <d v="2018-06-03T00:00:00"/>
    <n v="-1.5"/>
    <n v="1.5"/>
    <m/>
    <s v="atac 2/6"/>
    <s v="UIT"/>
    <s v="REIZEN_IT"/>
    <s v="atac"/>
    <m/>
    <m/>
    <m/>
    <m/>
    <m/>
    <m/>
    <m/>
    <m/>
    <m/>
    <m/>
  </r>
  <r>
    <n v="954"/>
    <x v="5"/>
    <m/>
    <x v="2"/>
    <x v="51"/>
    <d v="2018-06-03T00:00:00"/>
    <d v="2018-06-03T00:00:00"/>
    <n v="-4.5"/>
    <n v="4.5"/>
    <m/>
    <s v="atac"/>
    <s v="UIT"/>
    <s v="REIZEN_IT"/>
    <s v="atac"/>
    <m/>
    <m/>
    <m/>
    <m/>
    <m/>
    <m/>
    <m/>
    <m/>
    <m/>
    <m/>
  </r>
  <r>
    <n v="958"/>
    <x v="5"/>
    <m/>
    <x v="2"/>
    <x v="51"/>
    <d v="2018-06-03T00:00:00"/>
    <d v="2018-06-03T00:00:00"/>
    <n v="-4.5"/>
    <n v="4.5"/>
    <m/>
    <s v="atac 21/6"/>
    <s v="UIT"/>
    <s v="REIZEN_IT"/>
    <s v="atac"/>
    <m/>
    <m/>
    <m/>
    <m/>
    <m/>
    <m/>
    <m/>
    <m/>
    <m/>
    <m/>
  </r>
  <r>
    <n v="971"/>
    <x v="5"/>
    <m/>
    <x v="2"/>
    <x v="52"/>
    <d v="2018-07-03T00:00:00"/>
    <d v="2018-07-03T00:00:00"/>
    <n v="-1.5"/>
    <n v="1.5"/>
    <m/>
    <s v="atac"/>
    <s v="UIT"/>
    <s v="REIZEN_IT"/>
    <s v="atac"/>
    <m/>
    <m/>
    <m/>
    <m/>
    <m/>
    <m/>
    <m/>
    <m/>
    <m/>
    <m/>
  </r>
  <r>
    <n v="975"/>
    <x v="5"/>
    <m/>
    <x v="2"/>
    <x v="52"/>
    <d v="2018-07-03T00:00:00"/>
    <d v="2018-07-03T00:00:00"/>
    <n v="-3"/>
    <n v="3"/>
    <m/>
    <s v="Atac"/>
    <s v="UIT"/>
    <s v="REIZEN_IT"/>
    <s v="atac"/>
    <m/>
    <m/>
    <m/>
    <m/>
    <m/>
    <m/>
    <m/>
    <m/>
    <m/>
    <m/>
  </r>
  <r>
    <n v="986"/>
    <x v="5"/>
    <m/>
    <x v="2"/>
    <x v="52"/>
    <d v="2018-07-03T00:00:00"/>
    <d v="2018-07-03T00:00:00"/>
    <n v="-4.5"/>
    <n v="4.5"/>
    <m/>
    <s v="atac 24/7"/>
    <s v="UIT"/>
    <s v="REIZEN_IT"/>
    <s v="atac"/>
    <m/>
    <m/>
    <m/>
    <m/>
    <m/>
    <m/>
    <m/>
    <m/>
    <m/>
    <m/>
  </r>
  <r>
    <n v="995"/>
    <x v="5"/>
    <m/>
    <x v="2"/>
    <x v="52"/>
    <d v="2018-07-03T00:00:00"/>
    <d v="2018-07-03T00:00:00"/>
    <n v="-3"/>
    <n v="3"/>
    <m/>
    <s v="atac 31/7"/>
    <s v="UIT"/>
    <s v="REIZEN_IT"/>
    <s v="atac"/>
    <m/>
    <m/>
    <m/>
    <m/>
    <m/>
    <m/>
    <m/>
    <m/>
    <m/>
    <m/>
  </r>
  <r>
    <n v="1005"/>
    <x v="5"/>
    <m/>
    <x v="2"/>
    <x v="37"/>
    <d v="2018-08-01T00:00:00"/>
    <d v="2018-08-01T00:00:00"/>
    <n v="-3"/>
    <n v="3"/>
    <m/>
    <s v="atac"/>
    <s v="UIT"/>
    <s v="REIZEN_IT"/>
    <s v="atac"/>
    <m/>
    <m/>
    <m/>
    <m/>
    <m/>
    <m/>
    <m/>
    <m/>
    <m/>
    <m/>
  </r>
  <r>
    <n v="1013"/>
    <x v="5"/>
    <m/>
    <x v="2"/>
    <x v="37"/>
    <d v="2018-08-01T00:00:00"/>
    <d v="2018-08-01T00:00:00"/>
    <n v="-3"/>
    <n v="3"/>
    <m/>
    <s v="atac 10/8"/>
    <s v="UIT"/>
    <s v="REIZEN_IT"/>
    <s v="atac"/>
    <m/>
    <m/>
    <m/>
    <m/>
    <m/>
    <m/>
    <m/>
    <m/>
    <m/>
    <m/>
  </r>
  <r>
    <n v="1031"/>
    <x v="5"/>
    <m/>
    <x v="2"/>
    <x v="37"/>
    <d v="2018-08-01T00:00:00"/>
    <d v="2018-08-01T00:00:00"/>
    <n v="-3"/>
    <n v="3"/>
    <m/>
    <s v="atac 19/8"/>
    <s v="UIT"/>
    <s v="REIZEN_IT"/>
    <s v="atac"/>
    <m/>
    <m/>
    <m/>
    <m/>
    <m/>
    <m/>
    <m/>
    <m/>
    <m/>
    <m/>
  </r>
  <r>
    <n v="1032"/>
    <x v="5"/>
    <m/>
    <x v="2"/>
    <x v="37"/>
    <d v="2018-08-01T00:00:00"/>
    <d v="2018-08-01T00:00:00"/>
    <n v="-3"/>
    <n v="3"/>
    <m/>
    <s v="atac 23/8"/>
    <s v="UIT"/>
    <s v="REIZEN_IT"/>
    <s v="atac"/>
    <m/>
    <m/>
    <m/>
    <m/>
    <m/>
    <m/>
    <m/>
    <m/>
    <m/>
    <m/>
  </r>
  <r>
    <n v="1035"/>
    <x v="5"/>
    <m/>
    <x v="2"/>
    <x v="37"/>
    <d v="2018-08-01T00:00:00"/>
    <d v="2018-08-01T00:00:00"/>
    <n v="-4.5"/>
    <n v="4.5"/>
    <m/>
    <s v="atac"/>
    <s v="UIT"/>
    <s v="REIZEN_IT"/>
    <s v="atac"/>
    <m/>
    <m/>
    <m/>
    <m/>
    <m/>
    <m/>
    <m/>
    <m/>
    <m/>
    <m/>
  </r>
  <r>
    <n v="1038"/>
    <x v="5"/>
    <m/>
    <x v="2"/>
    <x v="12"/>
    <d v="2018-09-01T00:00:00"/>
    <d v="2018-09-01T00:00:00"/>
    <n v="-3"/>
    <n v="3"/>
    <m/>
    <s v="atac 1/9"/>
    <s v="UIT"/>
    <s v="REIZEN_IT"/>
    <s v="atac"/>
    <m/>
    <m/>
    <m/>
    <m/>
    <m/>
    <m/>
    <m/>
    <m/>
    <m/>
    <m/>
  </r>
  <r>
    <n v="1041"/>
    <x v="5"/>
    <m/>
    <x v="2"/>
    <x v="12"/>
    <d v="2018-09-01T00:00:00"/>
    <d v="2018-09-01T00:00:00"/>
    <n v="-3"/>
    <n v="3"/>
    <m/>
    <s v="atac 2/9"/>
    <s v="UIT"/>
    <s v="REIZEN_IT"/>
    <s v="atac"/>
    <m/>
    <m/>
    <m/>
    <m/>
    <m/>
    <m/>
    <m/>
    <m/>
    <m/>
    <m/>
  </r>
  <r>
    <n v="1049"/>
    <x v="5"/>
    <m/>
    <x v="2"/>
    <x v="12"/>
    <d v="2018-09-01T00:00:00"/>
    <d v="2018-09-01T00:00:00"/>
    <n v="-3"/>
    <n v="3"/>
    <m/>
    <s v="Atac 12/9"/>
    <s v="UIT"/>
    <s v="REIZEN_IT"/>
    <s v="atac"/>
    <m/>
    <m/>
    <m/>
    <m/>
    <m/>
    <m/>
    <m/>
    <m/>
    <m/>
    <m/>
  </r>
  <r>
    <n v="1052"/>
    <x v="5"/>
    <m/>
    <x v="2"/>
    <x v="12"/>
    <d v="2018-09-01T00:00:00"/>
    <d v="2018-09-01T00:00:00"/>
    <n v="-3"/>
    <n v="3"/>
    <m/>
    <s v="Atac 9/9"/>
    <s v="UIT"/>
    <s v="REIZEN_IT"/>
    <s v="atac"/>
    <m/>
    <m/>
    <m/>
    <m/>
    <m/>
    <m/>
    <m/>
    <m/>
    <m/>
    <m/>
  </r>
  <r>
    <n v="1061"/>
    <x v="5"/>
    <m/>
    <x v="2"/>
    <x v="12"/>
    <d v="2018-09-01T00:00:00"/>
    <d v="2018-09-01T00:00:00"/>
    <n v="-6"/>
    <n v="6"/>
    <m/>
    <s v="atac 20/9"/>
    <s v="UIT"/>
    <s v="REIZEN_IT"/>
    <s v="atac"/>
    <m/>
    <m/>
    <m/>
    <m/>
    <m/>
    <m/>
    <m/>
    <m/>
    <m/>
    <m/>
  </r>
  <r>
    <n v="1068"/>
    <x v="5"/>
    <m/>
    <x v="2"/>
    <x v="12"/>
    <d v="2018-09-01T00:00:00"/>
    <d v="2018-09-01T00:00:00"/>
    <n v="-3"/>
    <n v="3"/>
    <m/>
    <s v="atac 16/9"/>
    <s v="UIT"/>
    <s v="REIZEN_IT"/>
    <s v="atac"/>
    <m/>
    <m/>
    <m/>
    <m/>
    <m/>
    <m/>
    <m/>
    <m/>
    <m/>
    <m/>
  </r>
  <r>
    <n v="1077"/>
    <x v="5"/>
    <m/>
    <x v="2"/>
    <x v="12"/>
    <d v="2018-09-01T00:00:00"/>
    <d v="2018-09-01T00:00:00"/>
    <n v="-6"/>
    <n v="6"/>
    <m/>
    <s v="atac 22/9"/>
    <s v="UIT"/>
    <s v="REIZEN_IT"/>
    <s v="atac"/>
    <m/>
    <m/>
    <m/>
    <m/>
    <m/>
    <m/>
    <m/>
    <m/>
    <m/>
    <m/>
  </r>
  <r>
    <n v="1082"/>
    <x v="5"/>
    <m/>
    <x v="2"/>
    <x v="12"/>
    <d v="2018-09-01T00:00:00"/>
    <d v="2018-09-01T00:00:00"/>
    <n v="-3"/>
    <n v="3"/>
    <m/>
    <s v="atac 30?9"/>
    <s v="UIT"/>
    <s v="REIZEN_IT"/>
    <s v="atac"/>
    <m/>
    <m/>
    <m/>
    <m/>
    <m/>
    <m/>
    <m/>
    <m/>
    <m/>
    <m/>
  </r>
  <r>
    <n v="1496"/>
    <x v="5"/>
    <m/>
    <x v="3"/>
    <x v="53"/>
    <d v="2019-04-01T00:00:00"/>
    <d v="2019-04-01T00:00:00"/>
    <n v="-4.5"/>
    <n v="4.5"/>
    <m/>
    <s v="atac 11/4"/>
    <s v="UIT"/>
    <s v="REIZEN_IT"/>
    <s v="atac"/>
    <m/>
    <m/>
    <m/>
    <m/>
    <m/>
    <m/>
    <m/>
    <m/>
    <m/>
    <m/>
  </r>
  <r>
    <n v="1497"/>
    <x v="5"/>
    <m/>
    <x v="3"/>
    <x v="53"/>
    <d v="2019-04-01T00:00:00"/>
    <d v="2019-04-01T00:00:00"/>
    <n v="-3"/>
    <n v="3"/>
    <m/>
    <s v="atac 12/4"/>
    <s v="UIT"/>
    <s v="REIZEN_IT"/>
    <s v="atac"/>
    <m/>
    <m/>
    <m/>
    <m/>
    <m/>
    <m/>
    <m/>
    <m/>
    <m/>
    <m/>
  </r>
  <r>
    <n v="1506"/>
    <x v="5"/>
    <m/>
    <x v="3"/>
    <x v="53"/>
    <d v="2019-04-01T00:00:00"/>
    <d v="2019-04-01T00:00:00"/>
    <n v="-3"/>
    <n v="3"/>
    <m/>
    <s v="atac telefoon ophalen 21/4"/>
    <s v="UIT"/>
    <s v="REIZEN_IT"/>
    <s v="atac"/>
    <m/>
    <m/>
    <m/>
    <m/>
    <m/>
    <m/>
    <m/>
    <m/>
    <m/>
    <m/>
  </r>
  <r>
    <n v="1507"/>
    <x v="5"/>
    <m/>
    <x v="3"/>
    <x v="53"/>
    <d v="2019-04-01T00:00:00"/>
    <d v="2019-04-01T00:00:00"/>
    <n v="-4.5"/>
    <n v="4.5"/>
    <m/>
    <s v="atac 18/4"/>
    <s v="UIT"/>
    <s v="REIZEN_IT"/>
    <s v="atac"/>
    <m/>
    <m/>
    <m/>
    <m/>
    <m/>
    <m/>
    <m/>
    <m/>
    <m/>
    <m/>
  </r>
  <r>
    <n v="1508"/>
    <x v="5"/>
    <m/>
    <x v="3"/>
    <x v="53"/>
    <d v="2019-04-01T00:00:00"/>
    <d v="2019-04-01T00:00:00"/>
    <n v="-3"/>
    <n v="3"/>
    <m/>
    <s v="atac 16/4"/>
    <s v="UIT"/>
    <s v="REIZEN_IT"/>
    <s v="atac"/>
    <m/>
    <m/>
    <m/>
    <m/>
    <m/>
    <m/>
    <m/>
    <m/>
    <m/>
    <m/>
  </r>
  <r>
    <n v="1525"/>
    <x v="5"/>
    <m/>
    <x v="3"/>
    <x v="53"/>
    <n v="43578"/>
    <n v="43578"/>
    <n v="-3"/>
    <n v="3"/>
    <m/>
    <s v="atac 23/4"/>
    <s v="UIT"/>
    <s v="REIZEN_IT"/>
    <s v="atac"/>
    <m/>
    <m/>
    <m/>
    <m/>
    <m/>
    <m/>
    <m/>
    <m/>
    <m/>
    <m/>
  </r>
  <r>
    <n v="1537"/>
    <x v="5"/>
    <m/>
    <x v="3"/>
    <x v="54"/>
    <d v="2019-05-01T00:00:00"/>
    <d v="2019-05-01T00:00:00"/>
    <n v="-3"/>
    <n v="3"/>
    <m/>
    <s v="ATAC 14/5"/>
    <s v="UIT"/>
    <s v="REIZEN_IT"/>
    <s v="atac"/>
    <m/>
    <m/>
    <m/>
    <m/>
    <m/>
    <m/>
    <m/>
    <m/>
    <m/>
    <m/>
  </r>
  <r>
    <n v="1543"/>
    <x v="5"/>
    <m/>
    <x v="3"/>
    <x v="54"/>
    <d v="2019-05-01T00:00:00"/>
    <d v="2019-05-01T00:00:00"/>
    <n v="-3"/>
    <n v="3"/>
    <m/>
    <s v="atac21/5"/>
    <s v="UIT"/>
    <s v="REIZEN_IT"/>
    <s v="atac"/>
    <m/>
    <m/>
    <m/>
    <m/>
    <m/>
    <m/>
    <m/>
    <m/>
    <m/>
    <m/>
  </r>
  <r>
    <n v="1561"/>
    <x v="5"/>
    <m/>
    <x v="3"/>
    <x v="55"/>
    <d v="2019-06-01T00:00:00"/>
    <d v="2019-06-01T00:00:00"/>
    <n v="-4.5"/>
    <n v="4.5"/>
    <m/>
    <s v="atac 8/6"/>
    <s v="UIT"/>
    <s v="REIZEN_IT"/>
    <s v="atac"/>
    <m/>
    <m/>
    <m/>
    <m/>
    <m/>
    <m/>
    <m/>
    <m/>
    <m/>
    <m/>
  </r>
  <r>
    <n v="1566"/>
    <x v="5"/>
    <m/>
    <x v="3"/>
    <x v="55"/>
    <d v="2019-06-01T00:00:00"/>
    <d v="2019-06-01T00:00:00"/>
    <n v="-4.5"/>
    <n v="4.5"/>
    <m/>
    <s v="atac 14/6"/>
    <s v="UIT"/>
    <s v="REIZEN_IT"/>
    <s v="atac"/>
    <m/>
    <m/>
    <m/>
    <m/>
    <m/>
    <m/>
    <m/>
    <m/>
    <m/>
    <m/>
  </r>
  <r>
    <n v="1573"/>
    <x v="5"/>
    <m/>
    <x v="3"/>
    <x v="55"/>
    <d v="2019-06-01T00:00:00"/>
    <d v="2019-06-01T00:00:00"/>
    <n v="-3"/>
    <n v="3"/>
    <m/>
    <s v="atac"/>
    <s v="UIT"/>
    <s v="REIZEN_IT"/>
    <s v="atac"/>
    <m/>
    <m/>
    <m/>
    <m/>
    <m/>
    <m/>
    <m/>
    <m/>
    <m/>
    <m/>
  </r>
  <r>
    <n v="1581"/>
    <x v="5"/>
    <m/>
    <x v="3"/>
    <x v="38"/>
    <d v="2019-07-01T00:00:00"/>
    <d v="2019-07-01T00:00:00"/>
    <n v="-6"/>
    <n v="6"/>
    <m/>
    <s v="atac"/>
    <s v="UIT"/>
    <s v="REIZEN_IT"/>
    <s v="atac"/>
    <m/>
    <m/>
    <m/>
    <m/>
    <m/>
    <m/>
    <m/>
    <m/>
    <m/>
    <m/>
  </r>
  <r>
    <n v="1590"/>
    <x v="5"/>
    <m/>
    <x v="3"/>
    <x v="38"/>
    <d v="2019-07-01T00:00:00"/>
    <d v="2019-07-01T00:00:00"/>
    <n v="-3"/>
    <n v="3"/>
    <m/>
    <s v="atac 23/7"/>
    <s v="UIT"/>
    <s v="REIZEN_IT"/>
    <s v="atac"/>
    <m/>
    <m/>
    <m/>
    <m/>
    <m/>
    <m/>
    <m/>
    <m/>
    <m/>
    <m/>
  </r>
  <r>
    <n v="1592"/>
    <x v="5"/>
    <m/>
    <x v="3"/>
    <x v="38"/>
    <d v="2019-07-01T00:00:00"/>
    <d v="2019-07-01T00:00:00"/>
    <n v="-3"/>
    <n v="3"/>
    <m/>
    <s v="atac 16/7"/>
    <s v="UIT"/>
    <s v="REIZEN_IT"/>
    <s v="atac"/>
    <m/>
    <m/>
    <m/>
    <m/>
    <m/>
    <m/>
    <m/>
    <m/>
    <m/>
    <m/>
  </r>
  <r>
    <n v="1604"/>
    <x v="5"/>
    <m/>
    <x v="3"/>
    <x v="41"/>
    <d v="2019-08-12T00:00:00"/>
    <d v="2019-08-12T00:00:00"/>
    <n v="-1.5"/>
    <n v="1.5"/>
    <m/>
    <s v="atac"/>
    <s v="UIT"/>
    <s v="REIZEN_IT"/>
    <s v="atac"/>
    <m/>
    <m/>
    <m/>
    <m/>
    <m/>
    <m/>
    <m/>
    <m/>
    <m/>
    <m/>
  </r>
  <r>
    <n v="1626"/>
    <x v="5"/>
    <m/>
    <x v="3"/>
    <x v="18"/>
    <d v="2019-09-06T00:00:00"/>
    <d v="2019-09-06T00:00:00"/>
    <n v="-3"/>
    <n v="3"/>
    <m/>
    <s v="atac"/>
    <s v="UIT"/>
    <s v="REIZEN_IT"/>
    <s v="atac"/>
    <m/>
    <m/>
    <m/>
    <m/>
    <m/>
    <m/>
    <m/>
    <m/>
    <m/>
    <m/>
  </r>
  <r>
    <n v="1805"/>
    <x v="3"/>
    <m/>
    <x v="3"/>
    <x v="53"/>
    <d v="2019-04-28T00:00:00"/>
    <d v="2019-04-28T00:00:00"/>
    <n v="-6"/>
    <n v="6"/>
    <m/>
    <s v="atac CAMPING FABULOUS ROMA ITA"/>
    <s v="UIT"/>
    <s v="REIZEN_IT"/>
    <s v="atac"/>
    <m/>
    <m/>
    <m/>
    <m/>
    <m/>
    <m/>
    <m/>
    <m/>
    <m/>
    <m/>
  </r>
  <r>
    <n v="1874"/>
    <x v="3"/>
    <m/>
    <x v="3"/>
    <x v="41"/>
    <d v="2019-08-06T00:00:00"/>
    <d v="2019-08-06T00:00:00"/>
    <n v="-7"/>
    <n v="7"/>
    <m/>
    <s v="CAMPING FABULOUS ROMA ITA"/>
    <s v="UIT"/>
    <s v="REIZEN_IT"/>
    <s v="atac"/>
    <m/>
    <m/>
    <m/>
    <m/>
    <m/>
    <m/>
    <m/>
    <m/>
    <m/>
    <m/>
  </r>
  <r>
    <n v="1875"/>
    <x v="3"/>
    <m/>
    <x v="3"/>
    <x v="41"/>
    <d v="2019-08-07T00:00:00"/>
    <d v="2019-08-07T00:00:00"/>
    <n v="-9"/>
    <n v="9"/>
    <m/>
    <s v="CAMPING FABULOUS ROMA ITA"/>
    <s v="UIT"/>
    <s v="REIZEN_IT"/>
    <s v="atac"/>
    <m/>
    <m/>
    <m/>
    <m/>
    <m/>
    <m/>
    <m/>
    <m/>
    <m/>
    <m/>
  </r>
  <r>
    <n v="1879"/>
    <x v="3"/>
    <m/>
    <x v="3"/>
    <x v="41"/>
    <d v="2019-08-15T00:00:00"/>
    <d v="2019-08-15T00:00:00"/>
    <n v="-3"/>
    <n v="3"/>
    <m/>
    <s v="CAMPING FABULOUS ROMA ITA"/>
    <s v="UIT"/>
    <s v="REIZEN_IT"/>
    <s v="atac"/>
    <m/>
    <m/>
    <m/>
    <m/>
    <m/>
    <m/>
    <m/>
    <m/>
    <m/>
    <m/>
  </r>
  <r>
    <n v="23"/>
    <x v="1"/>
    <m/>
    <x v="1"/>
    <x v="2"/>
    <d v="2017-02-24T00:00:00"/>
    <d v="2017-02-24T00:00:00"/>
    <n v="-50"/>
    <n v="50"/>
    <m/>
    <s v="opladen OV CHOP"/>
    <s v="UIT"/>
    <s v="REIZEN_NL"/>
    <s v="ovchip"/>
    <m/>
    <m/>
    <m/>
    <m/>
    <m/>
    <m/>
    <m/>
    <m/>
    <m/>
    <m/>
  </r>
  <r>
    <n v="463"/>
    <x v="3"/>
    <m/>
    <x v="1"/>
    <x v="43"/>
    <d v="2017-03-10T00:00:00"/>
    <d v="2017-03-10T00:00:00"/>
    <n v="-25"/>
    <n v="25"/>
    <m/>
    <s v="NS-Arnhem Velp 201 ARNHEM"/>
    <s v="UIT"/>
    <s v="REIZEN_NL"/>
    <s v="ovchip"/>
    <m/>
    <m/>
    <m/>
    <m/>
    <m/>
    <m/>
    <m/>
    <m/>
    <m/>
    <m/>
  </r>
  <r>
    <n v="485"/>
    <x v="3"/>
    <m/>
    <x v="1"/>
    <x v="43"/>
    <d v="2017-03-16T00:00:00"/>
    <d v="2017-03-16T00:00:00"/>
    <n v="-50"/>
    <n v="50"/>
    <m/>
    <s v="NS-Arnhem Velp 202 ARNHEM"/>
    <s v="UIT"/>
    <s v="REIZEN_NL"/>
    <s v="ovchip"/>
    <m/>
    <m/>
    <m/>
    <m/>
    <m/>
    <m/>
    <m/>
    <m/>
    <m/>
    <m/>
  </r>
  <r>
    <n v="519"/>
    <x v="3"/>
    <m/>
    <x v="1"/>
    <x v="43"/>
    <d v="2017-03-27T00:00:00"/>
    <d v="2017-03-27T00:00:00"/>
    <n v="-50"/>
    <n v="50"/>
    <m/>
    <s v="Opladen OV-Chipkaart AMERSFOORT"/>
    <s v="UIT"/>
    <s v="REIZEN_NL"/>
    <s v="ovchip"/>
    <m/>
    <m/>
    <m/>
    <m/>
    <m/>
    <m/>
    <m/>
    <m/>
    <m/>
    <m/>
  </r>
  <r>
    <n v="633"/>
    <x v="3"/>
    <m/>
    <x v="1"/>
    <x v="3"/>
    <d v="2017-10-06T00:00:00"/>
    <d v="2017-10-06T00:00:00"/>
    <n v="-50"/>
    <n v="50"/>
    <m/>
    <s v="CCV*OV BOEK &amp; KANTOOR MUSSELKANAAL"/>
    <s v="UIT"/>
    <s v="REIZEN_NL"/>
    <s v="ovchip"/>
    <m/>
    <m/>
    <m/>
    <m/>
    <m/>
    <m/>
    <m/>
    <m/>
    <m/>
    <m/>
  </r>
  <r>
    <n v="655"/>
    <x v="3"/>
    <m/>
    <x v="1"/>
    <x v="3"/>
    <d v="2017-10-16T00:00:00"/>
    <d v="2017-10-16T00:00:00"/>
    <n v="-37.5"/>
    <n v="37.5"/>
    <m/>
    <s v="NS-Nijmegen 22 NIJMEGEN"/>
    <s v="UIT"/>
    <s v="REIZEN_NL"/>
    <s v="ovchip"/>
    <m/>
    <m/>
    <m/>
    <m/>
    <m/>
    <m/>
    <m/>
    <m/>
    <m/>
    <m/>
  </r>
  <r>
    <n v="676"/>
    <x v="3"/>
    <m/>
    <x v="1"/>
    <x v="3"/>
    <d v="2017-10-23T00:00:00"/>
    <d v="2017-10-23T00:00:00"/>
    <n v="-25"/>
    <n v="25"/>
    <m/>
    <s v="NS-arnhem 205 ARNHEM"/>
    <s v="UIT"/>
    <s v="REIZEN_NL"/>
    <s v="ovchip"/>
    <m/>
    <m/>
    <m/>
    <m/>
    <m/>
    <m/>
    <m/>
    <m/>
    <m/>
    <m/>
  </r>
  <r>
    <n v="689"/>
    <x v="3"/>
    <m/>
    <x v="1"/>
    <x v="3"/>
    <d v="2017-10-30T00:00:00"/>
    <d v="2017-08-19T00:00:00"/>
    <n v="11.34"/>
    <n v="11.34"/>
    <m/>
    <s v="correctie vliegticket, waarsch reiskosten NKL"/>
    <s v="UIT"/>
    <s v="REIZEN_NL"/>
    <s v="ovchip"/>
    <m/>
    <m/>
    <m/>
    <m/>
    <m/>
    <m/>
    <m/>
    <m/>
    <m/>
    <m/>
  </r>
  <r>
    <n v="695"/>
    <x v="3"/>
    <m/>
    <x v="1"/>
    <x v="4"/>
    <d v="2017-11-01T00:00:00"/>
    <d v="2017-11-01T00:00:00"/>
    <n v="-50"/>
    <n v="50"/>
    <m/>
    <s v="NS-Emmen 201 EMMEN"/>
    <s v="UIT"/>
    <s v="REIZEN_NL"/>
    <s v="ovchip"/>
    <m/>
    <m/>
    <m/>
    <m/>
    <m/>
    <m/>
    <m/>
    <m/>
    <m/>
    <m/>
  </r>
  <r>
    <n v="710"/>
    <x v="3"/>
    <m/>
    <x v="1"/>
    <x v="5"/>
    <d v="2017-12-18T00:00:00"/>
    <d v="2017-12-18T00:00:00"/>
    <n v="15.05"/>
    <n v="15.05"/>
    <m/>
    <s v="TLS BV INZ. OV-CHIPKAART"/>
    <s v="UIT"/>
    <s v="REIZEN_NL"/>
    <s v="ovchip"/>
    <m/>
    <m/>
    <m/>
    <m/>
    <m/>
    <m/>
    <m/>
    <m/>
    <m/>
    <m/>
  </r>
  <r>
    <n v="1132"/>
    <x v="3"/>
    <m/>
    <x v="2"/>
    <x v="9"/>
    <d v="2018-02-23T00:00:00"/>
    <d v="2018-02-23T00:00:00"/>
    <n v="-50"/>
    <n v="50"/>
    <m/>
    <s v="CCV*OV THE READ SHOP STADSKANAAL"/>
    <s v="UIT"/>
    <s v="REIZEN_NL"/>
    <s v="ovchip"/>
    <m/>
    <m/>
    <m/>
    <m/>
    <m/>
    <m/>
    <m/>
    <m/>
    <m/>
    <m/>
  </r>
  <r>
    <n v="1164"/>
    <x v="3"/>
    <m/>
    <x v="2"/>
    <x v="10"/>
    <d v="2018-03-14T00:00:00"/>
    <d v="2018-03-14T00:00:00"/>
    <n v="-10"/>
    <n v="10"/>
    <m/>
    <s v="Stichting Derdengelden Buckaroo"/>
    <s v="UIT"/>
    <s v="REIZEN_NL"/>
    <s v="ovchip"/>
    <m/>
    <m/>
    <m/>
    <m/>
    <m/>
    <m/>
    <m/>
    <m/>
    <m/>
    <m/>
  </r>
  <r>
    <n v="1165"/>
    <x v="3"/>
    <m/>
    <x v="2"/>
    <x v="10"/>
    <d v="2018-03-14T00:00:00"/>
    <d v="2018-03-14T00:00:00"/>
    <n v="-50"/>
    <n v="50"/>
    <m/>
    <s v="NS-Eindh airport 201 EINDHOVEN"/>
    <s v="UIT"/>
    <s v="REIZEN_NL"/>
    <s v="ovchip"/>
    <m/>
    <m/>
    <m/>
    <m/>
    <m/>
    <m/>
    <m/>
    <m/>
    <m/>
    <m/>
  </r>
  <r>
    <n v="1288"/>
    <x v="3"/>
    <m/>
    <x v="2"/>
    <x v="11"/>
    <d v="2018-10-02T00:00:00"/>
    <d v="2018-10-02T00:00:00"/>
    <n v="-50"/>
    <n v="50"/>
    <m/>
    <s v="NS ZWOLLE ZWOLLE"/>
    <s v="UIT"/>
    <s v="REIZEN_NL"/>
    <s v="ovchip"/>
    <m/>
    <m/>
    <m/>
    <m/>
    <m/>
    <m/>
    <m/>
    <m/>
    <m/>
    <m/>
  </r>
  <r>
    <n v="1303"/>
    <x v="3"/>
    <m/>
    <x v="2"/>
    <x v="11"/>
    <d v="2018-10-14T00:00:00"/>
    <d v="2018-10-14T00:00:00"/>
    <n v="-50"/>
    <n v="50"/>
    <m/>
    <s v="NS-arnhem 205 ARNHEM"/>
    <s v="UIT"/>
    <s v="REIZEN_NL"/>
    <s v="ovchip"/>
    <m/>
    <m/>
    <m/>
    <m/>
    <m/>
    <m/>
    <m/>
    <m/>
    <m/>
    <m/>
  </r>
  <r>
    <n v="1305"/>
    <x v="3"/>
    <m/>
    <x v="2"/>
    <x v="11"/>
    <d v="2018-10-15T00:00:00"/>
    <d v="2018-10-15T00:00:00"/>
    <n v="-0.01"/>
    <n v="0.01"/>
    <m/>
    <s v="NS GROEP N.V."/>
    <s v="UIT"/>
    <s v="REIZEN_NL"/>
    <s v="ovchip"/>
    <m/>
    <m/>
    <m/>
    <m/>
    <m/>
    <m/>
    <m/>
    <m/>
    <m/>
    <m/>
  </r>
  <r>
    <n v="1340"/>
    <x v="3"/>
    <m/>
    <x v="2"/>
    <x v="7"/>
    <d v="2018-11-01T00:00:00"/>
    <d v="2018-11-01T00:00:00"/>
    <n v="-20"/>
    <n v="20"/>
    <m/>
    <s v="CCV*OV BOEK &amp; KANTOOR MUSSELKANAAL"/>
    <s v="UIT"/>
    <s v="REIZEN_NL"/>
    <s v="ovchip"/>
    <m/>
    <m/>
    <m/>
    <m/>
    <m/>
    <m/>
    <m/>
    <m/>
    <m/>
    <m/>
  </r>
  <r>
    <n v="1341"/>
    <x v="3"/>
    <m/>
    <x v="2"/>
    <x v="7"/>
    <d v="2018-11-01T00:00:00"/>
    <d v="2018-11-01T00:00:00"/>
    <n v="-10"/>
    <n v="10"/>
    <m/>
    <s v="CCV*OV BOEK &amp; KANTOOR MUSSELKANAAL"/>
    <s v="UIT"/>
    <s v="REIZEN_NL"/>
    <s v="ovchip"/>
    <m/>
    <m/>
    <m/>
    <m/>
    <m/>
    <m/>
    <m/>
    <m/>
    <m/>
    <m/>
  </r>
  <r>
    <n v="1343"/>
    <x v="3"/>
    <m/>
    <x v="2"/>
    <x v="7"/>
    <d v="2018-11-02T00:00:00"/>
    <d v="2018-11-02T00:00:00"/>
    <n v="28.01"/>
    <n v="28.01"/>
    <m/>
    <s v="European Leisure Support"/>
    <s v="UIT"/>
    <s v="REIZEN_NL"/>
    <s v="ovchip"/>
    <m/>
    <m/>
    <m/>
    <m/>
    <m/>
    <m/>
    <m/>
    <m/>
    <m/>
    <m/>
  </r>
  <r>
    <n v="1344"/>
    <x v="3"/>
    <m/>
    <x v="2"/>
    <x v="7"/>
    <d v="2018-11-02T00:00:00"/>
    <d v="2018-11-02T00:00:00"/>
    <n v="29.81"/>
    <n v="29.81"/>
    <m/>
    <s v="European Leisure Support"/>
    <s v="UIT"/>
    <s v="REIZEN_NL"/>
    <s v="ovchip"/>
    <m/>
    <m/>
    <m/>
    <m/>
    <m/>
    <m/>
    <m/>
    <m/>
    <m/>
    <m/>
  </r>
  <r>
    <n v="1695"/>
    <x v="3"/>
    <m/>
    <x v="3"/>
    <x v="14"/>
    <d v="2019-03-05T00:00:00"/>
    <d v="2019-03-05T00:00:00"/>
    <n v="-20"/>
    <n v="20"/>
    <m/>
    <s v="NS-Schiphol 209 LUCHTHAVEN SC"/>
    <s v="UIT"/>
    <s v="REIZEN_NL"/>
    <s v="ovchip"/>
    <m/>
    <m/>
    <m/>
    <m/>
    <m/>
    <m/>
    <m/>
    <m/>
    <m/>
    <m/>
  </r>
  <r>
    <n v="1703"/>
    <x v="3"/>
    <m/>
    <x v="3"/>
    <x v="14"/>
    <d v="2019-03-08T00:00:00"/>
    <d v="2019-03-08T00:00:00"/>
    <n v="-50"/>
    <n v="50"/>
    <m/>
    <s v="CCV*OV BOEK &amp; KANTOOR MUSSELKANAAL"/>
    <s v="UIT"/>
    <s v="REIZEN_NL"/>
    <s v="ovchip"/>
    <m/>
    <m/>
    <m/>
    <m/>
    <m/>
    <m/>
    <m/>
    <m/>
    <m/>
    <m/>
  </r>
  <r>
    <n v="1709"/>
    <x v="3"/>
    <m/>
    <x v="3"/>
    <x v="14"/>
    <d v="2019-03-13T00:00:00"/>
    <d v="2019-03-13T00:00:00"/>
    <n v="-50"/>
    <n v="50"/>
    <m/>
    <s v="NS-Arnhem 203 ARNHEM"/>
    <s v="UIT"/>
    <s v="REIZEN_NL"/>
    <s v="ovchip"/>
    <m/>
    <m/>
    <m/>
    <m/>
    <m/>
    <m/>
    <m/>
    <m/>
    <m/>
    <m/>
  </r>
  <r>
    <n v="1775"/>
    <x v="3"/>
    <m/>
    <x v="3"/>
    <x v="14"/>
    <d v="2019-03-31T00:00:00"/>
    <d v="2019-03-31T00:00:00"/>
    <n v="-20"/>
    <n v="20"/>
    <m/>
    <s v="CCV*OV Station Emmen EMMEN"/>
    <s v="UIT"/>
    <s v="REIZEN_NL"/>
    <s v="ovchip"/>
    <m/>
    <m/>
    <m/>
    <m/>
    <m/>
    <m/>
    <m/>
    <m/>
    <m/>
    <m/>
  </r>
  <r>
    <n v="1789"/>
    <x v="3"/>
    <m/>
    <x v="3"/>
    <x v="53"/>
    <d v="2019-04-10T00:00:00"/>
    <d v="2019-04-10T00:00:00"/>
    <n v="-20"/>
    <n v="20"/>
    <m/>
    <s v="CCV*OV Station Emmen EMMEN"/>
    <s v="UIT"/>
    <s v="REIZEN_NL"/>
    <s v="ovchip"/>
    <m/>
    <m/>
    <m/>
    <m/>
    <m/>
    <m/>
    <m/>
    <m/>
    <m/>
    <m/>
  </r>
  <r>
    <n v="1907"/>
    <x v="3"/>
    <m/>
    <x v="3"/>
    <x v="39"/>
    <d v="2019-10-02T00:00:00"/>
    <d v="2019-10-02T00:00:00"/>
    <n v="-50"/>
    <n v="50"/>
    <m/>
    <s v="NS ZWOLLE ZWOLLE"/>
    <s v="UIT"/>
    <s v="REIZEN_NL"/>
    <s v="ovchip"/>
    <m/>
    <m/>
    <m/>
    <m/>
    <m/>
    <m/>
    <m/>
    <m/>
    <m/>
    <m/>
  </r>
  <r>
    <n v="1928"/>
    <x v="3"/>
    <m/>
    <x v="3"/>
    <x v="39"/>
    <d v="2019-10-15T00:00:00"/>
    <d v="2019-10-15T00:00:00"/>
    <n v="-50"/>
    <n v="50"/>
    <m/>
    <s v="NS-Zutphen 201 ZUTPHEN"/>
    <s v="UIT"/>
    <s v="REIZEN_NL"/>
    <s v="ovchip"/>
    <m/>
    <m/>
    <m/>
    <m/>
    <m/>
    <m/>
    <m/>
    <m/>
    <m/>
    <m/>
  </r>
  <r>
    <n v="1947"/>
    <x v="3"/>
    <m/>
    <x v="3"/>
    <x v="39"/>
    <d v="2019-10-22T00:00:00"/>
    <d v="2019-10-22T00:00:00"/>
    <n v="-0.01"/>
    <n v="0.01"/>
    <m/>
    <s v="NS GROEP IZ NS REIZIGERS"/>
    <s v="UIT"/>
    <s v="REIZEN_NL"/>
    <s v="ovchip"/>
    <m/>
    <m/>
    <m/>
    <m/>
    <m/>
    <m/>
    <m/>
    <m/>
    <m/>
    <m/>
  </r>
  <r>
    <n v="1966"/>
    <x v="3"/>
    <m/>
    <x v="3"/>
    <x v="39"/>
    <d v="2019-10-25T00:00:00"/>
    <d v="2019-10-25T00:00:00"/>
    <n v="-50"/>
    <n v="50"/>
    <m/>
    <s v="NS-arnhem 205 ARNHEM"/>
    <s v="UIT"/>
    <s v="REIZEN_NL"/>
    <s v="ovchip"/>
    <m/>
    <m/>
    <m/>
    <m/>
    <m/>
    <m/>
    <m/>
    <m/>
    <m/>
    <m/>
  </r>
  <r>
    <n v="2004"/>
    <x v="3"/>
    <m/>
    <x v="3"/>
    <x v="16"/>
    <d v="2019-11-09T00:00:00"/>
    <d v="2019-11-09T00:00:00"/>
    <n v="-50"/>
    <n v="50"/>
    <m/>
    <s v="CCV*OV The Read Shop S STADSKANAAL"/>
    <s v="UIT"/>
    <s v="REIZEN_NL"/>
    <s v="ovchip"/>
    <m/>
    <m/>
    <m/>
    <m/>
    <m/>
    <m/>
    <m/>
    <m/>
    <m/>
    <m/>
  </r>
  <r>
    <n v="2199"/>
    <x v="3"/>
    <m/>
    <x v="4"/>
    <x v="24"/>
    <d v="2020-06-30T00:00:00"/>
    <d v="2020-06-30T00:00:00"/>
    <n v="-20"/>
    <n v="20"/>
    <m/>
    <s v="NS-Schiphol 226 LUCHTHAVEN SC"/>
    <s v="UIT"/>
    <s v="REIZEN_NL"/>
    <s v="ovchip"/>
    <m/>
    <s v="Betaalautomaat 06:55 pasnr. 011"/>
    <m/>
    <s v="bc"/>
    <m/>
    <m/>
    <m/>
    <m/>
    <m/>
    <m/>
  </r>
  <r>
    <n v="2253"/>
    <x v="3"/>
    <m/>
    <x v="4"/>
    <x v="56"/>
    <d v="2020-07-21T00:00:00"/>
    <d v="2020-07-21T00:00:00"/>
    <n v="-30"/>
    <n v="30"/>
    <m/>
    <s v="CCV*OV Bruna Winterswi WINTERSWYK"/>
    <s v="UIT"/>
    <s v="REIZEN_NL"/>
    <s v="ovchip"/>
    <m/>
    <s v="Betaalautomaat 15:20 pasnr. 011"/>
    <m/>
    <s v="bc"/>
    <m/>
    <m/>
    <m/>
    <m/>
    <m/>
    <s v="Betaalautomaat 12:46 pasnr. 011"/>
  </r>
  <r>
    <n v="2316"/>
    <x v="3"/>
    <m/>
    <x v="4"/>
    <x v="60"/>
    <d v="2020-08-12T00:00:00"/>
    <d v="2020-08-12T00:00:00"/>
    <n v="-20"/>
    <n v="20"/>
    <m/>
    <s v="NS-arnhem 207 ARNHEM"/>
    <s v="UIT"/>
    <s v="REIZEN_NL"/>
    <s v="ovchip"/>
    <m/>
    <m/>
    <m/>
    <m/>
    <m/>
    <m/>
    <m/>
    <m/>
    <m/>
    <m/>
  </r>
  <r>
    <n v="2326"/>
    <x v="3"/>
    <m/>
    <x v="4"/>
    <x v="60"/>
    <d v="2020-08-18T00:00:00"/>
    <d v="2020-08-18T00:00:00"/>
    <n v="-20"/>
    <n v="20"/>
    <m/>
    <s v="NS-arnhem 207 ARNHEM"/>
    <s v="UIT"/>
    <s v="REIZEN_NL"/>
    <s v="ovchip"/>
    <m/>
    <m/>
    <m/>
    <m/>
    <m/>
    <m/>
    <m/>
    <m/>
    <m/>
    <m/>
  </r>
  <r>
    <n v="2335"/>
    <x v="3"/>
    <m/>
    <x v="4"/>
    <x v="60"/>
    <d v="2020-08-20T00:00:00"/>
    <d v="2020-08-20T00:00:00"/>
    <n v="-3.85"/>
    <n v="3.85"/>
    <s v="NL40ABNA0537879099"/>
    <s v="NS GROEP IZ NS REIZIGERS"/>
    <s v="UIT"/>
    <s v="REIZEN_NL"/>
    <s v="ovfiets"/>
    <m/>
    <m/>
    <m/>
    <m/>
    <m/>
    <m/>
    <m/>
    <m/>
    <m/>
    <m/>
  </r>
  <r>
    <n v="2357"/>
    <x v="3"/>
    <m/>
    <x v="4"/>
    <x v="60"/>
    <d v="2020-08-26T00:00:00"/>
    <d v="2020-08-26T00:00:00"/>
    <n v="-20"/>
    <n v="20"/>
    <m/>
    <s v="NS-Arnhem Velp 201 ARNHEM"/>
    <s v="UIT"/>
    <s v="REIZEN_NL"/>
    <s v="ovchip"/>
    <m/>
    <m/>
    <m/>
    <m/>
    <m/>
    <m/>
    <m/>
    <m/>
    <m/>
    <m/>
  </r>
  <r>
    <n v="2401"/>
    <x v="3"/>
    <m/>
    <x v="4"/>
    <x v="61"/>
    <d v="2020-09-15T00:00:00"/>
    <d v="2020-09-15T00:00:00"/>
    <n v="-15"/>
    <n v="15"/>
    <m/>
    <s v="NS-Venlo 201 VENLO"/>
    <s v="UIT"/>
    <s v="REIZEN_NL"/>
    <s v="ovchip"/>
    <m/>
    <m/>
    <m/>
    <m/>
    <m/>
    <m/>
    <m/>
    <m/>
    <m/>
    <m/>
  </r>
  <r>
    <n v="2412"/>
    <x v="3"/>
    <m/>
    <x v="4"/>
    <x v="61"/>
    <d v="2020-09-24T00:00:00"/>
    <d v="2020-09-24T00:00:00"/>
    <n v="-40"/>
    <n v="40"/>
    <m/>
    <s v="Arnhem 1 Arnhem"/>
    <s v="UIT"/>
    <s v="REIZEN_NL"/>
    <s v="ovchip"/>
    <m/>
    <m/>
    <m/>
    <m/>
    <m/>
    <m/>
    <m/>
    <m/>
    <m/>
    <m/>
  </r>
  <r>
    <n v="2452"/>
    <x v="3"/>
    <m/>
    <x v="4"/>
    <x v="57"/>
    <d v="2020-10-15T00:00:00"/>
    <d v="2020-10-15T00:00:00"/>
    <n v="26.23"/>
    <n v="26.23"/>
    <s v="NL03RABO0157613070"/>
    <s v="European Leisure Support"/>
    <s v="UIT"/>
    <s v="REIZEN_NL"/>
    <s v="ovchip"/>
    <m/>
    <m/>
    <m/>
    <m/>
    <m/>
    <m/>
    <m/>
    <m/>
    <m/>
    <m/>
  </r>
  <r>
    <n v="2470"/>
    <x v="3"/>
    <m/>
    <x v="4"/>
    <x v="57"/>
    <d v="2020-10-21T00:00:00"/>
    <d v="2020-10-21T00:00:00"/>
    <n v="-0.01"/>
    <n v="0.01"/>
    <s v="NL40ABNA0537879099"/>
    <s v="NS GROEP IZ NS REIZIGERS"/>
    <s v="UIT"/>
    <s v="REIZEN_NL"/>
    <s v="ovchip"/>
    <m/>
    <m/>
    <m/>
    <m/>
    <m/>
    <m/>
    <m/>
    <m/>
    <m/>
    <m/>
  </r>
  <r>
    <n v="2491"/>
    <x v="3"/>
    <m/>
    <x v="4"/>
    <x v="59"/>
    <d v="2020-11-03T00:00:00"/>
    <d v="2020-11-03T00:00:00"/>
    <n v="-20"/>
    <n v="20"/>
    <m/>
    <s v="CCV*OV The Read Shop S STADSKANAAL"/>
    <s v="UIT"/>
    <s v="REIZEN_NL"/>
    <s v="ovchip"/>
    <s v="NIEUW"/>
    <m/>
    <m/>
    <m/>
    <m/>
    <m/>
    <m/>
    <m/>
    <m/>
    <m/>
  </r>
  <r>
    <n v="2492"/>
    <x v="3"/>
    <m/>
    <x v="4"/>
    <x v="59"/>
    <d v="2020-11-03T00:00:00"/>
    <d v="2020-11-03T00:00:00"/>
    <n v="-10"/>
    <n v="10"/>
    <m/>
    <s v="CCV*OV The Read Shop S STADSKANAAL"/>
    <s v="UIT"/>
    <s v="REIZEN_NL"/>
    <s v="ovchip"/>
    <s v="NIEUW"/>
    <m/>
    <m/>
    <m/>
    <m/>
    <m/>
    <m/>
    <m/>
    <m/>
    <m/>
  </r>
  <r>
    <n v="2540"/>
    <x v="3"/>
    <m/>
    <x v="4"/>
    <x v="58"/>
    <d v="2020-12-07T00:00:00"/>
    <d v="2020-12-07T00:00:00"/>
    <n v="-20"/>
    <n v="20"/>
    <m/>
    <s v="CCV*OV Station Emmen EMMEN"/>
    <s v="UIT"/>
    <s v="REIZEN_NL"/>
    <s v="ovchip"/>
    <s v="NIEUW"/>
    <m/>
    <m/>
    <m/>
    <m/>
    <m/>
    <m/>
    <m/>
    <m/>
    <m/>
  </r>
  <r>
    <n v="2560"/>
    <x v="3"/>
    <m/>
    <x v="4"/>
    <x v="58"/>
    <d v="2020-12-16T00:00:00"/>
    <d v="2020-12-16T00:00:00"/>
    <n v="-28.78"/>
    <n v="28.78"/>
    <m/>
    <s v="NS-Arnhem 203 ARNHEM"/>
    <s v="UIT"/>
    <s v="REIZEN_NL"/>
    <s v="ovchip"/>
    <s v="NIEUW"/>
    <m/>
    <m/>
    <m/>
    <m/>
    <m/>
    <m/>
    <m/>
    <m/>
    <m/>
  </r>
  <r>
    <n v="2585"/>
    <x v="4"/>
    <m/>
    <x v="4"/>
    <x v="57"/>
    <d v="2020-09-23T00:00:00"/>
    <d v="2020-09-23T00:00:00"/>
    <n v="-50"/>
    <n v="50"/>
    <m/>
    <s v="ov chip"/>
    <s v="UIT"/>
    <s v="REIZEN_NL"/>
    <s v="ovchip"/>
    <m/>
    <m/>
    <m/>
    <m/>
    <m/>
    <m/>
    <m/>
    <m/>
    <m/>
    <m/>
  </r>
  <r>
    <n v="2586"/>
    <x v="4"/>
    <m/>
    <x v="4"/>
    <x v="61"/>
    <d v="2020-09-23T00:00:00"/>
    <d v="2020-09-23T00:00:00"/>
    <n v="-20"/>
    <n v="20"/>
    <m/>
    <s v="ov chip"/>
    <s v="UIT"/>
    <s v="REIZEN_NL"/>
    <s v="ovchip"/>
    <m/>
    <m/>
    <m/>
    <m/>
    <m/>
    <m/>
    <m/>
    <m/>
    <m/>
    <m/>
  </r>
  <r>
    <n v="2587"/>
    <x v="4"/>
    <m/>
    <x v="4"/>
    <x v="61"/>
    <d v="2020-09-23T00:00:00"/>
    <d v="2020-09-23T00:00:00"/>
    <n v="-20"/>
    <n v="20"/>
    <m/>
    <s v="ov chip"/>
    <s v="UIT"/>
    <s v="REIZEN_NL"/>
    <s v="ovchip"/>
    <m/>
    <m/>
    <m/>
    <m/>
    <m/>
    <m/>
    <m/>
    <m/>
    <m/>
    <m/>
  </r>
  <r>
    <n v="2725"/>
    <x v="3"/>
    <m/>
    <x v="5"/>
    <x v="63"/>
    <d v="2021-03-29T00:00:00"/>
    <d v="2021-03-29T00:00:00"/>
    <n v="-30"/>
    <n v="30"/>
    <m/>
    <s v="Opladen OV-Chipkaart AMERSFOORT"/>
    <s v="UIT"/>
    <s v="REIZEN_NL"/>
    <s v="ovchip"/>
    <m/>
    <m/>
    <m/>
    <m/>
    <m/>
    <m/>
    <m/>
    <m/>
    <m/>
    <m/>
  </r>
  <r>
    <n v="2805"/>
    <x v="3"/>
    <m/>
    <x v="5"/>
    <x v="67"/>
    <d v="2021-05-30T00:00:00"/>
    <d v="2021-05-30T00:00:00"/>
    <n v="-10"/>
    <n v="10"/>
    <m/>
    <s v="NS-Horst-Sevenum 201 HEGELSOM"/>
    <s v="UIT"/>
    <s v="REIZEN_NL"/>
    <s v="ovchip"/>
    <m/>
    <s v="bc"/>
    <m/>
    <m/>
    <m/>
    <m/>
    <m/>
    <m/>
    <m/>
    <m/>
  </r>
  <r>
    <n v="2830"/>
    <x v="3"/>
    <m/>
    <x v="5"/>
    <x v="68"/>
    <d v="2021-06-09T00:00:00"/>
    <d v="2021-06-09T00:00:00"/>
    <n v="-20"/>
    <n v="20"/>
    <m/>
    <s v="NS-Horst-Sevenum 201 HEGELSOM"/>
    <s v="UIT"/>
    <s v="REIZEN_NL"/>
    <s v="ovchip"/>
    <m/>
    <s v="bc"/>
    <m/>
    <m/>
    <m/>
    <m/>
    <m/>
    <s v="Betaalautomaat 13:09 pasnr. 022"/>
    <s v=" "/>
    <m/>
  </r>
  <r>
    <n v="2831"/>
    <x v="3"/>
    <m/>
    <x v="5"/>
    <x v="68"/>
    <d v="2021-06-09T00:00:00"/>
    <d v="2021-06-09T00:00:00"/>
    <n v="-10"/>
    <n v="10"/>
    <m/>
    <s v="NS-Horst-Sevenum 201 HEGELSOM"/>
    <s v="UIT"/>
    <s v="REIZEN_NL"/>
    <s v="ovchip"/>
    <m/>
    <s v="bc"/>
    <m/>
    <m/>
    <m/>
    <m/>
    <m/>
    <s v="Betaalautomaat 13:10 pasnr. 022"/>
    <s v=" "/>
    <m/>
  </r>
  <r>
    <n v="2848"/>
    <x v="3"/>
    <m/>
    <x v="5"/>
    <x v="68"/>
    <d v="2021-06-14T00:00:00"/>
    <d v="2021-06-14T00:00:00"/>
    <n v="-20"/>
    <n v="20"/>
    <m/>
    <s v="CCV*OV Station Blerick VENLO"/>
    <s v="UIT"/>
    <s v="REIZEN_NL"/>
    <s v="ovchip"/>
    <m/>
    <s v="bc"/>
    <m/>
    <m/>
    <m/>
    <m/>
    <m/>
    <s v="Betaalautomaat 19:31 pasnr. 022"/>
    <s v=" "/>
    <m/>
  </r>
  <r>
    <n v="2896"/>
    <x v="3"/>
    <m/>
    <x v="5"/>
    <x v="69"/>
    <d v="2021-07-15T00:00:00"/>
    <d v="2021-07-15T00:00:00"/>
    <n v="-20"/>
    <n v="20"/>
    <m/>
    <s v="NS-Horst-Sevenum 201 HEGELSOM"/>
    <s v="UIT"/>
    <s v="REIZEN_NL"/>
    <s v="ovchip"/>
    <m/>
    <s v="bc"/>
    <m/>
    <m/>
    <m/>
    <m/>
    <m/>
    <s v="Betaalautomaat 20:14 pasnr. 011"/>
    <s v=" "/>
    <m/>
  </r>
  <r>
    <n v="2972"/>
    <x v="3"/>
    <m/>
    <x v="5"/>
    <x v="64"/>
    <d v="2021-09-16T00:00:00"/>
    <d v="2021-09-16T00:00:00"/>
    <n v="-20"/>
    <n v="20"/>
    <m/>
    <s v="NS-arnhem 205 ARNHEM"/>
    <s v="UIT"/>
    <s v="REIZEN_NL"/>
    <s v="ovchip"/>
    <m/>
    <s v="bc"/>
    <m/>
    <m/>
    <m/>
    <m/>
    <m/>
    <s v="Betaalautomaat 19:27 pasnr. 022"/>
    <s v=" "/>
    <m/>
  </r>
  <r>
    <n v="3000"/>
    <x v="3"/>
    <m/>
    <x v="5"/>
    <x v="25"/>
    <d v="2021-10-05T00:00:00"/>
    <d v="2021-10-05T00:00:00"/>
    <n v="-50"/>
    <n v="50"/>
    <m/>
    <s v="CCV*OV The Read Shop S STADSKANAAL"/>
    <s v="UIT"/>
    <s v="REIZEN_NL"/>
    <s v="ovchip"/>
    <m/>
    <m/>
    <m/>
    <m/>
    <m/>
    <m/>
    <s v="Betaalautomaat 14:40 pasnr. 022"/>
    <s v=" "/>
    <m/>
    <m/>
  </r>
  <r>
    <n v="3032"/>
    <x v="3"/>
    <m/>
    <x v="5"/>
    <x v="25"/>
    <d v="2021-10-15T00:00:00"/>
    <d v="2021-10-15T00:00:00"/>
    <n v="-30"/>
    <n v="30"/>
    <m/>
    <s v="HTM Personenvervoer 'S-GRAVENHAGE"/>
    <s v="UIT"/>
    <s v="REIZEN_NL"/>
    <s v="ovchip"/>
    <s v="bc"/>
    <m/>
    <m/>
    <m/>
    <m/>
    <m/>
    <s v="Betaalautomaat 18:03 pasnr. 022"/>
    <s v=" "/>
    <m/>
    <m/>
  </r>
  <r>
    <n v="3060"/>
    <x v="3"/>
    <m/>
    <x v="5"/>
    <x v="25"/>
    <d v="2021-10-24T00:00:00"/>
    <d v="2021-10-24T00:00:00"/>
    <n v="-50"/>
    <n v="50"/>
    <m/>
    <s v="NS-Arnhem 203 ARNHEM"/>
    <s v="UIT"/>
    <s v="REIZEN_NL"/>
    <s v="ovchip"/>
    <s v="bc"/>
    <m/>
    <m/>
    <m/>
    <m/>
    <m/>
    <s v="Betaalautomaat 20:01 pasnr. 022"/>
    <s v=" "/>
    <m/>
    <m/>
  </r>
  <r>
    <n v="3065"/>
    <x v="3"/>
    <m/>
    <x v="5"/>
    <x v="25"/>
    <d v="2021-10-25T00:00:00"/>
    <d v="2021-10-25T00:00:00"/>
    <n v="17.5"/>
    <n v="17.5"/>
    <s v="NL10RBRB0948370114"/>
    <s v="W. Smit e/o W.R.F. Smit-Brands"/>
    <s v="UIT"/>
    <s v="REIZEN_NL"/>
    <s v="ovchip"/>
    <s v="terug naar musselkanaal"/>
    <m/>
    <m/>
    <m/>
    <m/>
    <m/>
    <m/>
    <m/>
    <m/>
    <m/>
  </r>
  <r>
    <n v="3113"/>
    <x v="3"/>
    <m/>
    <x v="5"/>
    <x v="26"/>
    <d v="2021-11-11T00:00:00"/>
    <d v="2021-11-11T00:00:00"/>
    <n v="-20"/>
    <n v="20"/>
    <m/>
    <s v="Opladen OV-Chipkaart AMERSFOORT"/>
    <s v="UIT"/>
    <s v="REIZEN_NL"/>
    <s v="ovchip"/>
    <s v="bc"/>
    <m/>
    <m/>
    <m/>
    <m/>
    <m/>
    <s v="Betaalautomaat 16:10 pasnr. 032"/>
    <s v=" "/>
    <m/>
    <m/>
  </r>
  <r>
    <n v="202208007"/>
    <x v="3"/>
    <s v="EUR"/>
    <x v="6"/>
    <x v="32"/>
    <d v="2022-05-31T00:00:00"/>
    <d v="2022-05-31T00:00:00"/>
    <n v="-50"/>
    <n v="50"/>
    <m/>
    <s v="CCV*OV Boek &amp; Kantoor MUSSELKANAAL"/>
    <s v="UIT"/>
    <s v="REIZEN_NL"/>
    <s v="ovchip"/>
    <s v="bc"/>
    <m/>
    <m/>
    <m/>
    <m/>
    <m/>
    <s v="Betaalautomaat 15:56 pasnr. 032"/>
    <s v=" "/>
    <m/>
    <m/>
  </r>
  <r>
    <n v="202208129"/>
    <x v="3"/>
    <s v="EUR"/>
    <x v="6"/>
    <x v="40"/>
    <d v="2022-08-08T00:00:00"/>
    <d v="2022-08-08T00:00:00"/>
    <n v="-50"/>
    <n v="50"/>
    <m/>
    <s v="SEP*NS Nijmegen Nijmegen"/>
    <s v="UIT"/>
    <s v="REIZEN_NL"/>
    <s v="ovchip"/>
    <s v="ba"/>
    <m/>
    <m/>
    <m/>
    <m/>
    <m/>
    <s v="Betaalautomaat 18:57 pasnr. 032"/>
    <s v=" "/>
    <m/>
    <m/>
  </r>
  <r>
    <n v="202301004"/>
    <x v="3"/>
    <s v="EUR"/>
    <x v="6"/>
    <x v="34"/>
    <d v="2022-10-03T00:00:00"/>
    <d v="2022-10-03T00:00:00"/>
    <n v="-50"/>
    <m/>
    <m/>
    <s v="CCV*OV The Read Shop S STADSKANAAL"/>
    <s v="UIT"/>
    <s v="REIZEN_NL"/>
    <s v="ovchip"/>
    <s v="bc"/>
    <m/>
    <m/>
    <m/>
    <m/>
    <m/>
    <s v="Betaalautomaat 14:51 pasnr. 032"/>
    <s v=" "/>
    <m/>
    <m/>
  </r>
  <r>
    <n v="202301038"/>
    <x v="3"/>
    <s v="EUR"/>
    <x v="6"/>
    <x v="34"/>
    <d v="2022-10-27T00:00:00"/>
    <d v="2022-10-27T00:00:00"/>
    <n v="-7.5"/>
    <m/>
    <s v="NL62INGB0005206931"/>
    <s v="ov-chipkaart/Trans Link Systems by Buckaroo"/>
    <s v="UIT"/>
    <s v="REIZEN_NL"/>
    <s v="ovchip"/>
    <s v="id"/>
    <m/>
    <s v="27-10-2022 11:14 1030000693474909"/>
    <m/>
    <m/>
    <m/>
    <s v="RE05300019724161 1030000693474909 Vernieuwen kaart x4934 pasnr.032"/>
    <s v=" "/>
    <m/>
    <m/>
  </r>
  <r>
    <n v="202301044"/>
    <x v="3"/>
    <s v="EUR"/>
    <x v="6"/>
    <x v="35"/>
    <d v="2022-11-03T00:00:00"/>
    <d v="2022-11-03T00:00:00"/>
    <n v="-50"/>
    <m/>
    <m/>
    <s v="CCV*OV Boek &amp; Kantoor MUSSELKANAAL"/>
    <s v="UIT"/>
    <s v="REIZEN_NL"/>
    <s v="ovchip"/>
    <s v="bc"/>
    <m/>
    <m/>
    <m/>
    <m/>
    <m/>
    <s v="Betaalautomaat 13:20 pasnr. 032"/>
    <s v=" "/>
    <m/>
    <m/>
  </r>
  <r>
    <n v="202301049"/>
    <x v="3"/>
    <s v="EUR"/>
    <x v="6"/>
    <x v="35"/>
    <d v="2022-11-04T00:00:00"/>
    <d v="2022-11-04T00:00:00"/>
    <n v="32.659999999999997"/>
    <m/>
    <s v="NL12RABO0306498111"/>
    <s v="TLS BV inz. OV-Chipkaart"/>
    <s v="UIT"/>
    <s v="REIZEN_NL"/>
    <s v="ovchip"/>
    <s v="cb"/>
    <m/>
    <n v="40195827"/>
    <m/>
    <m/>
    <m/>
    <s v="Restitutie saldo OV-chipkaart Kaartnummer: 3528043412835859"/>
    <s v=" "/>
    <m/>
    <m/>
  </r>
  <r>
    <n v="202305028"/>
    <x v="3"/>
    <s v="EUR"/>
    <x v="0"/>
    <x v="0"/>
    <d v="2023-02-25T00:00:00"/>
    <d v="2023-02-25T00:00:00"/>
    <n v="-50"/>
    <n v="337.41"/>
    <m/>
    <s v="SEP*Opladen OV-Chipkaa UTRECHT"/>
    <s v="UIT"/>
    <s v="REIZEN_NL"/>
    <s v="ovchip"/>
    <n v="337.41"/>
    <m/>
    <m/>
    <m/>
    <m/>
    <m/>
    <s v="Betaalautomaat 15:36 pasnr. 032"/>
    <s v=" "/>
    <m/>
    <m/>
  </r>
  <r>
    <n v="544"/>
    <x v="3"/>
    <m/>
    <x v="1"/>
    <x v="44"/>
    <d v="2017-04-26T00:00:00"/>
    <d v="2017-04-26T00:00:00"/>
    <n v="1279.97"/>
    <n v="1279.97"/>
    <m/>
    <s v="EUROPEAN LEISURE SUPPORT"/>
    <s v="IN"/>
    <s v="SALARIS"/>
    <s v="salaris"/>
    <m/>
    <m/>
    <m/>
    <m/>
    <m/>
    <m/>
    <m/>
    <m/>
    <m/>
    <m/>
  </r>
  <r>
    <n v="557"/>
    <x v="3"/>
    <m/>
    <x v="1"/>
    <x v="45"/>
    <d v="2017-05-11T00:00:00"/>
    <d v="2017-05-11T00:00:00"/>
    <n v="103.83"/>
    <n v="103.83"/>
    <m/>
    <s v="EUROPEAN LEISURE SUPPORT"/>
    <s v="IN"/>
    <s v="SALARIS"/>
    <s v="salaris"/>
    <m/>
    <m/>
    <m/>
    <m/>
    <m/>
    <m/>
    <m/>
    <m/>
    <m/>
    <m/>
  </r>
  <r>
    <n v="561"/>
    <x v="3"/>
    <m/>
    <x v="1"/>
    <x v="45"/>
    <d v="2017-05-25T00:00:00"/>
    <d v="2017-05-25T00:00:00"/>
    <n v="1279.97"/>
    <n v="1279.97"/>
    <m/>
    <s v="EUROPEAN LEISURE SUPPORT"/>
    <s v="IN"/>
    <s v="SALARIS"/>
    <s v="salaris"/>
    <m/>
    <m/>
    <m/>
    <m/>
    <m/>
    <m/>
    <m/>
    <m/>
    <m/>
    <m/>
  </r>
  <r>
    <n v="577"/>
    <x v="3"/>
    <m/>
    <x v="1"/>
    <x v="46"/>
    <d v="2017-06-27T00:00:00"/>
    <d v="2017-06-27T00:00:00"/>
    <n v="1279.97"/>
    <n v="1279.97"/>
    <m/>
    <s v="EUROPEAN LEISURE SUPPORT"/>
    <s v="IN"/>
    <s v="SALARIS"/>
    <s v="salaris"/>
    <m/>
    <m/>
    <m/>
    <m/>
    <m/>
    <m/>
    <m/>
    <m/>
    <m/>
    <m/>
  </r>
  <r>
    <n v="591"/>
    <x v="3"/>
    <m/>
    <x v="1"/>
    <x v="36"/>
    <d v="2017-07-26T00:00:00"/>
    <d v="2017-07-26T00:00:00"/>
    <n v="1279.97"/>
    <n v="1279.97"/>
    <m/>
    <s v="EUROPEAN LEISURE SUPPORT"/>
    <s v="IN"/>
    <s v="SALARIS"/>
    <s v="salaris"/>
    <m/>
    <m/>
    <m/>
    <m/>
    <m/>
    <m/>
    <m/>
    <m/>
    <m/>
    <m/>
  </r>
  <r>
    <n v="607"/>
    <x v="3"/>
    <m/>
    <x v="1"/>
    <x v="47"/>
    <d v="2017-08-25T00:00:00"/>
    <d v="2017-08-25T00:00:00"/>
    <n v="1279.97"/>
    <n v="1279.97"/>
    <m/>
    <s v="EUROPEAN LEISURE SUPPORT"/>
    <s v="IN"/>
    <s v="SALARIS"/>
    <s v="salaris"/>
    <m/>
    <m/>
    <m/>
    <m/>
    <m/>
    <m/>
    <m/>
    <m/>
    <m/>
    <m/>
  </r>
  <r>
    <n v="624"/>
    <x v="3"/>
    <m/>
    <x v="1"/>
    <x v="48"/>
    <d v="2017-09-27T00:00:00"/>
    <d v="2017-09-27T00:00:00"/>
    <n v="1799.13"/>
    <n v="1799.13"/>
    <m/>
    <s v="EUROPEAN LEISURE SUPPORT"/>
    <s v="IN"/>
    <s v="SALARIS"/>
    <s v="salaris"/>
    <m/>
    <m/>
    <m/>
    <m/>
    <m/>
    <m/>
    <m/>
    <m/>
    <m/>
    <m/>
  </r>
  <r>
    <n v="1187"/>
    <x v="3"/>
    <m/>
    <x v="2"/>
    <x v="10"/>
    <d v="2018-03-27T00:00:00"/>
    <d v="2018-03-27T00:00:00"/>
    <n v="329.25"/>
    <n v="329.25"/>
    <m/>
    <s v="EUROPEAN LEISURE SUPPORT"/>
    <s v="IN"/>
    <s v="SALARIS"/>
    <s v="salaris"/>
    <m/>
    <m/>
    <m/>
    <m/>
    <m/>
    <m/>
    <m/>
    <m/>
    <m/>
    <m/>
  </r>
  <r>
    <n v="1199"/>
    <x v="3"/>
    <m/>
    <x v="2"/>
    <x v="49"/>
    <d v="2018-04-15T00:00:00"/>
    <d v="2018-04-15T00:00:00"/>
    <n v="1448.68"/>
    <n v="1448.68"/>
    <m/>
    <s v="EUROPEAN LEISURE SUPPORT"/>
    <s v="IN"/>
    <s v="SALARIS"/>
    <s v="salaris"/>
    <m/>
    <m/>
    <m/>
    <m/>
    <m/>
    <m/>
    <m/>
    <m/>
    <m/>
    <m/>
  </r>
  <r>
    <n v="1220"/>
    <x v="3"/>
    <m/>
    <x v="2"/>
    <x v="50"/>
    <d v="2018-05-15T00:00:00"/>
    <d v="2018-05-15T00:00:00"/>
    <n v="1299.25"/>
    <n v="1299.25"/>
    <m/>
    <s v="EUROPEAN LEISURE SUPPORT"/>
    <s v="IN"/>
    <s v="SALARIS"/>
    <s v="salaris"/>
    <m/>
    <m/>
    <m/>
    <m/>
    <m/>
    <m/>
    <m/>
    <m/>
    <m/>
    <m/>
  </r>
  <r>
    <n v="1222"/>
    <x v="3"/>
    <m/>
    <x v="2"/>
    <x v="50"/>
    <d v="2018-05-15T00:00:00"/>
    <d v="2018-05-15T00:00:00"/>
    <n v="85.75"/>
    <n v="85.75"/>
    <m/>
    <s v="EUROPEAN LEISURE SUPPORT"/>
    <s v="IN"/>
    <s v="SALARIS"/>
    <s v="salaris"/>
    <m/>
    <m/>
    <m/>
    <m/>
    <m/>
    <m/>
    <m/>
    <m/>
    <m/>
    <m/>
  </r>
  <r>
    <n v="1239"/>
    <x v="3"/>
    <m/>
    <x v="2"/>
    <x v="51"/>
    <d v="2018-06-26T00:00:00"/>
    <d v="2018-06-26T00:00:00"/>
    <n v="1299.25"/>
    <n v="1299.25"/>
    <m/>
    <s v="European Leisure Support"/>
    <s v="IN"/>
    <s v="SALARIS"/>
    <s v="salaris"/>
    <m/>
    <m/>
    <m/>
    <m/>
    <m/>
    <m/>
    <m/>
    <m/>
    <m/>
    <m/>
  </r>
  <r>
    <n v="1253"/>
    <x v="3"/>
    <m/>
    <x v="2"/>
    <x v="52"/>
    <d v="2018-07-26T00:00:00"/>
    <d v="2018-07-26T00:00:00"/>
    <n v="1299.25"/>
    <n v="1299.25"/>
    <m/>
    <s v="European Leisure Support"/>
    <s v="IN"/>
    <s v="SALARIS"/>
    <s v="salaris"/>
    <m/>
    <m/>
    <m/>
    <m/>
    <m/>
    <m/>
    <m/>
    <m/>
    <m/>
    <m/>
  </r>
  <r>
    <n v="1267"/>
    <x v="3"/>
    <m/>
    <x v="2"/>
    <x v="37"/>
    <d v="2018-08-27T00:00:00"/>
    <d v="2018-08-27T00:00:00"/>
    <n v="1299.25"/>
    <n v="1299.25"/>
    <m/>
    <s v="European Leisure Support"/>
    <s v="IN"/>
    <s v="SALARIS"/>
    <s v="salaris"/>
    <m/>
    <m/>
    <m/>
    <m/>
    <m/>
    <m/>
    <m/>
    <m/>
    <m/>
    <m/>
  </r>
  <r>
    <n v="1280"/>
    <x v="3"/>
    <m/>
    <x v="2"/>
    <x v="12"/>
    <d v="2018-09-26T00:00:00"/>
    <d v="2018-09-26T00:00:00"/>
    <n v="1612.95"/>
    <n v="1612.95"/>
    <m/>
    <s v="European Leisure Support"/>
    <s v="IN"/>
    <s v="SALARIS"/>
    <s v="salaris"/>
    <m/>
    <m/>
    <m/>
    <m/>
    <m/>
    <m/>
    <m/>
    <m/>
    <m/>
    <m/>
  </r>
  <r>
    <n v="1818"/>
    <x v="3"/>
    <m/>
    <x v="3"/>
    <x v="54"/>
    <d v="2019-05-14T00:00:00"/>
    <d v="2019-05-14T00:00:00"/>
    <n v="861.37"/>
    <n v="861.37"/>
    <m/>
    <s v="ROMA GESTIONI S.R.L."/>
    <s v="IN"/>
    <s v="SALARIS"/>
    <s v="salaris"/>
    <m/>
    <m/>
    <m/>
    <m/>
    <m/>
    <m/>
    <m/>
    <m/>
    <m/>
    <m/>
  </r>
  <r>
    <n v="1839"/>
    <x v="3"/>
    <m/>
    <x v="3"/>
    <x v="55"/>
    <d v="2019-06-13T00:00:00"/>
    <d v="2019-06-13T00:00:00"/>
    <n v="1313.6"/>
    <n v="1313.6"/>
    <m/>
    <s v="ROMA GESTIONI S.R.L."/>
    <s v="IN"/>
    <s v="SALARIS"/>
    <s v="salaris"/>
    <m/>
    <m/>
    <m/>
    <m/>
    <m/>
    <m/>
    <m/>
    <m/>
    <m/>
    <m/>
  </r>
  <r>
    <n v="1856"/>
    <x v="3"/>
    <m/>
    <x v="3"/>
    <x v="38"/>
    <d v="2019-07-12T00:00:00"/>
    <d v="2019-07-12T00:00:00"/>
    <n v="1357.62"/>
    <n v="1357.62"/>
    <m/>
    <s v="ROMA GESTIONI S.R.L."/>
    <s v="IN"/>
    <s v="SALARIS"/>
    <s v="salaris"/>
    <m/>
    <m/>
    <m/>
    <m/>
    <m/>
    <m/>
    <m/>
    <m/>
    <m/>
    <m/>
  </r>
  <r>
    <n v="1864"/>
    <x v="3"/>
    <m/>
    <x v="3"/>
    <x v="38"/>
    <d v="2019-07-24T00:00:00"/>
    <d v="2019-07-24T00:00:00"/>
    <n v="223.4"/>
    <n v="223.4"/>
    <m/>
    <s v="ROMA GESTIONI S.R.L."/>
    <s v="IN"/>
    <s v="SALARIS"/>
    <s v="salaris"/>
    <m/>
    <m/>
    <m/>
    <m/>
    <m/>
    <m/>
    <m/>
    <m/>
    <m/>
    <m/>
  </r>
  <r>
    <n v="1878"/>
    <x v="3"/>
    <m/>
    <x v="3"/>
    <x v="41"/>
    <d v="2019-08-13T00:00:00"/>
    <d v="2019-08-13T00:00:00"/>
    <n v="1244.8399999999999"/>
    <n v="1244.8399999999999"/>
    <m/>
    <s v="ROMA GESTIONI S.R.L."/>
    <s v="IN"/>
    <s v="SALARIS"/>
    <s v="salaris"/>
    <m/>
    <m/>
    <m/>
    <m/>
    <m/>
    <m/>
    <m/>
    <m/>
    <m/>
    <m/>
  </r>
  <r>
    <n v="1892"/>
    <x v="3"/>
    <m/>
    <x v="3"/>
    <x v="18"/>
    <d v="2019-09-12T00:00:00"/>
    <d v="2019-09-12T00:00:00"/>
    <n v="1310"/>
    <n v="1310"/>
    <m/>
    <s v="ROMA GESTIONI S.R.L."/>
    <s v="IN"/>
    <s v="SALARIS"/>
    <s v="salaris"/>
    <m/>
    <m/>
    <m/>
    <m/>
    <m/>
    <m/>
    <m/>
    <m/>
    <m/>
    <m/>
  </r>
  <r>
    <n v="1921"/>
    <x v="3"/>
    <m/>
    <x v="3"/>
    <x v="39"/>
    <d v="2019-10-14T00:00:00"/>
    <d v="2019-10-14T00:00:00"/>
    <n v="3252.11"/>
    <n v="3252.11"/>
    <m/>
    <s v="ROMA GESTIONI S.R.L."/>
    <s v="IN"/>
    <s v="SALARIS"/>
    <s v="salaris"/>
    <m/>
    <m/>
    <m/>
    <m/>
    <m/>
    <m/>
    <m/>
    <m/>
    <m/>
    <m/>
  </r>
  <r>
    <n v="2260"/>
    <x v="3"/>
    <m/>
    <x v="4"/>
    <x v="56"/>
    <d v="2020-07-24T00:00:00"/>
    <d v="2020-07-24T00:00:00"/>
    <n v="589.83000000000004"/>
    <n v="589.83000000000004"/>
    <m/>
    <s v="European Leisure Support"/>
    <s v="IN"/>
    <s v="SALARIS"/>
    <s v="salaris"/>
    <m/>
    <s v="Salaris juli 2020"/>
    <s v="RABONL2U"/>
    <s v="sb"/>
    <m/>
    <m/>
    <m/>
    <m/>
    <m/>
    <s v="Betaalautomaat 14:39 pasnr. 011"/>
  </r>
  <r>
    <n v="2354"/>
    <x v="3"/>
    <m/>
    <x v="4"/>
    <x v="60"/>
    <d v="2020-08-26T00:00:00"/>
    <d v="2020-08-26T00:00:00"/>
    <n v="1355.75"/>
    <n v="1355.75"/>
    <s v="NL03RABO0157613070"/>
    <s v="European Leisure Support"/>
    <s v="IN"/>
    <s v="SALARIS"/>
    <s v="salaris"/>
    <m/>
    <m/>
    <m/>
    <m/>
    <m/>
    <m/>
    <m/>
    <m/>
    <m/>
    <m/>
  </r>
  <r>
    <n v="2415"/>
    <x v="3"/>
    <m/>
    <x v="4"/>
    <x v="61"/>
    <d v="2020-09-25T00:00:00"/>
    <d v="2020-09-25T00:00:00"/>
    <n v="1617.63"/>
    <n v="1617.63"/>
    <s v="NL03RABO0157613070"/>
    <s v="European Leisure Support"/>
    <s v="IN"/>
    <s v="SALARIS"/>
    <s v="salaris"/>
    <m/>
    <m/>
    <m/>
    <m/>
    <m/>
    <m/>
    <m/>
    <m/>
    <m/>
    <m/>
  </r>
  <r>
    <n v="2476"/>
    <x v="3"/>
    <m/>
    <x v="4"/>
    <x v="57"/>
    <d v="2020-10-23T00:00:00"/>
    <d v="2020-10-23T00:00:00"/>
    <n v="68.010000000000005"/>
    <n v="68.010000000000005"/>
    <s v="NL03RABO0157613070"/>
    <s v="European Leisure Support"/>
    <s v="IN"/>
    <s v="SALARIS"/>
    <s v="salaris"/>
    <m/>
    <m/>
    <m/>
    <m/>
    <m/>
    <m/>
    <m/>
    <m/>
    <m/>
    <m/>
  </r>
  <r>
    <n v="2644"/>
    <x v="2"/>
    <m/>
    <x v="5"/>
    <x v="69"/>
    <d v="2021-07-02T00:00:00"/>
    <d v="2021-07-02T00:00:00"/>
    <n v="-4.5"/>
    <n v="4.5"/>
    <m/>
    <s v="Camping Bertrix Bertrix BEL"/>
    <s v="IN"/>
    <s v="SALARIS"/>
    <s v="salaris"/>
    <m/>
    <s v="bc"/>
    <m/>
    <m/>
    <m/>
    <m/>
    <m/>
    <m/>
    <m/>
    <m/>
  </r>
  <r>
    <n v="2749"/>
    <x v="3"/>
    <m/>
    <x v="5"/>
    <x v="66"/>
    <d v="2021-04-23T00:00:00"/>
    <d v="2021-04-23T00:00:00"/>
    <n v="1409.42"/>
    <n v="1409.42"/>
    <s v="NL19RABO0312303726"/>
    <s v="Vacansoleil B.V."/>
    <s v="IN"/>
    <s v="SALARIS"/>
    <s v="salaris"/>
    <m/>
    <m/>
    <m/>
    <m/>
    <m/>
    <m/>
    <m/>
    <m/>
    <m/>
    <m/>
  </r>
  <r>
    <n v="2800"/>
    <x v="3"/>
    <m/>
    <x v="5"/>
    <x v="67"/>
    <d v="2021-05-26T00:00:00"/>
    <d v="2021-05-26T00:00:00"/>
    <n v="1481.12"/>
    <n v="1481.12"/>
    <s v="NL19RABO0312303726"/>
    <s v="Vacansoleil B.V."/>
    <s v="IN"/>
    <s v="SALARIS"/>
    <s v="salaris"/>
    <s v="RABONL2U"/>
    <s v="sb"/>
    <m/>
    <s v="3176EAE0447F8CB8BD844D838292C25F"/>
    <m/>
    <m/>
    <m/>
    <m/>
    <m/>
    <m/>
  </r>
  <r>
    <n v="2864"/>
    <x v="3"/>
    <m/>
    <x v="5"/>
    <x v="68"/>
    <d v="2021-06-25T00:00:00"/>
    <d v="2021-06-25T00:00:00"/>
    <n v="1413.73"/>
    <n v="1413.73"/>
    <s v="NL19RABO0312303726"/>
    <s v="Vacansoleil B.V."/>
    <s v="IN"/>
    <s v="SALARIS"/>
    <s v="salaris"/>
    <s v="RABONL2U"/>
    <s v="sb"/>
    <m/>
    <s v="2D8C4EB945D6C41D8F44388611537917"/>
    <m/>
    <m/>
    <m/>
    <s v="Salaris juni 2021"/>
    <s v=" "/>
    <m/>
  </r>
  <r>
    <n v="2908"/>
    <x v="3"/>
    <m/>
    <x v="5"/>
    <x v="69"/>
    <d v="2021-07-26T00:00:00"/>
    <d v="2021-07-26T00:00:00"/>
    <n v="1413.73"/>
    <n v="1413.73"/>
    <s v="NL19RABO0312303726"/>
    <s v="Vacansoleil B.V."/>
    <s v="IN"/>
    <s v="SALARIS"/>
    <s v="salaris"/>
    <s v="RABONL2U"/>
    <s v="sb"/>
    <m/>
    <s v="DEE3F9A2425BF4238A71E7BD9E1FEE00"/>
    <m/>
    <m/>
    <m/>
    <s v="Salaris juli 2021"/>
    <s v=" "/>
    <m/>
  </r>
  <r>
    <n v="2942"/>
    <x v="3"/>
    <m/>
    <x v="5"/>
    <x v="70"/>
    <d v="2021-08-25T00:00:00"/>
    <d v="2021-08-25T00:00:00"/>
    <n v="1418.23"/>
    <n v="1418.23"/>
    <s v="NL19RABO0312303726"/>
    <s v="Vacansoleil B.V."/>
    <s v="IN"/>
    <s v="SALARIS"/>
    <s v="salaris"/>
    <s v="RABONL2U"/>
    <s v="sb"/>
    <m/>
    <s v="3F67E964473D6CE9DF9A42B0262D544E"/>
    <m/>
    <m/>
    <m/>
    <s v="Salaris augustus 2021"/>
    <s v=" "/>
    <m/>
  </r>
  <r>
    <n v="2986"/>
    <x v="3"/>
    <m/>
    <x v="5"/>
    <x v="64"/>
    <d v="2021-09-24T00:00:00"/>
    <d v="2021-09-24T00:00:00"/>
    <n v="2058.75"/>
    <n v="2058.75"/>
    <s v="NL19RABO0312303726"/>
    <s v="Vacansoleil B.V."/>
    <s v="IN"/>
    <s v="SALARIS"/>
    <s v="salaris"/>
    <m/>
    <m/>
    <s v="CA3FE38F4D4BB2D843956FB956DB251F"/>
    <m/>
    <m/>
    <m/>
    <s v="Salaris september 2021"/>
    <s v=" "/>
    <m/>
    <m/>
  </r>
  <r>
    <n v="3061"/>
    <x v="3"/>
    <m/>
    <x v="5"/>
    <x v="25"/>
    <d v="2021-10-25T00:00:00"/>
    <d v="2021-10-25T00:00:00"/>
    <n v="314.45999999999998"/>
    <n v="314.45999999999998"/>
    <s v="NL19RABO0312303726"/>
    <s v="Vacansoleil B.V."/>
    <s v="IN"/>
    <s v="SALARIS"/>
    <s v="salaris"/>
    <s v="sb"/>
    <m/>
    <s v="D0D08F70481B0843A0D929962EB72FE0"/>
    <m/>
    <m/>
    <m/>
    <s v="Salaris oktober 2021"/>
    <s v=" "/>
    <m/>
    <m/>
  </r>
  <r>
    <n v="3149"/>
    <x v="3"/>
    <m/>
    <x v="5"/>
    <x v="27"/>
    <d v="2021-12-23T00:00:00"/>
    <d v="2021-12-23T00:00:00"/>
    <n v="742.28"/>
    <n v="742.28"/>
    <s v="NL19RABO0312303726"/>
    <s v="Vacansoleil B.V."/>
    <s v="IN"/>
    <s v="SALARIS"/>
    <s v="salaris"/>
    <s v="sb"/>
    <m/>
    <s v="FBA70C7F4627F2DE926F3A303FF1BD52"/>
    <m/>
    <m/>
    <m/>
    <s v="Salaris december 2021"/>
    <s v=" "/>
    <m/>
    <m/>
  </r>
  <r>
    <n v="3267"/>
    <x v="3"/>
    <m/>
    <x v="6"/>
    <x v="28"/>
    <d v="2022-01-05T00:00:00"/>
    <d v="2022-01-05T00:00:00"/>
    <n v="47.49"/>
    <n v="47.49"/>
    <s v="NL19RABO0312303726"/>
    <s v="Vacansoleil B.V."/>
    <s v="IN"/>
    <s v="SALARIS"/>
    <s v="salaris"/>
    <s v="sb"/>
    <m/>
    <s v="13AA90244AF24E29A9438283DD861F79"/>
    <m/>
    <m/>
    <m/>
    <s v="Salaris december 2021"/>
    <s v=" "/>
    <m/>
    <m/>
  </r>
  <r>
    <n v="202208044"/>
    <x v="3"/>
    <s v="EUR"/>
    <x v="6"/>
    <x v="71"/>
    <d v="2022-06-24T00:00:00"/>
    <d v="2022-06-24T00:00:00"/>
    <n v="1467.37"/>
    <n v="1467.37"/>
    <s v="NL19RABO0312303726"/>
    <s v="Vacansoleil B.V."/>
    <s v="IN"/>
    <s v="SALARIS"/>
    <s v="salaris"/>
    <s v="sb"/>
    <m/>
    <s v="A20883D448145ED2676599A0D9E72EE5"/>
    <m/>
    <m/>
    <m/>
    <s v="Salaris Juni 2022"/>
    <s v=" "/>
    <m/>
    <m/>
  </r>
  <r>
    <n v="202208077"/>
    <x v="3"/>
    <s v="EUR"/>
    <x v="6"/>
    <x v="72"/>
    <d v="2022-07-13T00:00:00"/>
    <d v="2022-07-14T00:00:00"/>
    <n v="-33.85"/>
    <n v="33.85"/>
    <s v="NL92INGB0005302809"/>
    <s v="Dienst Justis via ING"/>
    <s v="IN"/>
    <s v="SALARIS"/>
    <s v="salaris"/>
    <s v="id"/>
    <m/>
    <s v="13-07-2022 23:40 0051100121293423"/>
    <m/>
    <m/>
    <m/>
    <s v="202207132340184663404202 0051100121293423 Verklaring Omtrent het Gedrag Dienst Justis x4934 pasnr.032"/>
    <s v=" "/>
    <m/>
    <m/>
  </r>
  <r>
    <n v="202208093"/>
    <x v="3"/>
    <s v="EUR"/>
    <x v="6"/>
    <x v="72"/>
    <d v="2022-07-25T00:00:00"/>
    <d v="2022-07-25T00:00:00"/>
    <n v="1451.63"/>
    <n v="1451.63"/>
    <s v="NL19RABO0312303726"/>
    <s v="Vacansoleil B.V."/>
    <s v="IN"/>
    <s v="SALARIS"/>
    <s v="salaris"/>
    <s v="sb"/>
    <m/>
    <s v="FF90477A4B377D60A673E9D0F5AB4EF0"/>
    <m/>
    <m/>
    <m/>
    <s v="Salaris Juli 2022"/>
    <s v=" "/>
    <m/>
    <m/>
  </r>
  <r>
    <n v="202208161"/>
    <x v="3"/>
    <s v="EUR"/>
    <x v="6"/>
    <x v="40"/>
    <d v="2022-08-25T00:00:00"/>
    <d v="2022-08-22T00:00:00"/>
    <n v="1627.63"/>
    <n v="1627.63"/>
    <m/>
    <s v="Vacansoleil B.V."/>
    <s v="IN"/>
    <s v="SALARIS"/>
    <s v="salaris"/>
    <s v="cb"/>
    <m/>
    <m/>
    <m/>
    <m/>
    <m/>
    <m/>
    <m/>
    <m/>
    <m/>
  </r>
  <r>
    <n v="202210044"/>
    <x v="3"/>
    <s v="EUR"/>
    <x v="6"/>
    <x v="73"/>
    <d v="2022-09-26T00:00:00"/>
    <d v="2022-09-26T00:00:00"/>
    <n v="1559.06"/>
    <n v="1559.06"/>
    <s v="NL19RABO0312303726"/>
    <s v="Vacansoleil B.V."/>
    <s v="IN"/>
    <s v="SALARIS"/>
    <s v="salaris"/>
    <s v="sb"/>
    <m/>
    <s v="BCB02E3241D7EBD5DCA4EAAB5927BFCB"/>
    <m/>
    <m/>
    <m/>
    <s v="Salaris September 2022"/>
    <s v=" "/>
    <m/>
    <m/>
  </r>
  <r>
    <n v="202301036"/>
    <x v="3"/>
    <s v="EUR"/>
    <x v="6"/>
    <x v="34"/>
    <d v="2022-10-25T00:00:00"/>
    <d v="2022-10-25T00:00:00"/>
    <n v="764.13"/>
    <m/>
    <s v="NL19RABO0312303726"/>
    <s v="Vacansoleil B.V."/>
    <s v="IN"/>
    <s v="SALARIS"/>
    <s v="salaris"/>
    <s v="sb"/>
    <m/>
    <s v="2290007E47140536124787BD6B2E97C6"/>
    <m/>
    <m/>
    <m/>
    <s v="Salaris Oktober 2022"/>
    <s v=" "/>
    <m/>
    <m/>
  </r>
  <r>
    <n v="202301077"/>
    <x v="3"/>
    <s v="EUR"/>
    <x v="6"/>
    <x v="35"/>
    <d v="2022-11-25T00:00:00"/>
    <d v="2022-11-25T00:00:00"/>
    <n v="0.55000000000000004"/>
    <m/>
    <s v="NL19RABO0312303726"/>
    <s v="Vacansoleil B.V."/>
    <s v="IN"/>
    <s v="SALARIS"/>
    <s v="salaris"/>
    <s v="sb"/>
    <m/>
    <s v="583100174B2215D5E8AE6AE086EA0178"/>
    <m/>
    <m/>
    <m/>
    <s v="Salaris November 2022"/>
    <s v=" "/>
    <m/>
    <m/>
  </r>
  <r>
    <n v="202305009"/>
    <x v="3"/>
    <s v="EUR"/>
    <x v="0"/>
    <x v="42"/>
    <d v="2023-01-18T00:00:00"/>
    <d v="2023-01-19T00:00:00"/>
    <n v="-33.85"/>
    <n v="415.64"/>
    <s v="NL92INGB0005302809"/>
    <s v="Dienst Justis via ING"/>
    <s v="IN"/>
    <s v="SALARIS"/>
    <s v="salaris"/>
    <n v="415.64"/>
    <m/>
    <s v="18-01-2023 18:17 0051100235665089"/>
    <m/>
    <m/>
    <m/>
    <s v="202301181817183594087398 0051100235665089 Verklaring Omtrent het Gedrag Dienst Justis x4934 pasnr.032"/>
    <s v=" "/>
    <m/>
    <m/>
  </r>
  <r>
    <n v="202305055"/>
    <x v="3"/>
    <s v="EUR"/>
    <x v="0"/>
    <x v="74"/>
    <d v="2023-03-24T00:00:00"/>
    <d v="2023-03-24T00:00:00"/>
    <n v="2103.2399999999998"/>
    <n v="2518.14"/>
    <s v="NL19RABO0312303726"/>
    <s v="Vacansoleil B.V."/>
    <s v="IN"/>
    <s v="SALARIS"/>
    <s v="salaris"/>
    <n v="2518.14"/>
    <m/>
    <s v="82276511461D350D80BBF1AAD97EBD6D"/>
    <m/>
    <m/>
    <m/>
    <s v="Salaris maart"/>
    <s v=" "/>
    <m/>
    <m/>
  </r>
  <r>
    <n v="202305100"/>
    <x v="3"/>
    <s v="EUR"/>
    <x v="0"/>
    <x v="75"/>
    <d v="2023-04-25T00:00:00"/>
    <d v="2023-04-25T00:00:00"/>
    <n v="1919.59"/>
    <n v="2097.75"/>
    <s v="NL19RABO0312303726"/>
    <s v="Vacansoleil B.V."/>
    <s v="IN"/>
    <s v="SALARIS"/>
    <s v="salaris"/>
    <n v="2097.75"/>
    <m/>
    <s v="B8AEDD2042F3D20B61C05DBBA5F87425"/>
    <m/>
    <m/>
    <m/>
    <s v="Salaris april"/>
    <s v=" "/>
    <m/>
    <m/>
  </r>
  <r>
    <n v="89"/>
    <x v="1"/>
    <m/>
    <x v="1"/>
    <x v="4"/>
    <d v="2017-11-06T00:00:00"/>
    <d v="2017-11-06T00:00:00"/>
    <n v="-4.82"/>
    <n v="4.82"/>
    <m/>
    <s v="FACTURE CARTE DU 021117 SUBWAY CARTE 4974XXXXXXXX8716"/>
    <s v="UIT"/>
    <s v="UITGAAN"/>
    <s v="uitgaan"/>
    <m/>
    <m/>
    <m/>
    <m/>
    <m/>
    <m/>
    <m/>
    <m/>
    <m/>
    <m/>
  </r>
  <r>
    <n v="98"/>
    <x v="1"/>
    <m/>
    <x v="1"/>
    <x v="5"/>
    <d v="2017-12-19T00:00:00"/>
    <d v="2017-12-19T00:00:00"/>
    <n v="-3.89"/>
    <n v="3.89"/>
    <m/>
    <s v="FACTURE CARTE DU 171217 AIRPORT TEA COF CARTE 4974XXXX"/>
    <s v="UIT"/>
    <s v="UITGAAN"/>
    <s v="uitgaan"/>
    <m/>
    <m/>
    <m/>
    <m/>
    <m/>
    <m/>
    <m/>
    <m/>
    <m/>
    <m/>
  </r>
  <r>
    <n v="101"/>
    <x v="1"/>
    <m/>
    <x v="1"/>
    <x v="5"/>
    <d v="2017-12-22T00:00:00"/>
    <d v="2017-12-22T00:00:00"/>
    <n v="-4.29"/>
    <n v="4.29"/>
    <m/>
    <s v="FACTURE CARTE DU 181217 STARBUCKS-KLIA CARTE 4974XXXXX"/>
    <s v="UIT"/>
    <s v="UITGAAN"/>
    <s v="uitgaan"/>
    <m/>
    <m/>
    <m/>
    <m/>
    <m/>
    <m/>
    <m/>
    <m/>
    <m/>
    <m/>
  </r>
  <r>
    <n v="107"/>
    <x v="5"/>
    <m/>
    <x v="1"/>
    <x v="43"/>
    <d v="2017-03-10T00:00:00"/>
    <d v="2017-03-10T00:00:00"/>
    <n v="-0.4"/>
    <n v="0.4"/>
    <m/>
    <s v="broodje soep"/>
    <s v="UIT"/>
    <s v="UITGAAN"/>
    <s v="snack"/>
    <m/>
    <m/>
    <m/>
    <m/>
    <m/>
    <m/>
    <m/>
    <m/>
    <m/>
    <m/>
  </r>
  <r>
    <n v="109"/>
    <x v="5"/>
    <m/>
    <x v="1"/>
    <x v="43"/>
    <d v="2017-03-18T00:00:00"/>
    <d v="2017-03-18T00:00:00"/>
    <n v="-5.7"/>
    <n v="5.7"/>
    <m/>
    <s v="doppio"/>
    <s v="UIT"/>
    <s v="UITGAAN"/>
    <s v="espresso"/>
    <m/>
    <m/>
    <m/>
    <m/>
    <m/>
    <m/>
    <m/>
    <m/>
    <m/>
    <m/>
  </r>
  <r>
    <n v="114"/>
    <x v="5"/>
    <m/>
    <x v="1"/>
    <x v="43"/>
    <d v="2017-03-27T00:00:00"/>
    <d v="2017-03-27T00:00:00"/>
    <n v="-2"/>
    <n v="2"/>
    <m/>
    <s v="espresso msk"/>
    <s v="UIT"/>
    <s v="UITGAAN"/>
    <s v="espresso"/>
    <m/>
    <m/>
    <m/>
    <m/>
    <m/>
    <m/>
    <m/>
    <m/>
    <m/>
    <m/>
  </r>
  <r>
    <n v="115"/>
    <x v="5"/>
    <m/>
    <x v="1"/>
    <x v="43"/>
    <d v="2017-03-27T00:00:00"/>
    <d v="2017-03-27T00:00:00"/>
    <n v="-2.2999999999999998"/>
    <n v="2.2999999999999998"/>
    <m/>
    <s v="espresso vliegveld"/>
    <s v="UIT"/>
    <s v="UITGAAN"/>
    <s v="espresso"/>
    <m/>
    <m/>
    <m/>
    <m/>
    <m/>
    <m/>
    <m/>
    <m/>
    <m/>
    <m/>
  </r>
  <r>
    <n v="118"/>
    <x v="5"/>
    <m/>
    <x v="1"/>
    <x v="43"/>
    <d v="2017-03-27T00:00:00"/>
    <d v="2017-03-27T00:00:00"/>
    <n v="-1.3"/>
    <n v="1.3"/>
    <m/>
    <s v="snickers vliegveld"/>
    <s v="UIT"/>
    <s v="UITGAAN"/>
    <s v="snack"/>
    <m/>
    <m/>
    <m/>
    <m/>
    <m/>
    <m/>
    <m/>
    <m/>
    <m/>
    <m/>
  </r>
  <r>
    <n v="120"/>
    <x v="5"/>
    <m/>
    <x v="1"/>
    <x v="43"/>
    <d v="2017-03-28T00:00:00"/>
    <d v="2017-03-28T00:00:00"/>
    <n v="-3.5"/>
    <n v="3.5"/>
    <m/>
    <s v="espresso+suppli"/>
    <s v="UIT"/>
    <s v="UITGAAN"/>
    <s v="espresso"/>
    <m/>
    <m/>
    <m/>
    <m/>
    <m/>
    <m/>
    <m/>
    <m/>
    <m/>
    <m/>
  </r>
  <r>
    <n v="121"/>
    <x v="5"/>
    <m/>
    <x v="1"/>
    <x v="43"/>
    <d v="2017-03-28T00:00:00"/>
    <d v="2017-03-28T00:00:00"/>
    <n v="-15"/>
    <n v="15"/>
    <m/>
    <s v="i cugini"/>
    <s v="UIT"/>
    <s v="UITGAAN"/>
    <s v="restaurant"/>
    <m/>
    <m/>
    <m/>
    <m/>
    <m/>
    <m/>
    <m/>
    <m/>
    <m/>
    <m/>
  </r>
  <r>
    <n v="123"/>
    <x v="5"/>
    <m/>
    <x v="1"/>
    <x v="43"/>
    <d v="2017-03-31T00:00:00"/>
    <d v="2017-03-31T00:00:00"/>
    <n v="-1.8"/>
    <n v="1.8"/>
    <m/>
    <s v="espresoo 30/3"/>
    <s v="UIT"/>
    <s v="UITGAAN"/>
    <s v="espresso"/>
    <m/>
    <m/>
    <m/>
    <m/>
    <m/>
    <m/>
    <m/>
    <m/>
    <m/>
    <m/>
  </r>
  <r>
    <n v="124"/>
    <x v="5"/>
    <m/>
    <x v="1"/>
    <x v="43"/>
    <d v="2017-03-31T00:00:00"/>
    <d v="2017-03-31T00:00:00"/>
    <n v="-3.4"/>
    <n v="3.4"/>
    <m/>
    <s v="espresso+capp 1/4"/>
    <s v="UIT"/>
    <s v="UITGAAN"/>
    <s v="espresso"/>
    <m/>
    <m/>
    <m/>
    <m/>
    <m/>
    <m/>
    <m/>
    <m/>
    <m/>
    <m/>
  </r>
  <r>
    <n v="125"/>
    <x v="5"/>
    <m/>
    <x v="1"/>
    <x v="43"/>
    <d v="2017-03-31T00:00:00"/>
    <d v="2017-03-31T00:00:00"/>
    <n v="-1.8"/>
    <n v="1.8"/>
    <m/>
    <s v="espresoo 30/3"/>
    <s v="UIT"/>
    <s v="UITGAAN"/>
    <s v="espresso"/>
    <m/>
    <m/>
    <m/>
    <m/>
    <m/>
    <m/>
    <m/>
    <m/>
    <m/>
    <m/>
  </r>
  <r>
    <n v="126"/>
    <x v="5"/>
    <m/>
    <x v="1"/>
    <x v="43"/>
    <d v="2017-03-31T00:00:00"/>
    <d v="2017-03-31T00:00:00"/>
    <n v="-3.4"/>
    <n v="3.4"/>
    <m/>
    <s v="espresso+capp 1/4"/>
    <s v="UIT"/>
    <s v="UITGAAN"/>
    <s v="espresso"/>
    <m/>
    <m/>
    <m/>
    <m/>
    <m/>
    <m/>
    <m/>
    <m/>
    <m/>
    <m/>
  </r>
  <r>
    <n v="128"/>
    <x v="5"/>
    <m/>
    <x v="1"/>
    <x v="44"/>
    <d v="2017-04-01T00:00:00"/>
    <d v="2017-04-01T00:00:00"/>
    <n v="-4"/>
    <n v="4"/>
    <m/>
    <s v="cafe roscioli"/>
    <s v="UIT"/>
    <s v="UITGAAN"/>
    <s v="espresso"/>
    <m/>
    <m/>
    <m/>
    <m/>
    <m/>
    <m/>
    <m/>
    <m/>
    <m/>
    <m/>
  </r>
  <r>
    <n v="131"/>
    <x v="5"/>
    <m/>
    <x v="1"/>
    <x v="44"/>
    <d v="2017-04-01T00:00:00"/>
    <d v="2017-04-01T00:00:00"/>
    <n v="-3"/>
    <n v="3"/>
    <m/>
    <s v="tiger nootjes"/>
    <s v="UIT"/>
    <s v="UITGAAN"/>
    <s v="snack"/>
    <m/>
    <m/>
    <m/>
    <m/>
    <m/>
    <m/>
    <m/>
    <m/>
    <m/>
    <m/>
  </r>
  <r>
    <n v="132"/>
    <x v="5"/>
    <m/>
    <x v="1"/>
    <x v="44"/>
    <d v="2017-04-01T00:00:00"/>
    <d v="2017-04-01T00:00:00"/>
    <n v="-1"/>
    <n v="1"/>
    <m/>
    <s v="cafetramdepot"/>
    <s v="UIT"/>
    <s v="UITGAAN"/>
    <s v="espresso"/>
    <m/>
    <m/>
    <m/>
    <m/>
    <m/>
    <m/>
    <m/>
    <m/>
    <m/>
    <m/>
  </r>
  <r>
    <n v="134"/>
    <x v="5"/>
    <m/>
    <x v="1"/>
    <x v="44"/>
    <d v="2017-04-01T00:00:00"/>
    <d v="2017-04-01T00:00:00"/>
    <n v="-1.8"/>
    <n v="1.8"/>
    <m/>
    <s v="pizza al taglio 5/4"/>
    <s v="UIT"/>
    <s v="UITGAAN"/>
    <s v="snack"/>
    <m/>
    <m/>
    <m/>
    <m/>
    <m/>
    <m/>
    <m/>
    <m/>
    <m/>
    <m/>
  </r>
  <r>
    <n v="136"/>
    <x v="5"/>
    <m/>
    <x v="1"/>
    <x v="44"/>
    <d v="2017-04-02T00:00:00"/>
    <d v="2017-04-02T00:00:00"/>
    <n v="-1.8"/>
    <n v="1.8"/>
    <m/>
    <s v="espresso oasi 2x"/>
    <s v="UIT"/>
    <s v="UITGAAN"/>
    <s v="espresso"/>
    <m/>
    <m/>
    <m/>
    <m/>
    <m/>
    <m/>
    <m/>
    <m/>
    <m/>
    <m/>
  </r>
  <r>
    <n v="137"/>
    <x v="5"/>
    <m/>
    <x v="1"/>
    <x v="44"/>
    <d v="2017-04-07T00:00:00"/>
    <d v="2017-04-07T00:00:00"/>
    <n v="-4"/>
    <n v="4"/>
    <m/>
    <s v="favoloso /74 6/4"/>
    <s v="UIT"/>
    <s v="UITGAAN"/>
    <s v="uitgaan"/>
    <m/>
    <m/>
    <m/>
    <m/>
    <m/>
    <m/>
    <m/>
    <m/>
    <m/>
    <m/>
  </r>
  <r>
    <n v="138"/>
    <x v="5"/>
    <m/>
    <x v="1"/>
    <x v="44"/>
    <d v="2017-04-07T00:00:00"/>
    <d v="2017-04-07T00:00:00"/>
    <n v="-11"/>
    <n v="11"/>
    <m/>
    <s v="i cugini 5/4"/>
    <s v="UIT"/>
    <s v="UITGAAN"/>
    <s v="restaurant"/>
    <m/>
    <m/>
    <m/>
    <m/>
    <m/>
    <m/>
    <m/>
    <m/>
    <m/>
    <m/>
  </r>
  <r>
    <n v="139"/>
    <x v="5"/>
    <m/>
    <x v="1"/>
    <x v="44"/>
    <d v="2017-04-07T00:00:00"/>
    <d v="2017-04-07T00:00:00"/>
    <n v="-3"/>
    <n v="3"/>
    <m/>
    <s v="barbecue"/>
    <s v="UIT"/>
    <s v="UITGAAN"/>
    <s v="uitgaan"/>
    <m/>
    <m/>
    <m/>
    <m/>
    <m/>
    <m/>
    <m/>
    <m/>
    <m/>
    <m/>
  </r>
  <r>
    <n v="142"/>
    <x v="5"/>
    <m/>
    <x v="1"/>
    <x v="44"/>
    <d v="2017-04-07T00:00:00"/>
    <d v="2017-04-07T00:00:00"/>
    <n v="-2"/>
    <n v="2"/>
    <m/>
    <s v="koffie"/>
    <s v="UIT"/>
    <s v="UITGAAN"/>
    <s v="espresso"/>
    <m/>
    <m/>
    <m/>
    <m/>
    <m/>
    <m/>
    <m/>
    <m/>
    <m/>
    <m/>
  </r>
  <r>
    <n v="143"/>
    <x v="5"/>
    <m/>
    <x v="1"/>
    <x v="44"/>
    <d v="2017-04-07T00:00:00"/>
    <d v="2017-04-07T00:00:00"/>
    <n v="-2"/>
    <n v="2"/>
    <m/>
    <s v="koffie"/>
    <s v="UIT"/>
    <s v="UITGAAN"/>
    <s v="espresso"/>
    <m/>
    <m/>
    <m/>
    <m/>
    <m/>
    <m/>
    <m/>
    <m/>
    <m/>
    <m/>
  </r>
  <r>
    <n v="144"/>
    <x v="5"/>
    <m/>
    <x v="1"/>
    <x v="44"/>
    <d v="2017-04-07T00:00:00"/>
    <d v="2017-04-07T00:00:00"/>
    <n v="-1.5"/>
    <n v="1.5"/>
    <m/>
    <s v="espresso tram depot"/>
    <s v="UIT"/>
    <s v="UITGAAN"/>
    <s v="espresso"/>
    <m/>
    <m/>
    <m/>
    <m/>
    <m/>
    <m/>
    <m/>
    <m/>
    <m/>
    <m/>
  </r>
  <r>
    <n v="145"/>
    <x v="5"/>
    <m/>
    <x v="1"/>
    <x v="44"/>
    <d v="2017-04-07T00:00:00"/>
    <d v="2017-04-07T00:00:00"/>
    <n v="-9.5"/>
    <n v="9.5"/>
    <m/>
    <s v="pizza metmarat"/>
    <s v="UIT"/>
    <s v="UITGAAN"/>
    <s v="restaurant"/>
    <m/>
    <m/>
    <m/>
    <m/>
    <m/>
    <m/>
    <m/>
    <m/>
    <m/>
    <m/>
  </r>
  <r>
    <n v="147"/>
    <x v="5"/>
    <m/>
    <x v="1"/>
    <x v="44"/>
    <d v="2017-04-07T00:00:00"/>
    <d v="2017-04-07T00:00:00"/>
    <n v="-2.2999999999999998"/>
    <n v="2.2999999999999998"/>
    <m/>
    <s v="koffie riscioli"/>
    <s v="UIT"/>
    <s v="UITGAAN"/>
    <s v="espresso"/>
    <m/>
    <m/>
    <m/>
    <m/>
    <m/>
    <m/>
    <m/>
    <m/>
    <m/>
    <m/>
  </r>
  <r>
    <n v="150"/>
    <x v="5"/>
    <m/>
    <x v="1"/>
    <x v="44"/>
    <d v="2017-04-11T00:00:00"/>
    <d v="2017-04-11T00:00:00"/>
    <n v="-1"/>
    <n v="1"/>
    <m/>
    <s v="espresso"/>
    <s v="UIT"/>
    <s v="UITGAAN"/>
    <s v="espresso"/>
    <m/>
    <m/>
    <m/>
    <m/>
    <m/>
    <m/>
    <m/>
    <m/>
    <m/>
    <m/>
  </r>
  <r>
    <n v="153"/>
    <x v="5"/>
    <m/>
    <x v="1"/>
    <x v="44"/>
    <d v="2017-04-11T00:00:00"/>
    <d v="2017-04-11T00:00:00"/>
    <n v="-1"/>
    <n v="1"/>
    <m/>
    <s v="espresso"/>
    <s v="UIT"/>
    <s v="UITGAAN"/>
    <s v="espresso"/>
    <m/>
    <m/>
    <m/>
    <m/>
    <m/>
    <m/>
    <m/>
    <m/>
    <m/>
    <m/>
  </r>
  <r>
    <n v="154"/>
    <x v="5"/>
    <m/>
    <x v="1"/>
    <x v="44"/>
    <d v="2017-04-14T00:00:00"/>
    <d v="2017-04-14T00:00:00"/>
    <n v="-10"/>
    <n v="10"/>
    <m/>
    <s v="pizza favoloso"/>
    <s v="UIT"/>
    <s v="UITGAAN"/>
    <s v="restaurant"/>
    <m/>
    <m/>
    <m/>
    <m/>
    <m/>
    <m/>
    <m/>
    <m/>
    <m/>
    <m/>
  </r>
  <r>
    <n v="157"/>
    <x v="5"/>
    <m/>
    <x v="1"/>
    <x v="44"/>
    <d v="2017-04-17T00:00:00"/>
    <d v="2017-04-17T00:00:00"/>
    <n v="-1"/>
    <n v="1"/>
    <m/>
    <s v="koffie"/>
    <s v="UIT"/>
    <s v="UITGAAN"/>
    <s v="espresso"/>
    <m/>
    <m/>
    <m/>
    <m/>
    <m/>
    <m/>
    <m/>
    <m/>
    <m/>
    <m/>
  </r>
  <r>
    <n v="160"/>
    <x v="5"/>
    <m/>
    <x v="1"/>
    <x v="44"/>
    <d v="2017-04-17T00:00:00"/>
    <d v="2017-04-17T00:00:00"/>
    <n v="-2"/>
    <n v="2"/>
    <m/>
    <s v="favoloso 17/4"/>
    <s v="UIT"/>
    <s v="UITGAAN"/>
    <s v="uitgaan"/>
    <m/>
    <m/>
    <m/>
    <m/>
    <m/>
    <m/>
    <m/>
    <m/>
    <m/>
    <m/>
  </r>
  <r>
    <n v="161"/>
    <x v="5"/>
    <m/>
    <x v="1"/>
    <x v="44"/>
    <d v="2017-04-17T00:00:00"/>
    <d v="2017-04-17T00:00:00"/>
    <n v="-0.5"/>
    <n v="0.5"/>
    <m/>
    <s v="wc"/>
    <s v="UIT"/>
    <s v="UITGAAN"/>
    <s v="uitgaan"/>
    <m/>
    <m/>
    <m/>
    <m/>
    <m/>
    <m/>
    <m/>
    <m/>
    <m/>
    <m/>
  </r>
  <r>
    <n v="163"/>
    <x v="5"/>
    <m/>
    <x v="1"/>
    <x v="44"/>
    <d v="2017-04-17T00:00:00"/>
    <d v="2017-04-17T00:00:00"/>
    <n v="-2.15"/>
    <n v="2.15"/>
    <m/>
    <s v="pizza florida"/>
    <s v="UIT"/>
    <s v="UITGAAN"/>
    <s v="snack"/>
    <m/>
    <m/>
    <m/>
    <m/>
    <m/>
    <m/>
    <m/>
    <m/>
    <m/>
    <m/>
  </r>
  <r>
    <n v="164"/>
    <x v="5"/>
    <m/>
    <x v="1"/>
    <x v="44"/>
    <d v="2017-04-17T00:00:00"/>
    <d v="2017-04-17T00:00:00"/>
    <n v="-12"/>
    <n v="12"/>
    <m/>
    <s v="i cugini"/>
    <s v="UIT"/>
    <s v="UITGAAN"/>
    <s v="restaurant"/>
    <m/>
    <m/>
    <m/>
    <m/>
    <m/>
    <m/>
    <m/>
    <m/>
    <m/>
    <m/>
  </r>
  <r>
    <n v="165"/>
    <x v="5"/>
    <m/>
    <x v="1"/>
    <x v="44"/>
    <d v="2017-04-17T00:00:00"/>
    <d v="2017-04-17T00:00:00"/>
    <n v="-2"/>
    <n v="2"/>
    <m/>
    <s v="espresso @ faro"/>
    <s v="UIT"/>
    <s v="UITGAAN"/>
    <s v="espresso"/>
    <m/>
    <m/>
    <m/>
    <m/>
    <m/>
    <m/>
    <m/>
    <m/>
    <m/>
    <m/>
  </r>
  <r>
    <n v="166"/>
    <x v="5"/>
    <m/>
    <x v="1"/>
    <x v="44"/>
    <d v="2017-04-17T00:00:00"/>
    <d v="2017-04-17T00:00:00"/>
    <n v="-1"/>
    <n v="1"/>
    <m/>
    <s v="espresso @ shari vari"/>
    <s v="UIT"/>
    <s v="UITGAAN"/>
    <s v="espresso"/>
    <m/>
    <m/>
    <m/>
    <m/>
    <m/>
    <m/>
    <m/>
    <m/>
    <m/>
    <m/>
  </r>
  <r>
    <n v="167"/>
    <x v="5"/>
    <m/>
    <x v="1"/>
    <x v="44"/>
    <d v="2017-04-17T00:00:00"/>
    <d v="2017-04-17T00:00:00"/>
    <n v="-1"/>
    <n v="1"/>
    <m/>
    <s v="espresso"/>
    <s v="UIT"/>
    <s v="UITGAAN"/>
    <s v="espresso"/>
    <m/>
    <m/>
    <m/>
    <m/>
    <m/>
    <m/>
    <m/>
    <m/>
    <m/>
    <m/>
  </r>
  <r>
    <n v="170"/>
    <x v="5"/>
    <m/>
    <x v="1"/>
    <x v="44"/>
    <d v="2017-04-17T00:00:00"/>
    <d v="2017-04-17T00:00:00"/>
    <n v="-15"/>
    <n v="15"/>
    <m/>
    <s v="icugini 22/4"/>
    <s v="UIT"/>
    <s v="UITGAAN"/>
    <s v="uitgaan"/>
    <m/>
    <m/>
    <m/>
    <m/>
    <m/>
    <m/>
    <m/>
    <m/>
    <m/>
    <m/>
  </r>
  <r>
    <n v="171"/>
    <x v="5"/>
    <m/>
    <x v="1"/>
    <x v="44"/>
    <d v="2017-04-17T00:00:00"/>
    <d v="2017-04-17T00:00:00"/>
    <n v="-0.9"/>
    <n v="0.9"/>
    <m/>
    <s v="espre 20/4"/>
    <s v="UIT"/>
    <s v="UITGAAN"/>
    <s v="espresso"/>
    <m/>
    <m/>
    <m/>
    <m/>
    <m/>
    <m/>
    <m/>
    <m/>
    <m/>
    <m/>
  </r>
  <r>
    <n v="172"/>
    <x v="5"/>
    <m/>
    <x v="1"/>
    <x v="44"/>
    <d v="2017-04-17T00:00:00"/>
    <d v="2017-04-17T00:00:00"/>
    <n v="-4.5999999999999996"/>
    <n v="4.5999999999999996"/>
    <m/>
    <s v="favoloso 21/4 22/4 20/4"/>
    <s v="UIT"/>
    <s v="UITGAAN"/>
    <s v="uitgaan"/>
    <m/>
    <m/>
    <m/>
    <m/>
    <m/>
    <m/>
    <m/>
    <m/>
    <m/>
    <m/>
  </r>
  <r>
    <n v="178"/>
    <x v="5"/>
    <m/>
    <x v="1"/>
    <x v="44"/>
    <d v="2017-04-26T00:00:00"/>
    <d v="2017-04-26T00:00:00"/>
    <n v="-15"/>
    <n v="15"/>
    <m/>
    <s v="broidjemet romy"/>
    <s v="UIT"/>
    <s v="UITGAAN"/>
    <s v="uitgaan"/>
    <m/>
    <m/>
    <m/>
    <m/>
    <m/>
    <m/>
    <m/>
    <m/>
    <m/>
    <m/>
  </r>
  <r>
    <n v="179"/>
    <x v="5"/>
    <m/>
    <x v="1"/>
    <x v="44"/>
    <d v="2017-04-26T00:00:00"/>
    <d v="2017-04-26T00:00:00"/>
    <n v="-2"/>
    <n v="2"/>
    <m/>
    <s v="koffie 29/4"/>
    <s v="UIT"/>
    <s v="UITGAAN"/>
    <s v="espresso"/>
    <m/>
    <m/>
    <m/>
    <m/>
    <m/>
    <m/>
    <m/>
    <m/>
    <m/>
    <m/>
  </r>
  <r>
    <n v="180"/>
    <x v="5"/>
    <m/>
    <x v="1"/>
    <x v="44"/>
    <d v="2017-04-26T00:00:00"/>
    <d v="2017-04-26T00:00:00"/>
    <n v="-2"/>
    <n v="2"/>
    <m/>
    <s v="koffie 28/4 en27/4"/>
    <s v="UIT"/>
    <s v="UITGAAN"/>
    <s v="espresso"/>
    <m/>
    <m/>
    <m/>
    <m/>
    <m/>
    <m/>
    <m/>
    <m/>
    <m/>
    <m/>
  </r>
  <r>
    <n v="182"/>
    <x v="5"/>
    <m/>
    <x v="1"/>
    <x v="44"/>
    <d v="2017-04-26T00:00:00"/>
    <d v="2017-04-26T00:00:00"/>
    <n v="-1"/>
    <n v="1"/>
    <m/>
    <s v="koffie 30/4"/>
    <s v="UIT"/>
    <s v="UITGAAN"/>
    <s v="espresso"/>
    <m/>
    <m/>
    <m/>
    <m/>
    <m/>
    <m/>
    <m/>
    <m/>
    <m/>
    <m/>
  </r>
  <r>
    <n v="183"/>
    <x v="5"/>
    <m/>
    <x v="1"/>
    <x v="44"/>
    <d v="2017-04-26T00:00:00"/>
    <d v="2017-04-26T00:00:00"/>
    <n v="-20"/>
    <n v="20"/>
    <m/>
    <s v="rob pizza 30/4 +atac 29/4"/>
    <s v="UIT"/>
    <s v="UITGAAN"/>
    <s v="uitgaan"/>
    <m/>
    <m/>
    <m/>
    <m/>
    <m/>
    <m/>
    <m/>
    <m/>
    <m/>
    <m/>
  </r>
  <r>
    <n v="185"/>
    <x v="5"/>
    <m/>
    <x v="1"/>
    <x v="44"/>
    <d v="2017-04-26T00:00:00"/>
    <d v="2017-04-26T00:00:00"/>
    <n v="-5"/>
    <n v="5"/>
    <m/>
    <s v="tramezzino+espresoo 2/5"/>
    <s v="UIT"/>
    <s v="UITGAAN"/>
    <s v="uitgaan"/>
    <m/>
    <m/>
    <m/>
    <m/>
    <m/>
    <m/>
    <m/>
    <m/>
    <m/>
    <m/>
  </r>
  <r>
    <n v="186"/>
    <x v="5"/>
    <m/>
    <x v="1"/>
    <x v="44"/>
    <d v="2017-04-26T00:00:00"/>
    <d v="2017-04-26T00:00:00"/>
    <n v="-3"/>
    <n v="3"/>
    <m/>
    <s v="koffie 1/5 tm 35"/>
    <s v="UIT"/>
    <s v="UITGAAN"/>
    <s v="espresso"/>
    <m/>
    <m/>
    <m/>
    <m/>
    <m/>
    <m/>
    <m/>
    <m/>
    <m/>
    <m/>
  </r>
  <r>
    <n v="189"/>
    <x v="5"/>
    <m/>
    <x v="1"/>
    <x v="45"/>
    <d v="2017-05-02T00:00:00"/>
    <d v="2017-05-02T00:00:00"/>
    <n v="-3"/>
    <n v="3"/>
    <m/>
    <s v="capp + brioche5/5"/>
    <s v="UIT"/>
    <s v="UITGAAN"/>
    <s v="espresso"/>
    <m/>
    <m/>
    <m/>
    <m/>
    <m/>
    <m/>
    <m/>
    <m/>
    <m/>
    <m/>
  </r>
  <r>
    <n v="190"/>
    <x v="5"/>
    <m/>
    <x v="1"/>
    <x v="45"/>
    <d v="2017-05-02T00:00:00"/>
    <d v="2017-05-02T00:00:00"/>
    <n v="-1"/>
    <n v="1"/>
    <m/>
    <s v="koffie 5/5"/>
    <s v="UIT"/>
    <s v="UITGAAN"/>
    <s v="espresso"/>
    <m/>
    <m/>
    <m/>
    <m/>
    <m/>
    <m/>
    <m/>
    <m/>
    <m/>
    <m/>
  </r>
  <r>
    <n v="191"/>
    <x v="5"/>
    <m/>
    <x v="1"/>
    <x v="45"/>
    <d v="2017-05-02T00:00:00"/>
    <d v="2017-05-02T00:00:00"/>
    <n v="-2"/>
    <n v="2"/>
    <m/>
    <s v="capp 6/5"/>
    <s v="UIT"/>
    <s v="UITGAAN"/>
    <s v="espresso"/>
    <m/>
    <m/>
    <m/>
    <m/>
    <m/>
    <m/>
    <m/>
    <m/>
    <m/>
    <m/>
  </r>
  <r>
    <n v="195"/>
    <x v="5"/>
    <m/>
    <x v="1"/>
    <x v="45"/>
    <d v="2017-05-02T00:00:00"/>
    <d v="2017-05-02T00:00:00"/>
    <n v="-2"/>
    <n v="2"/>
    <m/>
    <s v="koffie 2x 4/5"/>
    <s v="UIT"/>
    <s v="UITGAAN"/>
    <s v="espresso"/>
    <m/>
    <m/>
    <m/>
    <m/>
    <m/>
    <m/>
    <m/>
    <m/>
    <m/>
    <m/>
  </r>
  <r>
    <n v="196"/>
    <x v="5"/>
    <m/>
    <x v="1"/>
    <x v="45"/>
    <d v="2017-05-02T00:00:00"/>
    <d v="2017-05-02T00:00:00"/>
    <n v="-5"/>
    <n v="5"/>
    <m/>
    <s v="wrap"/>
    <s v="UIT"/>
    <s v="UITGAAN"/>
    <s v="uitgaan"/>
    <m/>
    <m/>
    <m/>
    <m/>
    <m/>
    <m/>
    <m/>
    <m/>
    <m/>
    <m/>
  </r>
  <r>
    <n v="197"/>
    <x v="5"/>
    <m/>
    <x v="1"/>
    <x v="45"/>
    <d v="2017-05-02T00:00:00"/>
    <d v="2017-05-02T00:00:00"/>
    <n v="-3"/>
    <n v="3"/>
    <m/>
    <s v="spritz"/>
    <s v="UIT"/>
    <s v="UITGAAN"/>
    <s v="uitgaan"/>
    <m/>
    <m/>
    <m/>
    <m/>
    <m/>
    <m/>
    <m/>
    <m/>
    <m/>
    <m/>
  </r>
  <r>
    <n v="199"/>
    <x v="5"/>
    <m/>
    <x v="1"/>
    <x v="45"/>
    <d v="2017-05-02T00:00:00"/>
    <d v="2017-05-02T00:00:00"/>
    <n v="-0.8"/>
    <n v="0.8"/>
    <m/>
    <s v="aqya"/>
    <s v="UIT"/>
    <s v="UITGAAN"/>
    <s v="uitgaan"/>
    <m/>
    <m/>
    <m/>
    <m/>
    <m/>
    <m/>
    <m/>
    <m/>
    <m/>
    <m/>
  </r>
  <r>
    <n v="201"/>
    <x v="5"/>
    <m/>
    <x v="1"/>
    <x v="45"/>
    <d v="2017-05-02T00:00:00"/>
    <d v="2017-05-02T00:00:00"/>
    <n v="-1"/>
    <n v="1"/>
    <m/>
    <s v="espresso mercato centrale 7/5"/>
    <s v="UIT"/>
    <s v="UITGAAN"/>
    <s v="espresso"/>
    <m/>
    <m/>
    <m/>
    <m/>
    <m/>
    <m/>
    <m/>
    <m/>
    <m/>
    <m/>
  </r>
  <r>
    <n v="203"/>
    <x v="5"/>
    <m/>
    <x v="1"/>
    <x v="45"/>
    <d v="2017-05-02T00:00:00"/>
    <d v="2017-05-02T00:00:00"/>
    <n v="-1.93"/>
    <n v="1.93"/>
    <m/>
    <s v="salade rome 7/5"/>
    <s v="UIT"/>
    <s v="UITGAAN"/>
    <s v="uitgaan"/>
    <m/>
    <m/>
    <m/>
    <m/>
    <m/>
    <m/>
    <m/>
    <m/>
    <m/>
    <m/>
  </r>
  <r>
    <n v="204"/>
    <x v="5"/>
    <m/>
    <x v="1"/>
    <x v="45"/>
    <d v="2017-05-02T00:00:00"/>
    <d v="2017-05-02T00:00:00"/>
    <n v="-1"/>
    <n v="1"/>
    <m/>
    <s v="favoloso cornetto 9/5"/>
    <s v="UIT"/>
    <s v="UITGAAN"/>
    <s v="uitgaan"/>
    <m/>
    <m/>
    <m/>
    <m/>
    <m/>
    <m/>
    <m/>
    <m/>
    <m/>
    <m/>
  </r>
  <r>
    <n v="205"/>
    <x v="5"/>
    <m/>
    <x v="1"/>
    <x v="45"/>
    <d v="2017-05-09T00:00:00"/>
    <d v="2017-05-09T00:00:00"/>
    <n v="-5"/>
    <n v="5"/>
    <m/>
    <s v="100 montaditos"/>
    <s v="UIT"/>
    <s v="UITGAAN"/>
    <s v="uitgaan"/>
    <m/>
    <m/>
    <m/>
    <m/>
    <m/>
    <m/>
    <m/>
    <m/>
    <m/>
    <m/>
  </r>
  <r>
    <n v="206"/>
    <x v="5"/>
    <m/>
    <x v="1"/>
    <x v="45"/>
    <d v="2017-05-09T00:00:00"/>
    <d v="2017-05-09T00:00:00"/>
    <n v="-2"/>
    <n v="2"/>
    <m/>
    <s v="espresso "/>
    <s v="UIT"/>
    <s v="UITGAAN"/>
    <s v="espresso"/>
    <m/>
    <m/>
    <m/>
    <m/>
    <m/>
    <m/>
    <m/>
    <m/>
    <m/>
    <m/>
  </r>
  <r>
    <n v="209"/>
    <x v="5"/>
    <m/>
    <x v="1"/>
    <x v="45"/>
    <d v="2017-05-09T00:00:00"/>
    <d v="2017-05-09T00:00:00"/>
    <n v="-2"/>
    <n v="2"/>
    <m/>
    <s v="espresso 11/5"/>
    <s v="UIT"/>
    <s v="UITGAAN"/>
    <s v="espresso"/>
    <m/>
    <m/>
    <m/>
    <m/>
    <m/>
    <m/>
    <m/>
    <m/>
    <m/>
    <m/>
  </r>
  <r>
    <n v="213"/>
    <x v="5"/>
    <m/>
    <x v="1"/>
    <x v="45"/>
    <d v="2017-05-09T00:00:00"/>
    <d v="2017-05-09T00:00:00"/>
    <n v="-1.6"/>
    <n v="1.6"/>
    <m/>
    <s v="espresso 13/5"/>
    <s v="UIT"/>
    <s v="UITGAAN"/>
    <s v="espresso"/>
    <m/>
    <m/>
    <m/>
    <m/>
    <m/>
    <m/>
    <m/>
    <m/>
    <m/>
    <m/>
  </r>
  <r>
    <n v="214"/>
    <x v="5"/>
    <m/>
    <x v="1"/>
    <x v="45"/>
    <d v="2017-05-09T00:00:00"/>
    <d v="2017-05-09T00:00:00"/>
    <n v="-4"/>
    <n v="4"/>
    <m/>
    <s v="koffie 13/5"/>
    <s v="UIT"/>
    <s v="UITGAAN"/>
    <s v="espresso"/>
    <m/>
    <m/>
    <m/>
    <m/>
    <m/>
    <m/>
    <m/>
    <m/>
    <m/>
    <m/>
  </r>
  <r>
    <n v="215"/>
    <x v="5"/>
    <m/>
    <x v="1"/>
    <x v="45"/>
    <d v="2017-05-09T00:00:00"/>
    <d v="2017-05-09T00:00:00"/>
    <n v="-4.8"/>
    <n v="4.8"/>
    <m/>
    <s v="spritz 13/5"/>
    <s v="UIT"/>
    <s v="UITGAAN"/>
    <s v="uitgaan"/>
    <m/>
    <m/>
    <m/>
    <m/>
    <m/>
    <m/>
    <m/>
    <m/>
    <m/>
    <m/>
  </r>
  <r>
    <n v="216"/>
    <x v="5"/>
    <m/>
    <x v="1"/>
    <x v="45"/>
    <d v="2017-05-09T00:00:00"/>
    <d v="2017-05-09T00:00:00"/>
    <n v="-2.8"/>
    <n v="2.8"/>
    <m/>
    <s v="panino 13/5"/>
    <s v="UIT"/>
    <s v="UITGAAN"/>
    <s v="uitgaan"/>
    <m/>
    <m/>
    <m/>
    <m/>
    <m/>
    <m/>
    <m/>
    <m/>
    <m/>
    <m/>
  </r>
  <r>
    <n v="217"/>
    <x v="5"/>
    <m/>
    <x v="1"/>
    <x v="45"/>
    <d v="2017-05-13T00:00:00"/>
    <d v="2017-05-13T00:00:00"/>
    <n v="-1.8"/>
    <n v="1.8"/>
    <m/>
    <s v="koffie+water 13/5"/>
    <s v="UIT"/>
    <s v="UITGAAN"/>
    <s v="espresso"/>
    <m/>
    <m/>
    <m/>
    <m/>
    <m/>
    <m/>
    <m/>
    <m/>
    <m/>
    <m/>
  </r>
  <r>
    <n v="218"/>
    <x v="5"/>
    <m/>
    <x v="1"/>
    <x v="45"/>
    <d v="2017-05-13T00:00:00"/>
    <d v="2017-05-13T00:00:00"/>
    <n v="-13"/>
    <n v="13"/>
    <m/>
    <s v="pizza met sabrina"/>
    <s v="UIT"/>
    <s v="UITGAAN"/>
    <s v="restaurant"/>
    <m/>
    <m/>
    <m/>
    <m/>
    <m/>
    <m/>
    <m/>
    <m/>
    <m/>
    <m/>
  </r>
  <r>
    <n v="219"/>
    <x v="5"/>
    <m/>
    <x v="1"/>
    <x v="45"/>
    <d v="2017-05-13T00:00:00"/>
    <d v="2017-05-13T00:00:00"/>
    <n v="-3.5"/>
    <n v="3.5"/>
    <m/>
    <s v="pizza al taglio 16/5"/>
    <s v="UIT"/>
    <s v="UITGAAN"/>
    <s v="snack"/>
    <m/>
    <m/>
    <m/>
    <m/>
    <m/>
    <m/>
    <m/>
    <m/>
    <m/>
    <m/>
  </r>
  <r>
    <n v="220"/>
    <x v="5"/>
    <m/>
    <x v="1"/>
    <x v="45"/>
    <d v="2017-05-13T00:00:00"/>
    <d v="2017-05-13T00:00:00"/>
    <n v="-4.4000000000000004"/>
    <n v="4.4000000000000004"/>
    <m/>
    <s v="favoloso"/>
    <s v="UIT"/>
    <s v="UITGAAN"/>
    <s v="uitgaan"/>
    <m/>
    <m/>
    <m/>
    <m/>
    <m/>
    <m/>
    <m/>
    <m/>
    <m/>
    <m/>
  </r>
  <r>
    <n v="224"/>
    <x v="5"/>
    <m/>
    <x v="1"/>
    <x v="45"/>
    <d v="2017-05-17T00:00:00"/>
    <d v="2017-05-17T00:00:00"/>
    <n v="-2"/>
    <n v="2"/>
    <m/>
    <s v="sprite 17/5"/>
    <s v="UIT"/>
    <s v="UITGAAN"/>
    <s v="uitgaan"/>
    <m/>
    <m/>
    <m/>
    <m/>
    <m/>
    <m/>
    <m/>
    <m/>
    <m/>
    <m/>
  </r>
  <r>
    <n v="225"/>
    <x v="5"/>
    <m/>
    <x v="1"/>
    <x v="45"/>
    <d v="2017-05-17T00:00:00"/>
    <d v="2017-05-17T00:00:00"/>
    <n v="-1.8"/>
    <n v="1.8"/>
    <m/>
    <s v="ijsje 17/5"/>
    <s v="UIT"/>
    <s v="UITGAAN"/>
    <s v="snack"/>
    <m/>
    <m/>
    <m/>
    <m/>
    <m/>
    <m/>
    <m/>
    <m/>
    <m/>
    <m/>
  </r>
  <r>
    <n v="229"/>
    <x v="5"/>
    <m/>
    <x v="1"/>
    <x v="45"/>
    <d v="2017-05-17T00:00:00"/>
    <d v="2017-05-17T00:00:00"/>
    <n v="-4"/>
    <n v="4"/>
    <m/>
    <s v="faro espresso"/>
    <s v="UIT"/>
    <s v="UITGAAN"/>
    <s v="espresso"/>
    <m/>
    <m/>
    <m/>
    <m/>
    <m/>
    <m/>
    <m/>
    <m/>
    <m/>
    <m/>
  </r>
  <r>
    <n v="230"/>
    <x v="5"/>
    <m/>
    <x v="1"/>
    <x v="45"/>
    <d v="2017-05-17T00:00:00"/>
    <d v="2017-05-17T00:00:00"/>
    <n v="-2.2999999999999998"/>
    <n v="2.2999999999999998"/>
    <m/>
    <s v="pizza al taglio "/>
    <s v="UIT"/>
    <s v="UITGAAN"/>
    <s v="snack"/>
    <m/>
    <m/>
    <m/>
    <m/>
    <m/>
    <m/>
    <m/>
    <m/>
    <m/>
    <m/>
  </r>
  <r>
    <n v="232"/>
    <x v="5"/>
    <m/>
    <x v="1"/>
    <x v="45"/>
    <d v="2017-05-20T00:00:00"/>
    <d v="2017-05-20T00:00:00"/>
    <n v="-2"/>
    <n v="2"/>
    <m/>
    <s v="2 dgn espresso"/>
    <s v="UIT"/>
    <s v="UITGAAN"/>
    <s v="espresso"/>
    <m/>
    <m/>
    <m/>
    <m/>
    <m/>
    <m/>
    <m/>
    <m/>
    <m/>
    <m/>
  </r>
  <r>
    <n v="234"/>
    <x v="5"/>
    <m/>
    <x v="1"/>
    <x v="45"/>
    <d v="2017-05-20T00:00:00"/>
    <d v="2017-05-20T00:00:00"/>
    <n v="-15"/>
    <n v="15"/>
    <m/>
    <s v="pizza 20/5"/>
    <s v="UIT"/>
    <s v="UITGAAN"/>
    <s v="restaurant"/>
    <m/>
    <m/>
    <m/>
    <m/>
    <m/>
    <m/>
    <m/>
    <m/>
    <m/>
    <m/>
  </r>
  <r>
    <n v="235"/>
    <x v="5"/>
    <m/>
    <x v="1"/>
    <x v="45"/>
    <d v="2017-05-25T00:00:00"/>
    <d v="2017-05-25T00:00:00"/>
    <n v="-5"/>
    <n v="5"/>
    <m/>
    <s v="piadina 23/"/>
    <s v="UIT"/>
    <s v="UITGAAN"/>
    <s v="uitgaan"/>
    <m/>
    <m/>
    <m/>
    <m/>
    <m/>
    <m/>
    <m/>
    <m/>
    <m/>
    <m/>
  </r>
  <r>
    <n v="237"/>
    <x v="5"/>
    <m/>
    <x v="1"/>
    <x v="45"/>
    <d v="2017-05-25T00:00:00"/>
    <d v="2017-05-25T00:00:00"/>
    <n v="-11.9"/>
    <n v="11.9"/>
    <m/>
    <s v="favoloso 7 dgn"/>
    <s v="UIT"/>
    <s v="UITGAAN"/>
    <s v="uitgaan"/>
    <m/>
    <m/>
    <m/>
    <m/>
    <m/>
    <m/>
    <m/>
    <m/>
    <m/>
    <m/>
  </r>
  <r>
    <n v="238"/>
    <x v="5"/>
    <m/>
    <x v="1"/>
    <x v="45"/>
    <d v="2017-05-25T00:00:00"/>
    <d v="2017-05-25T00:00:00"/>
    <n v="-2.7"/>
    <n v="2.7"/>
    <m/>
    <s v="bier 26/5"/>
    <s v="UIT"/>
    <s v="UITGAAN"/>
    <s v="uitgaan"/>
    <m/>
    <m/>
    <m/>
    <m/>
    <m/>
    <m/>
    <m/>
    <m/>
    <m/>
    <m/>
  </r>
  <r>
    <n v="239"/>
    <x v="5"/>
    <m/>
    <x v="1"/>
    <x v="45"/>
    <d v="2017-05-25T00:00:00"/>
    <d v="2017-05-25T00:00:00"/>
    <n v="-1.1000000000000001"/>
    <n v="1.1000000000000001"/>
    <m/>
    <s v="capp 22/5"/>
    <s v="UIT"/>
    <s v="UITGAAN"/>
    <s v="espresso"/>
    <m/>
    <m/>
    <m/>
    <m/>
    <m/>
    <m/>
    <m/>
    <m/>
    <m/>
    <m/>
  </r>
  <r>
    <n v="241"/>
    <x v="5"/>
    <m/>
    <x v="1"/>
    <x v="45"/>
    <d v="2017-05-29T00:00:00"/>
    <d v="2017-05-29T00:00:00"/>
    <n v="-3.2"/>
    <n v="3.2"/>
    <m/>
    <s v="koffie 30/5"/>
    <s v="UIT"/>
    <s v="UITGAAN"/>
    <s v="espresso"/>
    <m/>
    <m/>
    <m/>
    <m/>
    <m/>
    <m/>
    <m/>
    <m/>
    <m/>
    <m/>
  </r>
  <r>
    <n v="242"/>
    <x v="5"/>
    <m/>
    <x v="1"/>
    <x v="45"/>
    <d v="2017-05-29T00:00:00"/>
    <d v="2017-05-29T00:00:00"/>
    <n v="-1"/>
    <n v="1"/>
    <m/>
    <s v="water 28/5"/>
    <s v="UIT"/>
    <s v="UITGAAN"/>
    <s v="uitgaan"/>
    <m/>
    <m/>
    <m/>
    <m/>
    <m/>
    <m/>
    <m/>
    <m/>
    <m/>
    <m/>
  </r>
  <r>
    <n v="243"/>
    <x v="5"/>
    <m/>
    <x v="1"/>
    <x v="45"/>
    <d v="2017-05-29T00:00:00"/>
    <d v="2017-05-29T00:00:00"/>
    <n v="-3.6"/>
    <n v="3.6"/>
    <m/>
    <s v="ko f fie 2dgn"/>
    <s v="UIT"/>
    <s v="UITGAAN"/>
    <s v="espresso"/>
    <m/>
    <m/>
    <m/>
    <m/>
    <m/>
    <m/>
    <m/>
    <m/>
    <m/>
    <m/>
  </r>
  <r>
    <n v="245"/>
    <x v="5"/>
    <m/>
    <x v="1"/>
    <x v="45"/>
    <d v="2017-05-29T00:00:00"/>
    <d v="2017-05-29T00:00:00"/>
    <n v="-2"/>
    <n v="2"/>
    <m/>
    <s v="water"/>
    <s v="UIT"/>
    <s v="UITGAAN"/>
    <s v="uitgaan"/>
    <m/>
    <m/>
    <m/>
    <m/>
    <m/>
    <m/>
    <m/>
    <m/>
    <m/>
    <m/>
  </r>
  <r>
    <n v="247"/>
    <x v="5"/>
    <m/>
    <x v="1"/>
    <x v="45"/>
    <d v="2017-05-29T00:00:00"/>
    <d v="2017-05-29T00:00:00"/>
    <n v="-1.8"/>
    <n v="1.8"/>
    <m/>
    <s v="koffie "/>
    <s v="UIT"/>
    <s v="UITGAAN"/>
    <s v="espresso"/>
    <m/>
    <m/>
    <m/>
    <m/>
    <m/>
    <m/>
    <m/>
    <m/>
    <m/>
    <m/>
  </r>
  <r>
    <n v="248"/>
    <x v="5"/>
    <m/>
    <x v="1"/>
    <x v="45"/>
    <d v="2017-05-29T00:00:00"/>
    <d v="2017-05-29T00:00:00"/>
    <n v="-1"/>
    <n v="1"/>
    <m/>
    <s v="koffie"/>
    <s v="UIT"/>
    <s v="UITGAAN"/>
    <s v="espresso"/>
    <m/>
    <m/>
    <m/>
    <m/>
    <m/>
    <m/>
    <m/>
    <m/>
    <m/>
    <m/>
  </r>
  <r>
    <n v="254"/>
    <x v="5"/>
    <m/>
    <x v="1"/>
    <x v="46"/>
    <d v="2017-06-02T00:00:00"/>
    <d v="2017-06-02T00:00:00"/>
    <n v="-1.6"/>
    <n v="1.6"/>
    <m/>
    <s v="favoloso espr"/>
    <s v="UIT"/>
    <s v="UITGAAN"/>
    <s v="uitgaan"/>
    <m/>
    <m/>
    <m/>
    <m/>
    <m/>
    <m/>
    <m/>
    <m/>
    <m/>
    <m/>
  </r>
  <r>
    <n v="255"/>
    <x v="5"/>
    <m/>
    <x v="1"/>
    <x v="46"/>
    <d v="2017-06-02T00:00:00"/>
    <d v="2017-06-02T00:00:00"/>
    <n v="-5.0999999999999996"/>
    <n v="5.0999999999999996"/>
    <m/>
    <s v="favoloso espr"/>
    <s v="UIT"/>
    <s v="UITGAAN"/>
    <s v="uitgaan"/>
    <m/>
    <m/>
    <m/>
    <m/>
    <m/>
    <m/>
    <m/>
    <m/>
    <m/>
    <m/>
  </r>
  <r>
    <n v="256"/>
    <x v="5"/>
    <m/>
    <x v="1"/>
    <x v="46"/>
    <d v="2017-06-02T00:00:00"/>
    <d v="2017-06-02T00:00:00"/>
    <n v="-3.4"/>
    <n v="3.4"/>
    <m/>
    <s v="bier+water"/>
    <s v="UIT"/>
    <s v="UITGAAN"/>
    <s v="uitgaan"/>
    <m/>
    <m/>
    <m/>
    <m/>
    <m/>
    <m/>
    <m/>
    <m/>
    <m/>
    <m/>
  </r>
  <r>
    <n v="257"/>
    <x v="5"/>
    <m/>
    <x v="1"/>
    <x v="46"/>
    <d v="2017-06-02T00:00:00"/>
    <d v="2017-06-02T00:00:00"/>
    <n v="-17"/>
    <n v="17"/>
    <m/>
    <s v="i cugini"/>
    <s v="UIT"/>
    <s v="UITGAAN"/>
    <s v="restaurant"/>
    <m/>
    <m/>
    <m/>
    <m/>
    <m/>
    <m/>
    <m/>
    <m/>
    <m/>
    <m/>
  </r>
  <r>
    <n v="259"/>
    <x v="5"/>
    <m/>
    <x v="1"/>
    <x v="46"/>
    <d v="2017-06-03T00:00:00"/>
    <d v="2017-06-03T00:00:00"/>
    <n v="-2.4"/>
    <n v="2.4"/>
    <m/>
    <s v="ijs+water 7/6"/>
    <s v="UIT"/>
    <s v="UITGAAN"/>
    <s v="snack"/>
    <m/>
    <m/>
    <m/>
    <m/>
    <m/>
    <m/>
    <m/>
    <m/>
    <m/>
    <m/>
  </r>
  <r>
    <n v="260"/>
    <x v="5"/>
    <m/>
    <x v="1"/>
    <x v="46"/>
    <d v="2017-06-08T00:00:00"/>
    <d v="2017-06-08T00:00:00"/>
    <n v="-4.4000000000000004"/>
    <n v="4.4000000000000004"/>
    <m/>
    <s v="pizza 46"/>
    <s v="UIT"/>
    <s v="UITGAAN"/>
    <s v="uitgaan"/>
    <m/>
    <m/>
    <m/>
    <m/>
    <m/>
    <m/>
    <m/>
    <m/>
    <m/>
    <m/>
  </r>
  <r>
    <n v="262"/>
    <x v="5"/>
    <m/>
    <x v="1"/>
    <x v="46"/>
    <d v="2017-06-10T00:00:00"/>
    <d v="2017-06-10T00:00:00"/>
    <n v="-7.7"/>
    <n v="7.7"/>
    <m/>
    <s v="8 dgnkoffie"/>
    <s v="UIT"/>
    <s v="UITGAAN"/>
    <s v="espresso"/>
    <m/>
    <m/>
    <m/>
    <m/>
    <m/>
    <m/>
    <m/>
    <m/>
    <m/>
    <m/>
  </r>
  <r>
    <n v="265"/>
    <x v="5"/>
    <m/>
    <x v="1"/>
    <x v="46"/>
    <d v="2017-06-10T00:00:00"/>
    <d v="2017-06-10T00:00:00"/>
    <n v="-2.4"/>
    <n v="2.4"/>
    <m/>
    <s v="bier 13/6"/>
    <s v="UIT"/>
    <s v="UITGAAN"/>
    <s v="uitgaan"/>
    <m/>
    <m/>
    <m/>
    <m/>
    <m/>
    <m/>
    <m/>
    <m/>
    <m/>
    <m/>
  </r>
  <r>
    <n v="266"/>
    <x v="5"/>
    <m/>
    <x v="1"/>
    <x v="46"/>
    <d v="2017-06-10T00:00:00"/>
    <d v="2017-06-10T00:00:00"/>
    <n v="-1"/>
    <n v="1"/>
    <m/>
    <s v="capp 13/6"/>
    <s v="UIT"/>
    <s v="UITGAAN"/>
    <s v="espresso"/>
    <m/>
    <m/>
    <m/>
    <m/>
    <m/>
    <m/>
    <m/>
    <m/>
    <m/>
    <m/>
  </r>
  <r>
    <n v="267"/>
    <x v="5"/>
    <m/>
    <x v="1"/>
    <x v="46"/>
    <d v="2017-06-10T00:00:00"/>
    <d v="2017-06-10T00:00:00"/>
    <n v="-2.8"/>
    <n v="2.8"/>
    <m/>
    <s v="panino 11/6"/>
    <s v="UIT"/>
    <s v="UITGAAN"/>
    <s v="uitgaan"/>
    <m/>
    <m/>
    <m/>
    <m/>
    <m/>
    <m/>
    <m/>
    <m/>
    <m/>
    <m/>
  </r>
  <r>
    <n v="268"/>
    <x v="5"/>
    <m/>
    <x v="1"/>
    <x v="46"/>
    <d v="2017-06-10T00:00:00"/>
    <d v="2017-06-10T00:00:00"/>
    <n v="-2.8"/>
    <n v="2.8"/>
    <m/>
    <s v="bier 12/6"/>
    <s v="UIT"/>
    <s v="UITGAAN"/>
    <s v="uitgaan"/>
    <m/>
    <m/>
    <m/>
    <m/>
    <m/>
    <m/>
    <m/>
    <m/>
    <m/>
    <m/>
  </r>
  <r>
    <n v="272"/>
    <x v="5"/>
    <m/>
    <x v="1"/>
    <x v="46"/>
    <d v="2017-06-12T00:00:00"/>
    <d v="2017-06-12T00:00:00"/>
    <n v="-1.6"/>
    <n v="1.6"/>
    <m/>
    <s v="ijsje 10/6"/>
    <s v="UIT"/>
    <s v="UITGAAN"/>
    <s v="snack"/>
    <m/>
    <m/>
    <m/>
    <m/>
    <m/>
    <m/>
    <m/>
    <m/>
    <m/>
    <m/>
  </r>
  <r>
    <n v="273"/>
    <x v="5"/>
    <m/>
    <x v="1"/>
    <x v="46"/>
    <d v="2017-06-12T00:00:00"/>
    <d v="2017-06-12T00:00:00"/>
    <n v="-1"/>
    <n v="1"/>
    <m/>
    <s v="capp 12/6"/>
    <s v="UIT"/>
    <s v="UITGAAN"/>
    <s v="espresso"/>
    <m/>
    <m/>
    <m/>
    <m/>
    <m/>
    <m/>
    <m/>
    <m/>
    <m/>
    <m/>
  </r>
  <r>
    <n v="274"/>
    <x v="5"/>
    <m/>
    <x v="1"/>
    <x v="46"/>
    <d v="2017-06-12T00:00:00"/>
    <d v="2017-06-12T00:00:00"/>
    <n v="-4.8"/>
    <n v="4.8"/>
    <m/>
    <s v="!unch 13/6"/>
    <s v="UIT"/>
    <s v="UITGAAN"/>
    <s v="uitgaan"/>
    <m/>
    <m/>
    <m/>
    <m/>
    <m/>
    <m/>
    <m/>
    <m/>
    <m/>
    <m/>
  </r>
  <r>
    <n v="275"/>
    <x v="5"/>
    <m/>
    <x v="1"/>
    <x v="46"/>
    <d v="2017-06-12T00:00:00"/>
    <d v="2017-06-12T00:00:00"/>
    <n v="-5"/>
    <n v="5"/>
    <m/>
    <s v="koffies vr rob"/>
    <s v="UIT"/>
    <s v="UITGAAN"/>
    <s v="espresso"/>
    <m/>
    <m/>
    <m/>
    <m/>
    <m/>
    <m/>
    <m/>
    <m/>
    <m/>
    <m/>
  </r>
  <r>
    <n v="277"/>
    <x v="5"/>
    <m/>
    <x v="1"/>
    <x v="46"/>
    <d v="2017-06-12T00:00:00"/>
    <d v="2017-06-12T00:00:00"/>
    <n v="-2.4"/>
    <n v="2.4"/>
    <m/>
    <s v="ijsje+water 18/6"/>
    <s v="UIT"/>
    <s v="UITGAAN"/>
    <s v="snack"/>
    <m/>
    <m/>
    <m/>
    <m/>
    <m/>
    <m/>
    <m/>
    <m/>
    <m/>
    <m/>
  </r>
  <r>
    <n v="278"/>
    <x v="5"/>
    <m/>
    <x v="1"/>
    <x v="46"/>
    <d v="2017-06-12T00:00:00"/>
    <d v="2017-06-12T00:00:00"/>
    <n v="-2"/>
    <n v="2"/>
    <m/>
    <s v="bier 18/6"/>
    <s v="UIT"/>
    <s v="UITGAAN"/>
    <s v="uitgaan"/>
    <m/>
    <m/>
    <m/>
    <m/>
    <m/>
    <m/>
    <m/>
    <m/>
    <m/>
    <m/>
  </r>
  <r>
    <n v="279"/>
    <x v="5"/>
    <m/>
    <x v="1"/>
    <x v="46"/>
    <d v="2017-06-12T00:00:00"/>
    <d v="2017-06-12T00:00:00"/>
    <n v="-2.8"/>
    <n v="2.8"/>
    <m/>
    <s v="panino 16/6"/>
    <s v="UIT"/>
    <s v="UITGAAN"/>
    <s v="uitgaan"/>
    <m/>
    <m/>
    <m/>
    <m/>
    <m/>
    <m/>
    <m/>
    <m/>
    <m/>
    <m/>
  </r>
  <r>
    <n v="280"/>
    <x v="5"/>
    <m/>
    <x v="1"/>
    <x v="46"/>
    <d v="2017-06-12T00:00:00"/>
    <d v="2017-06-12T00:00:00"/>
    <n v="-9"/>
    <n v="9"/>
    <m/>
    <s v="5 dgn espresso+capp "/>
    <s v="UIT"/>
    <s v="UITGAAN"/>
    <s v="espresso"/>
    <m/>
    <m/>
    <m/>
    <m/>
    <m/>
    <m/>
    <m/>
    <m/>
    <m/>
    <m/>
  </r>
  <r>
    <n v="284"/>
    <x v="5"/>
    <m/>
    <x v="1"/>
    <x v="46"/>
    <d v="2017-06-12T00:00:00"/>
    <d v="2017-06-12T00:00:00"/>
    <n v="-18.2"/>
    <n v="18.2"/>
    <m/>
    <s v="7 dagenkoffie+capp"/>
    <s v="UIT"/>
    <s v="UITGAAN"/>
    <s v="espresso"/>
    <m/>
    <m/>
    <m/>
    <m/>
    <m/>
    <m/>
    <m/>
    <m/>
    <m/>
    <m/>
  </r>
  <r>
    <n v="287"/>
    <x v="5"/>
    <m/>
    <x v="1"/>
    <x v="46"/>
    <d v="2017-06-24T00:00:00"/>
    <d v="2017-06-24T00:00:00"/>
    <n v="-2"/>
    <n v="2"/>
    <m/>
    <s v="pizza slice 19/6"/>
    <s v="UIT"/>
    <s v="UITGAAN"/>
    <s v="uitgaan"/>
    <m/>
    <m/>
    <m/>
    <m/>
    <m/>
    <m/>
    <m/>
    <m/>
    <m/>
    <m/>
  </r>
  <r>
    <n v="288"/>
    <x v="5"/>
    <m/>
    <x v="1"/>
    <x v="46"/>
    <d v="2017-06-24T00:00:00"/>
    <d v="2017-06-24T00:00:00"/>
    <n v="-4"/>
    <n v="4"/>
    <m/>
    <s v="ijsje 23/6 metclaudia"/>
    <s v="UIT"/>
    <s v="UITGAAN"/>
    <s v="snack"/>
    <m/>
    <m/>
    <m/>
    <m/>
    <m/>
    <m/>
    <m/>
    <m/>
    <m/>
    <m/>
  </r>
  <r>
    <n v="289"/>
    <x v="5"/>
    <m/>
    <x v="1"/>
    <x v="46"/>
    <d v="2017-06-24T00:00:00"/>
    <d v="2017-06-24T00:00:00"/>
    <n v="-2"/>
    <n v="2"/>
    <m/>
    <s v="bier"/>
    <s v="UIT"/>
    <s v="UITGAAN"/>
    <s v="uitgaan"/>
    <m/>
    <m/>
    <m/>
    <m/>
    <m/>
    <m/>
    <m/>
    <m/>
    <m/>
    <m/>
  </r>
  <r>
    <n v="292"/>
    <x v="5"/>
    <m/>
    <x v="1"/>
    <x v="46"/>
    <d v="2017-06-24T00:00:00"/>
    <d v="2017-06-24T00:00:00"/>
    <n v="-4"/>
    <n v="4"/>
    <m/>
    <s v="pizza al taglio  20/6"/>
    <s v="UIT"/>
    <s v="UITGAAN"/>
    <s v="snack"/>
    <m/>
    <m/>
    <m/>
    <m/>
    <m/>
    <m/>
    <m/>
    <m/>
    <m/>
    <m/>
  </r>
  <r>
    <n v="297"/>
    <x v="5"/>
    <m/>
    <x v="1"/>
    <x v="46"/>
    <d v="2017-06-29T00:00:00"/>
    <d v="2017-06-29T00:00:00"/>
    <n v="-13"/>
    <n v="13"/>
    <m/>
    <s v="5 dagenkoffie"/>
    <s v="UIT"/>
    <s v="UITGAAN"/>
    <s v="espresso"/>
    <m/>
    <m/>
    <m/>
    <m/>
    <m/>
    <m/>
    <m/>
    <m/>
    <m/>
    <m/>
  </r>
  <r>
    <n v="298"/>
    <x v="5"/>
    <m/>
    <x v="1"/>
    <x v="46"/>
    <d v="2017-06-29T00:00:00"/>
    <d v="2017-06-29T00:00:00"/>
    <n v="-13"/>
    <n v="13"/>
    <m/>
    <s v="pompei entree"/>
    <s v="UIT"/>
    <s v="UITGAAN"/>
    <s v="uitgaan"/>
    <m/>
    <m/>
    <m/>
    <m/>
    <m/>
    <m/>
    <m/>
    <m/>
    <m/>
    <m/>
  </r>
  <r>
    <n v="300"/>
    <x v="5"/>
    <m/>
    <x v="1"/>
    <x v="36"/>
    <d v="2017-07-05T00:00:00"/>
    <d v="2017-07-05T00:00:00"/>
    <n v="-2.8"/>
    <n v="2.8"/>
    <m/>
    <s v="panino 5/7"/>
    <s v="UIT"/>
    <s v="UITGAAN"/>
    <s v="snack"/>
    <m/>
    <m/>
    <m/>
    <m/>
    <m/>
    <m/>
    <m/>
    <m/>
    <m/>
    <m/>
  </r>
  <r>
    <n v="303"/>
    <x v="5"/>
    <m/>
    <x v="1"/>
    <x v="36"/>
    <d v="2017-07-05T00:00:00"/>
    <d v="2017-07-05T00:00:00"/>
    <n v="-6.6"/>
    <n v="6.6"/>
    <m/>
    <s v="ijsjes+bier"/>
    <s v="UIT"/>
    <s v="UITGAAN"/>
    <s v="snack"/>
    <m/>
    <m/>
    <m/>
    <m/>
    <m/>
    <m/>
    <m/>
    <m/>
    <m/>
    <m/>
  </r>
  <r>
    <n v="304"/>
    <x v="5"/>
    <m/>
    <x v="1"/>
    <x v="36"/>
    <d v="2017-07-05T00:00:00"/>
    <d v="2017-07-05T00:00:00"/>
    <n v="-11.87"/>
    <n v="11.87"/>
    <m/>
    <s v="koffie en capp 5dgn"/>
    <s v="UIT"/>
    <s v="UITGAAN"/>
    <s v="espresso"/>
    <m/>
    <m/>
    <m/>
    <m/>
    <m/>
    <m/>
    <m/>
    <m/>
    <m/>
    <m/>
  </r>
  <r>
    <n v="305"/>
    <x v="5"/>
    <m/>
    <x v="1"/>
    <x v="36"/>
    <d v="2017-07-05T00:00:00"/>
    <d v="2017-07-05T00:00:00"/>
    <n v="-10"/>
    <n v="10"/>
    <m/>
    <s v="pizza met vacansoleil team"/>
    <s v="UIT"/>
    <s v="UITGAAN"/>
    <s v="restaurant"/>
    <m/>
    <m/>
    <m/>
    <m/>
    <m/>
    <m/>
    <m/>
    <m/>
    <m/>
    <m/>
  </r>
  <r>
    <n v="308"/>
    <x v="5"/>
    <m/>
    <x v="1"/>
    <x v="36"/>
    <d v="2017-07-05T00:00:00"/>
    <d v="2017-07-05T00:00:00"/>
    <n v="-17.62"/>
    <n v="17.62"/>
    <m/>
    <s v="koffie+capp 10dgn"/>
    <s v="UIT"/>
    <s v="UITGAAN"/>
    <s v="espresso"/>
    <m/>
    <m/>
    <m/>
    <m/>
    <m/>
    <m/>
    <m/>
    <m/>
    <m/>
    <m/>
  </r>
  <r>
    <n v="309"/>
    <x v="5"/>
    <m/>
    <x v="1"/>
    <x v="36"/>
    <d v="2017-07-05T00:00:00"/>
    <d v="2017-07-05T00:00:00"/>
    <n v="-4.8"/>
    <n v="4.8"/>
    <m/>
    <s v="ijsje met romy enanna"/>
    <s v="UIT"/>
    <s v="UITGAAN"/>
    <s v="snack"/>
    <m/>
    <m/>
    <m/>
    <m/>
    <m/>
    <m/>
    <m/>
    <m/>
    <m/>
    <m/>
  </r>
  <r>
    <n v="311"/>
    <x v="5"/>
    <m/>
    <x v="1"/>
    <x v="36"/>
    <d v="2017-07-05T00:00:00"/>
    <d v="2017-07-05T00:00:00"/>
    <n v="-2.7"/>
    <n v="2.7"/>
    <m/>
    <s v="espressobij lidl"/>
    <s v="UIT"/>
    <s v="UITGAAN"/>
    <s v="espresso"/>
    <m/>
    <m/>
    <m/>
    <m/>
    <m/>
    <m/>
    <m/>
    <m/>
    <m/>
    <m/>
  </r>
  <r>
    <n v="312"/>
    <x v="5"/>
    <m/>
    <x v="1"/>
    <x v="36"/>
    <d v="2017-07-16T00:00:00"/>
    <d v="2017-07-16T00:00:00"/>
    <n v="-15"/>
    <n v="15"/>
    <m/>
    <s v="pizza i cugini"/>
    <s v="UIT"/>
    <s v="UITGAAN"/>
    <s v="restaurant"/>
    <m/>
    <m/>
    <m/>
    <m/>
    <m/>
    <m/>
    <m/>
    <m/>
    <m/>
    <m/>
  </r>
  <r>
    <n v="314"/>
    <x v="5"/>
    <m/>
    <x v="1"/>
    <x v="36"/>
    <d v="2017-07-16T00:00:00"/>
    <d v="2017-07-16T00:00:00"/>
    <n v="-4"/>
    <n v="4"/>
    <m/>
    <s v="koffie strandtent"/>
    <s v="UIT"/>
    <s v="UITGAAN"/>
    <s v="espresso"/>
    <m/>
    <m/>
    <m/>
    <m/>
    <m/>
    <m/>
    <m/>
    <m/>
    <m/>
    <m/>
  </r>
  <r>
    <n v="315"/>
    <x v="5"/>
    <m/>
    <x v="1"/>
    <x v="36"/>
    <d v="2017-07-16T00:00:00"/>
    <d v="2017-07-16T00:00:00"/>
    <n v="-20.8"/>
    <n v="20.8"/>
    <m/>
    <s v="8 dgn capp en cafe stelpost"/>
    <s v="UIT"/>
    <s v="UITGAAN"/>
    <s v="espresso"/>
    <m/>
    <m/>
    <m/>
    <m/>
    <m/>
    <m/>
    <m/>
    <m/>
    <m/>
    <m/>
  </r>
  <r>
    <n v="316"/>
    <x v="5"/>
    <m/>
    <x v="1"/>
    <x v="36"/>
    <d v="2017-07-16T00:00:00"/>
    <d v="2017-07-16T00:00:00"/>
    <n v="-3.8"/>
    <n v="3.8"/>
    <m/>
    <s v="ijsjes stelpost"/>
    <s v="UIT"/>
    <s v="UITGAAN"/>
    <s v="snack"/>
    <m/>
    <m/>
    <m/>
    <m/>
    <m/>
    <m/>
    <m/>
    <m/>
    <m/>
    <m/>
  </r>
  <r>
    <n v="317"/>
    <x v="5"/>
    <m/>
    <x v="1"/>
    <x v="36"/>
    <d v="2017-07-16T00:00:00"/>
    <d v="2017-07-16T00:00:00"/>
    <n v="-3"/>
    <n v="3"/>
    <m/>
    <s v="pizza verjaardag anna"/>
    <s v="UIT"/>
    <s v="UITGAAN"/>
    <s v="uitgaan"/>
    <m/>
    <m/>
    <m/>
    <m/>
    <m/>
    <m/>
    <m/>
    <m/>
    <m/>
    <m/>
  </r>
  <r>
    <n v="318"/>
    <x v="5"/>
    <m/>
    <x v="1"/>
    <x v="36"/>
    <d v="2017-07-16T00:00:00"/>
    <d v="2017-07-16T00:00:00"/>
    <n v="-5.2"/>
    <n v="5.2"/>
    <m/>
    <s v="pizza florida"/>
    <s v="UIT"/>
    <s v="UITGAAN"/>
    <s v="snack"/>
    <m/>
    <m/>
    <m/>
    <m/>
    <m/>
    <m/>
    <m/>
    <m/>
    <m/>
    <m/>
  </r>
  <r>
    <n v="320"/>
    <x v="5"/>
    <m/>
    <x v="1"/>
    <x v="36"/>
    <d v="2017-07-16T00:00:00"/>
    <d v="2017-07-16T00:00:00"/>
    <n v="-2"/>
    <n v="2"/>
    <m/>
    <s v="tiger nootjes"/>
    <s v="UIT"/>
    <s v="UITGAAN"/>
    <s v="snack"/>
    <m/>
    <m/>
    <m/>
    <m/>
    <m/>
    <m/>
    <m/>
    <m/>
    <m/>
    <m/>
  </r>
  <r>
    <n v="322"/>
    <x v="5"/>
    <m/>
    <x v="1"/>
    <x v="36"/>
    <d v="2017-07-16T00:00:00"/>
    <d v="2017-07-16T00:00:00"/>
    <n v="-2"/>
    <n v="2"/>
    <m/>
    <s v="koffies rome"/>
    <s v="UIT"/>
    <s v="UITGAAN"/>
    <s v="espresso"/>
    <m/>
    <m/>
    <m/>
    <m/>
    <m/>
    <m/>
    <m/>
    <m/>
    <m/>
    <m/>
  </r>
  <r>
    <n v="323"/>
    <x v="5"/>
    <m/>
    <x v="1"/>
    <x v="36"/>
    <d v="2017-07-16T00:00:00"/>
    <d v="2017-07-16T00:00:00"/>
    <n v="-7.8"/>
    <n v="7.8"/>
    <m/>
    <s v="3 dgn kpffie stelpost"/>
    <s v="UIT"/>
    <s v="UITGAAN"/>
    <s v="espresso"/>
    <m/>
    <m/>
    <m/>
    <m/>
    <m/>
    <m/>
    <m/>
    <m/>
    <m/>
    <m/>
  </r>
  <r>
    <n v="324"/>
    <x v="5"/>
    <m/>
    <x v="1"/>
    <x v="36"/>
    <d v="2017-07-16T00:00:00"/>
    <d v="2017-07-16T00:00:00"/>
    <n v="-2.4"/>
    <n v="2.4"/>
    <m/>
    <s v="frite"/>
    <s v="UIT"/>
    <s v="UITGAAN"/>
    <s v="uitgaan"/>
    <m/>
    <m/>
    <m/>
    <m/>
    <m/>
    <m/>
    <m/>
    <m/>
    <m/>
    <m/>
  </r>
  <r>
    <n v="326"/>
    <x v="5"/>
    <m/>
    <x v="1"/>
    <x v="36"/>
    <d v="2017-07-16T00:00:00"/>
    <d v="2017-07-16T00:00:00"/>
    <n v="-15"/>
    <n v="15"/>
    <m/>
    <s v="resto campsite 31/8"/>
    <s v="UIT"/>
    <s v="UITGAAN"/>
    <s v="uitgaan"/>
    <m/>
    <m/>
    <m/>
    <m/>
    <m/>
    <m/>
    <m/>
    <m/>
    <m/>
    <m/>
  </r>
  <r>
    <n v="327"/>
    <x v="5"/>
    <m/>
    <x v="1"/>
    <x v="36"/>
    <d v="2017-07-16T00:00:00"/>
    <d v="2017-07-16T00:00:00"/>
    <n v="-1.2"/>
    <n v="1.2"/>
    <m/>
    <s v="kauwgom"/>
    <s v="UIT"/>
    <s v="UITGAAN"/>
    <s v="snack"/>
    <m/>
    <m/>
    <m/>
    <m/>
    <m/>
    <m/>
    <m/>
    <m/>
    <m/>
    <m/>
  </r>
  <r>
    <n v="330"/>
    <x v="5"/>
    <m/>
    <x v="1"/>
    <x v="47"/>
    <d v="2017-08-02T00:00:00"/>
    <d v="2017-08-02T00:00:00"/>
    <n v="-15"/>
    <n v="15"/>
    <m/>
    <s v="sette in ochi 2/8"/>
    <s v="UIT"/>
    <s v="UITGAAN"/>
    <s v="uitgaan"/>
    <m/>
    <m/>
    <m/>
    <m/>
    <m/>
    <m/>
    <m/>
    <m/>
    <m/>
    <m/>
  </r>
  <r>
    <n v="332"/>
    <x v="5"/>
    <m/>
    <x v="1"/>
    <x v="47"/>
    <d v="2017-08-02T00:00:00"/>
    <d v="2017-08-02T00:00:00"/>
    <n v="-4"/>
    <n v="4"/>
    <m/>
    <s v="ijsjes"/>
    <s v="UIT"/>
    <s v="UITGAAN"/>
    <s v="snack"/>
    <m/>
    <m/>
    <m/>
    <m/>
    <m/>
    <m/>
    <m/>
    <m/>
    <m/>
    <m/>
  </r>
  <r>
    <n v="333"/>
    <x v="5"/>
    <m/>
    <x v="1"/>
    <x v="47"/>
    <d v="2017-08-02T00:00:00"/>
    <d v="2017-08-02T00:00:00"/>
    <n v="-13"/>
    <n v="13"/>
    <m/>
    <s v="2x sprutz"/>
    <s v="UIT"/>
    <s v="UITGAAN"/>
    <s v="uitgaan"/>
    <m/>
    <m/>
    <m/>
    <m/>
    <m/>
    <m/>
    <m/>
    <m/>
    <m/>
    <m/>
  </r>
  <r>
    <n v="334"/>
    <x v="5"/>
    <m/>
    <x v="1"/>
    <x v="47"/>
    <d v="2017-08-02T00:00:00"/>
    <d v="2017-08-02T00:00:00"/>
    <n v="-30"/>
    <n v="30"/>
    <m/>
    <s v="taxi"/>
    <s v="UIT"/>
    <s v="UITGAAN"/>
    <s v="uitgaan"/>
    <m/>
    <m/>
    <m/>
    <m/>
    <m/>
    <m/>
    <m/>
    <m/>
    <m/>
    <m/>
  </r>
  <r>
    <n v="337"/>
    <x v="5"/>
    <m/>
    <x v="1"/>
    <x v="47"/>
    <d v="2017-08-02T00:00:00"/>
    <d v="2017-08-02T00:00:00"/>
    <n v="-2.5"/>
    <n v="2.5"/>
    <m/>
    <s v="tramdepot koffie"/>
    <s v="UIT"/>
    <s v="UITGAAN"/>
    <s v="espresso"/>
    <m/>
    <m/>
    <m/>
    <m/>
    <m/>
    <m/>
    <m/>
    <m/>
    <m/>
    <m/>
  </r>
  <r>
    <n v="339"/>
    <x v="5"/>
    <m/>
    <x v="1"/>
    <x v="47"/>
    <d v="2017-08-02T00:00:00"/>
    <d v="2017-08-02T00:00:00"/>
    <n v="-5"/>
    <n v="5"/>
    <m/>
    <s v="fanta+water"/>
    <s v="UIT"/>
    <s v="UITGAAN"/>
    <s v="espresso"/>
    <m/>
    <m/>
    <m/>
    <m/>
    <m/>
    <m/>
    <m/>
    <m/>
    <m/>
    <m/>
  </r>
  <r>
    <n v="340"/>
    <x v="5"/>
    <m/>
    <x v="1"/>
    <x v="47"/>
    <d v="2017-08-02T00:00:00"/>
    <d v="2017-08-02T00:00:00"/>
    <n v="-15"/>
    <n v="15"/>
    <m/>
    <s v="favoloso"/>
    <s v="UIT"/>
    <s v="UITGAAN"/>
    <s v="uitgaan"/>
    <m/>
    <m/>
    <m/>
    <m/>
    <m/>
    <m/>
    <m/>
    <m/>
    <m/>
    <m/>
  </r>
  <r>
    <n v="341"/>
    <x v="5"/>
    <m/>
    <x v="1"/>
    <x v="47"/>
    <d v="2017-08-02T00:00:00"/>
    <d v="2017-08-02T00:00:00"/>
    <n v="-2.4"/>
    <n v="2.4"/>
    <m/>
    <s v="ijsje+water"/>
    <s v="UIT"/>
    <s v="UITGAAN"/>
    <s v="snack"/>
    <m/>
    <m/>
    <m/>
    <m/>
    <m/>
    <m/>
    <m/>
    <m/>
    <m/>
    <m/>
  </r>
  <r>
    <n v="342"/>
    <x v="5"/>
    <m/>
    <x v="1"/>
    <x v="47"/>
    <d v="2017-08-02T00:00:00"/>
    <d v="2017-08-02T00:00:00"/>
    <n v="-7"/>
    <n v="7"/>
    <m/>
    <s v="cappucino 5x"/>
    <s v="UIT"/>
    <s v="UITGAAN"/>
    <s v="espresso"/>
    <m/>
    <m/>
    <m/>
    <m/>
    <m/>
    <m/>
    <m/>
    <m/>
    <m/>
    <m/>
  </r>
  <r>
    <n v="343"/>
    <x v="5"/>
    <m/>
    <x v="1"/>
    <x v="47"/>
    <d v="2017-08-02T00:00:00"/>
    <d v="2017-08-02T00:00:00"/>
    <n v="-9.6"/>
    <n v="9.6"/>
    <m/>
    <s v="drankes 29/7"/>
    <s v="UIT"/>
    <s v="UITGAAN"/>
    <s v="uitgaan"/>
    <m/>
    <m/>
    <m/>
    <m/>
    <m/>
    <m/>
    <m/>
    <m/>
    <m/>
    <m/>
  </r>
  <r>
    <n v="345"/>
    <x v="5"/>
    <m/>
    <x v="1"/>
    <x v="47"/>
    <d v="2017-08-08T00:00:00"/>
    <d v="2017-08-08T00:00:00"/>
    <n v="-13.93"/>
    <n v="13.93"/>
    <m/>
    <s v="9 dagen capp+koffie"/>
    <s v="UIT"/>
    <s v="UITGAAN"/>
    <s v="espresso"/>
    <m/>
    <m/>
    <m/>
    <m/>
    <m/>
    <m/>
    <m/>
    <m/>
    <m/>
    <m/>
  </r>
  <r>
    <n v="348"/>
    <x v="5"/>
    <m/>
    <x v="1"/>
    <x v="47"/>
    <d v="2017-08-11T00:00:00"/>
    <d v="2017-08-11T00:00:00"/>
    <n v="-4.4000000000000004"/>
    <n v="4.4000000000000004"/>
    <m/>
    <s v="bier+water "/>
    <s v="UIT"/>
    <s v="UITGAAN"/>
    <s v="uitgaan"/>
    <m/>
    <m/>
    <m/>
    <m/>
    <m/>
    <m/>
    <m/>
    <m/>
    <m/>
    <m/>
  </r>
  <r>
    <n v="351"/>
    <x v="5"/>
    <m/>
    <x v="1"/>
    <x v="47"/>
    <d v="2017-08-21T00:00:00"/>
    <d v="2017-08-21T00:00:00"/>
    <n v="-16"/>
    <n v="16"/>
    <m/>
    <s v="8 dgn capp en espr"/>
    <s v="UIT"/>
    <s v="UITGAAN"/>
    <s v="espresso"/>
    <m/>
    <m/>
    <m/>
    <m/>
    <m/>
    <m/>
    <m/>
    <m/>
    <m/>
    <m/>
  </r>
  <r>
    <n v="352"/>
    <x v="5"/>
    <m/>
    <x v="1"/>
    <x v="47"/>
    <d v="2017-08-21T00:00:00"/>
    <d v="2017-08-21T00:00:00"/>
    <n v="-10.69"/>
    <n v="10.69"/>
    <m/>
    <s v="ijs en tapbier 8dgn"/>
    <s v="UIT"/>
    <s v="UITGAAN"/>
    <s v="uitgaan"/>
    <m/>
    <m/>
    <m/>
    <m/>
    <m/>
    <m/>
    <m/>
    <m/>
    <m/>
    <m/>
  </r>
  <r>
    <n v="355"/>
    <x v="5"/>
    <m/>
    <x v="1"/>
    <x v="47"/>
    <d v="2017-08-21T00:00:00"/>
    <d v="2017-08-21T00:00:00"/>
    <n v="-2.4"/>
    <n v="2.4"/>
    <m/>
    <s v="ijsje+water 25/8"/>
    <s v="UIT"/>
    <s v="UITGAAN"/>
    <s v="snack"/>
    <m/>
    <m/>
    <m/>
    <m/>
    <m/>
    <m/>
    <m/>
    <m/>
    <m/>
    <m/>
  </r>
  <r>
    <n v="357"/>
    <x v="5"/>
    <m/>
    <x v="1"/>
    <x v="47"/>
    <d v="2017-08-21T00:00:00"/>
    <d v="2017-08-21T00:00:00"/>
    <n v="-14"/>
    <n v="14"/>
    <m/>
    <s v="7 dgn koffie en capp"/>
    <s v="UIT"/>
    <s v="UITGAAN"/>
    <s v="espresso"/>
    <m/>
    <m/>
    <m/>
    <m/>
    <m/>
    <m/>
    <m/>
    <m/>
    <m/>
    <m/>
  </r>
  <r>
    <n v="360"/>
    <x v="5"/>
    <m/>
    <x v="1"/>
    <x v="47"/>
    <d v="2017-08-21T00:00:00"/>
    <d v="2017-08-21T00:00:00"/>
    <n v="-2.4"/>
    <n v="2.4"/>
    <m/>
    <s v="Espresso met rob"/>
    <s v="UIT"/>
    <s v="UITGAAN"/>
    <s v="espresso"/>
    <m/>
    <m/>
    <m/>
    <m/>
    <m/>
    <m/>
    <m/>
    <m/>
    <m/>
    <m/>
  </r>
  <r>
    <n v="361"/>
    <x v="5"/>
    <m/>
    <x v="1"/>
    <x v="47"/>
    <d v="2017-08-21T00:00:00"/>
    <d v="2017-08-21T00:00:00"/>
    <n v="-0.9"/>
    <n v="0.9"/>
    <m/>
    <s v="Espress"/>
    <s v="UIT"/>
    <s v="UITGAAN"/>
    <s v="espresso"/>
    <m/>
    <m/>
    <m/>
    <m/>
    <m/>
    <m/>
    <m/>
    <m/>
    <m/>
    <m/>
  </r>
  <r>
    <n v="363"/>
    <x v="5"/>
    <m/>
    <x v="1"/>
    <x v="47"/>
    <d v="2017-08-30T00:00:00"/>
    <d v="2017-08-30T00:00:00"/>
    <n v="-2"/>
    <n v="2"/>
    <m/>
    <s v="espresso 2 dgn"/>
    <s v="UIT"/>
    <s v="UITGAAN"/>
    <s v="espresso"/>
    <m/>
    <m/>
    <m/>
    <m/>
    <m/>
    <m/>
    <m/>
    <m/>
    <m/>
    <m/>
  </r>
  <r>
    <n v="364"/>
    <x v="5"/>
    <m/>
    <x v="1"/>
    <x v="47"/>
    <d v="2017-08-30T00:00:00"/>
    <d v="2017-08-30T00:00:00"/>
    <n v="-2.2000000000000002"/>
    <n v="2.2000000000000002"/>
    <m/>
    <s v="snicker+water"/>
    <s v="UIT"/>
    <s v="UITGAAN"/>
    <s v="snack"/>
    <m/>
    <m/>
    <m/>
    <m/>
    <m/>
    <m/>
    <m/>
    <m/>
    <m/>
    <m/>
  </r>
  <r>
    <n v="366"/>
    <x v="5"/>
    <m/>
    <x v="1"/>
    <x v="48"/>
    <d v="2017-09-05T00:00:00"/>
    <d v="2017-09-05T00:00:00"/>
    <n v="-3.7"/>
    <n v="3.7"/>
    <m/>
    <s v="alice pizza"/>
    <s v="UIT"/>
    <s v="UITGAAN"/>
    <s v="uitgaan"/>
    <m/>
    <m/>
    <m/>
    <m/>
    <m/>
    <m/>
    <m/>
    <m/>
    <m/>
    <m/>
  </r>
  <r>
    <n v="367"/>
    <x v="5"/>
    <m/>
    <x v="1"/>
    <x v="48"/>
    <d v="2017-09-05T00:00:00"/>
    <d v="2017-09-05T00:00:00"/>
    <n v="-2.2000000000000002"/>
    <n v="2.2000000000000002"/>
    <m/>
    <s v="caffe met roberta"/>
    <s v="UIT"/>
    <s v="UITGAAN"/>
    <s v="espresso"/>
    <m/>
    <m/>
    <m/>
    <m/>
    <m/>
    <m/>
    <m/>
    <m/>
    <m/>
    <m/>
  </r>
  <r>
    <n v="369"/>
    <x v="5"/>
    <m/>
    <x v="1"/>
    <x v="48"/>
    <d v="2017-09-05T00:00:00"/>
    <d v="2017-09-05T00:00:00"/>
    <n v="-3"/>
    <n v="3"/>
    <m/>
    <s v="bier+water"/>
    <s v="UIT"/>
    <s v="UITGAAN"/>
    <s v="uitgaan"/>
    <m/>
    <m/>
    <m/>
    <m/>
    <m/>
    <m/>
    <m/>
    <m/>
    <m/>
    <m/>
  </r>
  <r>
    <n v="370"/>
    <x v="5"/>
    <m/>
    <x v="1"/>
    <x v="48"/>
    <d v="2017-09-05T00:00:00"/>
    <d v="2017-09-05T00:00:00"/>
    <n v="-1.2"/>
    <n v="1.2"/>
    <m/>
    <s v="snicker"/>
    <s v="UIT"/>
    <s v="UITGAAN"/>
    <s v="snack"/>
    <m/>
    <m/>
    <m/>
    <m/>
    <m/>
    <m/>
    <m/>
    <m/>
    <m/>
    <m/>
  </r>
  <r>
    <n v="371"/>
    <x v="5"/>
    <m/>
    <x v="1"/>
    <x v="48"/>
    <d v="2017-09-05T00:00:00"/>
    <d v="2017-09-05T00:00:00"/>
    <n v="-1.8"/>
    <n v="1.8"/>
    <m/>
    <s v="koffie ostia antica"/>
    <s v="UIT"/>
    <s v="UITGAAN"/>
    <s v="espresso"/>
    <m/>
    <m/>
    <m/>
    <m/>
    <m/>
    <m/>
    <m/>
    <m/>
    <m/>
    <m/>
  </r>
  <r>
    <n v="376"/>
    <x v="5"/>
    <m/>
    <x v="1"/>
    <x v="48"/>
    <d v="2017-09-05T00:00:00"/>
    <d v="2017-09-05T00:00:00"/>
    <n v="-5.3"/>
    <n v="5.3"/>
    <m/>
    <s v="vivi bistrot"/>
    <s v="UIT"/>
    <s v="UITGAAN"/>
    <s v="uitgaan"/>
    <m/>
    <m/>
    <m/>
    <m/>
    <m/>
    <m/>
    <m/>
    <m/>
    <m/>
    <m/>
  </r>
  <r>
    <n v="377"/>
    <x v="5"/>
    <m/>
    <x v="1"/>
    <x v="48"/>
    <d v="2017-09-05T00:00:00"/>
    <d v="2017-09-05T00:00:00"/>
    <n v="-8"/>
    <n v="8"/>
    <m/>
    <s v="Pizza favolosa"/>
    <s v="UIT"/>
    <s v="UITGAAN"/>
    <s v="restaurant"/>
    <m/>
    <m/>
    <m/>
    <m/>
    <m/>
    <m/>
    <m/>
    <m/>
    <m/>
    <m/>
  </r>
  <r>
    <n v="378"/>
    <x v="5"/>
    <m/>
    <x v="1"/>
    <x v="48"/>
    <d v="2017-09-05T00:00:00"/>
    <d v="2017-09-05T00:00:00"/>
    <n v="-11.54"/>
    <n v="11.54"/>
    <m/>
    <s v="Koffie 7 dgn"/>
    <s v="UIT"/>
    <s v="UITGAAN"/>
    <s v="espresso"/>
    <m/>
    <m/>
    <m/>
    <m/>
    <m/>
    <m/>
    <m/>
    <m/>
    <m/>
    <m/>
  </r>
  <r>
    <n v="379"/>
    <x v="5"/>
    <m/>
    <x v="1"/>
    <x v="48"/>
    <d v="2017-09-05T00:00:00"/>
    <d v="2017-09-05T00:00:00"/>
    <n v="-15"/>
    <n v="15"/>
    <m/>
    <s v="aperitivo met carla"/>
    <s v="UIT"/>
    <s v="UITGAAN"/>
    <s v="uitgaan"/>
    <m/>
    <m/>
    <m/>
    <m/>
    <m/>
    <m/>
    <m/>
    <m/>
    <m/>
    <m/>
  </r>
  <r>
    <n v="382"/>
    <x v="5"/>
    <m/>
    <x v="1"/>
    <x v="48"/>
    <d v="2017-09-14T00:00:00"/>
    <d v="2017-09-14T00:00:00"/>
    <n v="-3"/>
    <n v="3"/>
    <m/>
    <s v="koffie aan zee 14/9"/>
    <s v="UIT"/>
    <s v="UITGAAN"/>
    <s v="espresso"/>
    <m/>
    <m/>
    <m/>
    <m/>
    <m/>
    <m/>
    <m/>
    <m/>
    <m/>
    <m/>
  </r>
  <r>
    <n v="383"/>
    <x v="5"/>
    <m/>
    <x v="1"/>
    <x v="48"/>
    <d v="2017-09-14T00:00:00"/>
    <d v="2017-09-14T00:00:00"/>
    <n v="-8"/>
    <n v="8"/>
    <m/>
    <s v="pizza 12/9"/>
    <s v="UIT"/>
    <s v="UITGAAN"/>
    <s v="snack"/>
    <m/>
    <m/>
    <m/>
    <m/>
    <m/>
    <m/>
    <m/>
    <m/>
    <m/>
    <m/>
  </r>
  <r>
    <n v="384"/>
    <x v="5"/>
    <m/>
    <x v="1"/>
    <x v="48"/>
    <d v="2017-09-14T00:00:00"/>
    <d v="2017-09-14T00:00:00"/>
    <n v="-4"/>
    <n v="4"/>
    <m/>
    <s v="salade favoloso 20/9"/>
    <s v="UIT"/>
    <s v="UITGAAN"/>
    <s v="uitgaan"/>
    <m/>
    <m/>
    <m/>
    <m/>
    <m/>
    <m/>
    <m/>
    <m/>
    <m/>
    <m/>
  </r>
  <r>
    <n v="385"/>
    <x v="5"/>
    <m/>
    <x v="1"/>
    <x v="48"/>
    <d v="2017-09-14T00:00:00"/>
    <d v="2017-09-14T00:00:00"/>
    <n v="-3.4"/>
    <n v="3.4"/>
    <m/>
    <s v="bier+water 17/9"/>
    <s v="UIT"/>
    <s v="UITGAAN"/>
    <s v="uitgaan"/>
    <m/>
    <m/>
    <m/>
    <m/>
    <m/>
    <m/>
    <m/>
    <m/>
    <m/>
    <m/>
  </r>
  <r>
    <n v="387"/>
    <x v="5"/>
    <m/>
    <x v="1"/>
    <x v="48"/>
    <d v="2017-09-14T00:00:00"/>
    <d v="2017-09-14T00:00:00"/>
    <n v="-2.6"/>
    <n v="2.6"/>
    <m/>
    <s v="curvone"/>
    <s v="UIT"/>
    <s v="UITGAAN"/>
    <s v="espresso"/>
    <m/>
    <m/>
    <m/>
    <m/>
    <m/>
    <m/>
    <m/>
    <m/>
    <m/>
    <m/>
  </r>
  <r>
    <n v="389"/>
    <x v="5"/>
    <m/>
    <x v="1"/>
    <x v="48"/>
    <d v="2017-09-14T00:00:00"/>
    <d v="2017-09-14T00:00:00"/>
    <n v="-2"/>
    <n v="2"/>
    <m/>
    <s v="postzegels"/>
    <s v="UIT"/>
    <s v="UITGAAN"/>
    <s v="uitgaan"/>
    <m/>
    <m/>
    <m/>
    <m/>
    <m/>
    <m/>
    <m/>
    <m/>
    <m/>
    <m/>
  </r>
  <r>
    <n v="390"/>
    <x v="5"/>
    <m/>
    <x v="1"/>
    <x v="48"/>
    <d v="2017-09-14T00:00:00"/>
    <d v="2017-09-14T00:00:00"/>
    <n v="-4"/>
    <n v="4"/>
    <m/>
    <s v="piza al taglio"/>
    <s v="UIT"/>
    <s v="UITGAAN"/>
    <s v="snack"/>
    <m/>
    <m/>
    <m/>
    <m/>
    <m/>
    <m/>
    <m/>
    <m/>
    <m/>
    <m/>
  </r>
  <r>
    <n v="391"/>
    <x v="5"/>
    <m/>
    <x v="1"/>
    <x v="48"/>
    <d v="2017-09-14T00:00:00"/>
    <d v="2017-09-14T00:00:00"/>
    <n v="-0.38"/>
    <n v="0.38"/>
    <m/>
    <s v="water"/>
    <s v="UIT"/>
    <s v="UITGAAN"/>
    <s v="uitgaan"/>
    <m/>
    <m/>
    <m/>
    <m/>
    <m/>
    <m/>
    <m/>
    <m/>
    <m/>
    <m/>
  </r>
  <r>
    <n v="392"/>
    <x v="5"/>
    <m/>
    <x v="1"/>
    <x v="48"/>
    <d v="2017-09-14T00:00:00"/>
    <d v="2017-09-14T00:00:00"/>
    <n v="-10.8"/>
    <n v="10.8"/>
    <m/>
    <s v="6 dgn capp+koffie"/>
    <s v="UIT"/>
    <s v="UITGAAN"/>
    <s v="espresso"/>
    <m/>
    <m/>
    <m/>
    <m/>
    <m/>
    <m/>
    <m/>
    <m/>
    <m/>
    <m/>
  </r>
  <r>
    <n v="396"/>
    <x v="5"/>
    <m/>
    <x v="1"/>
    <x v="48"/>
    <d v="2017-09-20T00:00:00"/>
    <d v="2017-09-20T00:00:00"/>
    <n v="-2.9"/>
    <n v="2.9"/>
    <m/>
    <s v="espresso faro"/>
    <s v="UIT"/>
    <s v="UITGAAN"/>
    <s v="espresso"/>
    <m/>
    <m/>
    <m/>
    <m/>
    <m/>
    <m/>
    <m/>
    <m/>
    <m/>
    <m/>
  </r>
  <r>
    <n v="398"/>
    <x v="5"/>
    <m/>
    <x v="1"/>
    <x v="48"/>
    <d v="2017-09-22T00:00:00"/>
    <d v="2017-09-22T00:00:00"/>
    <n v="-21.6"/>
    <n v="21.6"/>
    <m/>
    <s v="12 dgn espr en capp"/>
    <s v="UIT"/>
    <s v="UITGAAN"/>
    <s v="espresso"/>
    <m/>
    <m/>
    <m/>
    <m/>
    <m/>
    <m/>
    <m/>
    <m/>
    <m/>
    <m/>
  </r>
  <r>
    <n v="399"/>
    <x v="5"/>
    <m/>
    <x v="1"/>
    <x v="3"/>
    <d v="2017-10-01T00:00:00"/>
    <d v="2017-10-01T00:00:00"/>
    <n v="-1.5"/>
    <n v="1.5"/>
    <m/>
    <s v="capp luchthaven"/>
    <s v="UIT"/>
    <s v="UITGAAN"/>
    <s v="espresso"/>
    <m/>
    <m/>
    <m/>
    <m/>
    <m/>
    <m/>
    <m/>
    <m/>
    <m/>
    <m/>
  </r>
  <r>
    <n v="402"/>
    <x v="5"/>
    <m/>
    <x v="1"/>
    <x v="3"/>
    <d v="2017-10-01T00:00:00"/>
    <d v="2017-10-01T00:00:00"/>
    <n v="-7"/>
    <n v="7"/>
    <m/>
    <s v="yogadate "/>
    <s v="UIT"/>
    <s v="UITGAAN"/>
    <s v="uitgaan"/>
    <m/>
    <m/>
    <m/>
    <m/>
    <m/>
    <m/>
    <m/>
    <m/>
    <m/>
    <m/>
  </r>
  <r>
    <n v="403"/>
    <x v="5"/>
    <m/>
    <x v="1"/>
    <x v="3"/>
    <d v="2017-10-01T00:00:00"/>
    <d v="2017-10-01T00:00:00"/>
    <n v="-2"/>
    <n v="2"/>
    <m/>
    <s v="brew2cup"/>
    <s v="UIT"/>
    <s v="UITGAAN"/>
    <s v="espresso"/>
    <m/>
    <m/>
    <m/>
    <m/>
    <m/>
    <m/>
    <m/>
    <m/>
    <m/>
    <m/>
  </r>
  <r>
    <n v="404"/>
    <x v="5"/>
    <m/>
    <x v="1"/>
    <x v="3"/>
    <d v="2017-10-01T00:00:00"/>
    <d v="2017-10-01T00:00:00"/>
    <n v="-4.25"/>
    <n v="4.25"/>
    <m/>
    <s v="ho-me"/>
    <s v="UIT"/>
    <s v="UITGAAN"/>
    <s v="uitgaan"/>
    <m/>
    <m/>
    <m/>
    <m/>
    <m/>
    <m/>
    <m/>
    <m/>
    <m/>
    <m/>
  </r>
  <r>
    <n v="405"/>
    <x v="5"/>
    <m/>
    <x v="1"/>
    <x v="3"/>
    <d v="2017-10-01T00:00:00"/>
    <d v="2017-10-01T00:00:00"/>
    <n v="-1.8"/>
    <n v="1.8"/>
    <m/>
    <s v="kaasbroodje"/>
    <s v="UIT"/>
    <s v="UITGAAN"/>
    <s v="uitgaan"/>
    <m/>
    <m/>
    <m/>
    <m/>
    <m/>
    <m/>
    <m/>
    <m/>
    <m/>
    <m/>
  </r>
  <r>
    <n v="406"/>
    <x v="5"/>
    <m/>
    <x v="1"/>
    <x v="3"/>
    <d v="2017-10-01T00:00:00"/>
    <d v="2017-10-01T00:00:00"/>
    <n v="-1.3"/>
    <n v="1.3"/>
    <m/>
    <s v="loempia"/>
    <s v="UIT"/>
    <s v="UITGAAN"/>
    <s v="uitgaan"/>
    <m/>
    <m/>
    <m/>
    <m/>
    <m/>
    <m/>
    <m/>
    <m/>
    <m/>
    <m/>
  </r>
  <r>
    <n v="408"/>
    <x v="5"/>
    <m/>
    <x v="1"/>
    <x v="3"/>
    <d v="2017-10-01T00:00:00"/>
    <d v="2017-10-01T00:00:00"/>
    <n v="-2.1"/>
    <n v="2.1"/>
    <m/>
    <s v="plastic bolletjes"/>
    <s v="UIT"/>
    <s v="UITGAAN"/>
    <s v="uitgaan"/>
    <m/>
    <m/>
    <m/>
    <m/>
    <m/>
    <m/>
    <m/>
    <m/>
    <m/>
    <m/>
  </r>
  <r>
    <n v="409"/>
    <x v="5"/>
    <m/>
    <x v="1"/>
    <x v="3"/>
    <d v="2017-10-01T00:00:00"/>
    <d v="2017-10-01T00:00:00"/>
    <n v="-2.5"/>
    <n v="2.5"/>
    <m/>
    <s v="josephine koffie"/>
    <s v="UIT"/>
    <s v="UITGAAN"/>
    <s v="espresso"/>
    <m/>
    <m/>
    <m/>
    <m/>
    <m/>
    <m/>
    <m/>
    <m/>
    <m/>
    <m/>
  </r>
  <r>
    <n v="413"/>
    <x v="5"/>
    <m/>
    <x v="1"/>
    <x v="3"/>
    <d v="2017-10-01T00:00:00"/>
    <d v="2017-10-01T00:00:00"/>
    <n v="-8"/>
    <n v="8"/>
    <m/>
    <s v="moortgat"/>
    <s v="UIT"/>
    <s v="UITGAAN"/>
    <s v="uitgaan"/>
    <m/>
    <m/>
    <m/>
    <m/>
    <m/>
    <m/>
    <m/>
    <m/>
    <m/>
    <m/>
  </r>
  <r>
    <n v="414"/>
    <x v="5"/>
    <m/>
    <x v="1"/>
    <x v="3"/>
    <d v="2017-10-01T00:00:00"/>
    <d v="2017-10-01T00:00:00"/>
    <n v="-2.4"/>
    <n v="2.4"/>
    <m/>
    <s v="caspar"/>
    <s v="UIT"/>
    <s v="UITGAAN"/>
    <s v="uitgaan"/>
    <m/>
    <m/>
    <m/>
    <m/>
    <m/>
    <m/>
    <m/>
    <m/>
    <m/>
    <m/>
  </r>
  <r>
    <n v="415"/>
    <x v="5"/>
    <m/>
    <x v="1"/>
    <x v="3"/>
    <d v="2017-10-01T00:00:00"/>
    <d v="2017-10-01T00:00:00"/>
    <n v="-5.5"/>
    <n v="5.5"/>
    <m/>
    <s v="metropole"/>
    <s v="UIT"/>
    <s v="UITGAAN"/>
    <s v="uitgaan"/>
    <m/>
    <m/>
    <m/>
    <m/>
    <m/>
    <m/>
    <m/>
    <m/>
    <m/>
    <m/>
  </r>
  <r>
    <n v="445"/>
    <x v="3"/>
    <m/>
    <x v="1"/>
    <x v="43"/>
    <d v="2017-03-02T00:00:00"/>
    <d v="2017-03-02T00:00:00"/>
    <n v="-4.5"/>
    <n v="4.5"/>
    <m/>
    <s v="BREW2CUP ARNHEM"/>
    <s v="UIT"/>
    <s v="UITGAAN"/>
    <s v="espresso"/>
    <m/>
    <m/>
    <m/>
    <m/>
    <m/>
    <m/>
    <m/>
    <m/>
    <m/>
    <m/>
  </r>
  <r>
    <n v="447"/>
    <x v="3"/>
    <m/>
    <x v="1"/>
    <x v="43"/>
    <d v="2017-03-02T00:00:00"/>
    <d v="2017-03-02T00:00:00"/>
    <n v="-7.5"/>
    <n v="7.5"/>
    <m/>
    <s v="CASPAR ARNHEM"/>
    <s v="UIT"/>
    <s v="UITGAAN"/>
    <s v="uitgaan"/>
    <m/>
    <m/>
    <m/>
    <m/>
    <m/>
    <m/>
    <m/>
    <m/>
    <m/>
    <m/>
  </r>
  <r>
    <n v="448"/>
    <x v="3"/>
    <m/>
    <x v="1"/>
    <x v="43"/>
    <d v="2017-03-03T00:00:00"/>
    <d v="2017-03-03T00:00:00"/>
    <n v="-2.5"/>
    <n v="2.5"/>
    <m/>
    <s v="BREW2CUP ARNHEM"/>
    <s v="UIT"/>
    <s v="UITGAAN"/>
    <s v="espresso"/>
    <m/>
    <m/>
    <m/>
    <m/>
    <m/>
    <m/>
    <m/>
    <m/>
    <m/>
    <m/>
  </r>
  <r>
    <n v="449"/>
    <x v="3"/>
    <m/>
    <x v="1"/>
    <x v="43"/>
    <d v="2017-03-04T00:00:00"/>
    <d v="2017-03-04T00:00:00"/>
    <n v="-5.2"/>
    <n v="5.2"/>
    <m/>
    <s v="CASPAR ARNHEM"/>
    <s v="UIT"/>
    <s v="UITGAAN"/>
    <s v="uitgaan"/>
    <m/>
    <m/>
    <m/>
    <m/>
    <m/>
    <m/>
    <m/>
    <m/>
    <m/>
    <m/>
  </r>
  <r>
    <n v="451"/>
    <x v="3"/>
    <m/>
    <x v="1"/>
    <x v="43"/>
    <d v="2017-03-04T00:00:00"/>
    <d v="2017-03-04T00:00:00"/>
    <n v="-9.75"/>
    <n v="9.75"/>
    <m/>
    <s v="Doppio Arnhem ARNHEM"/>
    <s v="UIT"/>
    <s v="UITGAAN"/>
    <s v="espresso"/>
    <m/>
    <m/>
    <m/>
    <m/>
    <m/>
    <m/>
    <m/>
    <m/>
    <m/>
    <m/>
  </r>
  <r>
    <n v="454"/>
    <x v="3"/>
    <m/>
    <x v="1"/>
    <x v="43"/>
    <d v="2017-03-06T00:00:00"/>
    <d v="2017-03-06T00:00:00"/>
    <n v="-2.5"/>
    <n v="2.5"/>
    <m/>
    <s v="Dudok Groep BV ROTTERDAM"/>
    <s v="UIT"/>
    <s v="UITGAAN"/>
    <s v="espresso"/>
    <m/>
    <m/>
    <m/>
    <m/>
    <m/>
    <m/>
    <m/>
    <m/>
    <m/>
    <m/>
  </r>
  <r>
    <n v="457"/>
    <x v="3"/>
    <m/>
    <x v="1"/>
    <x v="43"/>
    <d v="2017-03-07T00:00:00"/>
    <d v="2017-03-07T00:00:00"/>
    <n v="-3.35"/>
    <n v="3.35"/>
    <m/>
    <s v="Doppio Arnhem ARNHEM"/>
    <s v="UIT"/>
    <s v="UITGAAN"/>
    <s v="espresso"/>
    <m/>
    <m/>
    <m/>
    <m/>
    <m/>
    <m/>
    <m/>
    <m/>
    <m/>
    <m/>
  </r>
  <r>
    <n v="458"/>
    <x v="3"/>
    <m/>
    <x v="1"/>
    <x v="43"/>
    <d v="2017-03-07T00:00:00"/>
    <d v="2017-03-07T00:00:00"/>
    <n v="-11.2"/>
    <n v="11.2"/>
    <m/>
    <s v="CASPAR ARNHEM"/>
    <s v="UIT"/>
    <s v="UITGAAN"/>
    <s v="uitgaan"/>
    <m/>
    <m/>
    <m/>
    <m/>
    <m/>
    <m/>
    <m/>
    <m/>
    <m/>
    <m/>
  </r>
  <r>
    <n v="460"/>
    <x v="3"/>
    <m/>
    <x v="1"/>
    <x v="43"/>
    <d v="2017-03-08T00:00:00"/>
    <d v="2017-03-08T00:00:00"/>
    <n v="-10.199999999999999"/>
    <n v="10.199999999999999"/>
    <m/>
    <s v="CASPAR ARNHEM"/>
    <s v="UIT"/>
    <s v="UITGAAN"/>
    <s v="uitgaan"/>
    <m/>
    <m/>
    <m/>
    <m/>
    <m/>
    <m/>
    <m/>
    <m/>
    <m/>
    <m/>
  </r>
  <r>
    <n v="462"/>
    <x v="3"/>
    <m/>
    <x v="1"/>
    <x v="43"/>
    <d v="2017-03-09T00:00:00"/>
    <d v="2017-03-09T00:00:00"/>
    <n v="-9.9"/>
    <n v="9.9"/>
    <m/>
    <s v="CASPAR ARNHEM"/>
    <s v="UIT"/>
    <s v="UITGAAN"/>
    <s v="uitgaan"/>
    <m/>
    <m/>
    <m/>
    <m/>
    <m/>
    <m/>
    <m/>
    <m/>
    <m/>
    <m/>
  </r>
  <r>
    <n v="464"/>
    <x v="3"/>
    <m/>
    <x v="1"/>
    <x v="43"/>
    <d v="2017-03-10T00:00:00"/>
    <d v="2017-03-10T00:00:00"/>
    <n v="-6.2"/>
    <n v="6.2"/>
    <m/>
    <s v="Sweet Cup AMSTERDAM"/>
    <s v="UIT"/>
    <s v="UITGAAN"/>
    <s v="espresso"/>
    <m/>
    <m/>
    <m/>
    <m/>
    <m/>
    <m/>
    <m/>
    <m/>
    <m/>
    <m/>
  </r>
  <r>
    <n v="465"/>
    <x v="3"/>
    <m/>
    <x v="1"/>
    <x v="43"/>
    <d v="2017-03-10T00:00:00"/>
    <d v="2017-03-10T00:00:00"/>
    <n v="-5"/>
    <n v="5"/>
    <m/>
    <s v="Lot Sixty One AMSTERDAM"/>
    <s v="UIT"/>
    <s v="UITGAAN"/>
    <s v="espresso"/>
    <m/>
    <m/>
    <m/>
    <m/>
    <m/>
    <m/>
    <m/>
    <m/>
    <m/>
    <m/>
  </r>
  <r>
    <n v="466"/>
    <x v="3"/>
    <m/>
    <x v="1"/>
    <x v="43"/>
    <d v="2017-03-10T00:00:00"/>
    <d v="2017-03-10T00:00:00"/>
    <n v="-5"/>
    <n v="5"/>
    <m/>
    <s v="HartBiet AMSTERDAM"/>
    <s v="UIT"/>
    <s v="UITGAAN"/>
    <s v="espresso"/>
    <m/>
    <m/>
    <m/>
    <m/>
    <m/>
    <m/>
    <m/>
    <m/>
    <m/>
    <m/>
  </r>
  <r>
    <n v="467"/>
    <x v="3"/>
    <m/>
    <x v="1"/>
    <x v="43"/>
    <d v="2017-03-10T00:00:00"/>
    <d v="2017-03-10T00:00:00"/>
    <n v="-8.5"/>
    <n v="8.5"/>
    <m/>
    <s v="Da Portare via A'dam AMSTERDAM"/>
    <s v="UIT"/>
    <s v="UITGAAN"/>
    <s v="uitgaan"/>
    <m/>
    <m/>
    <m/>
    <m/>
    <m/>
    <m/>
    <m/>
    <m/>
    <m/>
    <m/>
  </r>
  <r>
    <n v="468"/>
    <x v="3"/>
    <m/>
    <x v="1"/>
    <x v="43"/>
    <d v="2017-03-11T00:00:00"/>
    <d v="2017-03-11T00:00:00"/>
    <n v="-3.1"/>
    <n v="3.1"/>
    <m/>
    <s v="Doppio Arnhem ARNHEM"/>
    <s v="UIT"/>
    <s v="UITGAAN"/>
    <s v="espresso"/>
    <m/>
    <m/>
    <m/>
    <m/>
    <m/>
    <m/>
    <m/>
    <m/>
    <m/>
    <m/>
  </r>
  <r>
    <n v="469"/>
    <x v="3"/>
    <m/>
    <x v="1"/>
    <x v="43"/>
    <d v="2017-03-12T00:00:00"/>
    <d v="2017-03-12T00:00:00"/>
    <n v="-7.7"/>
    <n v="7.7"/>
    <m/>
    <s v="CASPAR ARNHEM"/>
    <s v="UIT"/>
    <s v="UITGAAN"/>
    <s v="uitgaan"/>
    <m/>
    <m/>
    <m/>
    <m/>
    <m/>
    <m/>
    <m/>
    <m/>
    <m/>
    <m/>
  </r>
  <r>
    <n v="473"/>
    <x v="3"/>
    <m/>
    <x v="1"/>
    <x v="43"/>
    <d v="2017-03-13T00:00:00"/>
    <d v="2017-03-13T00:00:00"/>
    <n v="-3.1"/>
    <n v="3.1"/>
    <m/>
    <s v="Doppio Arnhem ARNHEM"/>
    <s v="UIT"/>
    <s v="UITGAAN"/>
    <s v="espresso"/>
    <m/>
    <m/>
    <m/>
    <m/>
    <m/>
    <m/>
    <m/>
    <m/>
    <m/>
    <m/>
  </r>
  <r>
    <n v="474"/>
    <x v="3"/>
    <m/>
    <x v="1"/>
    <x v="43"/>
    <d v="2017-03-13T00:00:00"/>
    <d v="2017-03-13T00:00:00"/>
    <n v="-1.8"/>
    <n v="1.8"/>
    <m/>
    <s v="FEBO Arnhem ARNHEM"/>
    <s v="UIT"/>
    <s v="UITGAAN"/>
    <s v="uitgaan"/>
    <m/>
    <m/>
    <m/>
    <m/>
    <m/>
    <m/>
    <m/>
    <m/>
    <m/>
    <m/>
  </r>
  <r>
    <n v="475"/>
    <x v="3"/>
    <m/>
    <x v="1"/>
    <x v="43"/>
    <d v="2017-03-13T00:00:00"/>
    <d v="2017-03-13T00:00:00"/>
    <n v="-1.8"/>
    <n v="1.8"/>
    <m/>
    <s v="FEBO Arnhem ARNHEM"/>
    <s v="UIT"/>
    <s v="UITGAAN"/>
    <s v="uitgaan"/>
    <m/>
    <m/>
    <m/>
    <m/>
    <m/>
    <m/>
    <m/>
    <m/>
    <m/>
    <m/>
  </r>
  <r>
    <n v="476"/>
    <x v="3"/>
    <m/>
    <x v="1"/>
    <x v="43"/>
    <d v="2017-03-13T00:00:00"/>
    <d v="2017-03-13T00:00:00"/>
    <n v="-2.4"/>
    <n v="2.4"/>
    <m/>
    <s v="CCV*CAFE TOUCHE ARNHEM"/>
    <s v="UIT"/>
    <s v="UITGAAN"/>
    <s v="uitgaan"/>
    <m/>
    <m/>
    <m/>
    <m/>
    <m/>
    <m/>
    <m/>
    <m/>
    <m/>
    <m/>
  </r>
  <r>
    <n v="477"/>
    <x v="3"/>
    <m/>
    <x v="1"/>
    <x v="43"/>
    <d v="2017-03-13T00:00:00"/>
    <d v="2017-03-13T00:00:00"/>
    <n v="-12.49"/>
    <n v="12.49"/>
    <m/>
    <s v="BZZYArnhemPOS Arnhem"/>
    <s v="UIT"/>
    <s v="UITGAAN"/>
    <s v="uitgaan"/>
    <m/>
    <m/>
    <m/>
    <m/>
    <m/>
    <m/>
    <m/>
    <m/>
    <m/>
    <m/>
  </r>
  <r>
    <n v="479"/>
    <x v="3"/>
    <m/>
    <x v="1"/>
    <x v="43"/>
    <d v="2017-03-14T00:00:00"/>
    <d v="2017-03-14T00:00:00"/>
    <n v="-2.8"/>
    <n v="2.8"/>
    <m/>
    <s v="BREW2CUP ARNHEM"/>
    <s v="UIT"/>
    <s v="UITGAAN"/>
    <s v="espresso"/>
    <m/>
    <m/>
    <m/>
    <m/>
    <m/>
    <m/>
    <m/>
    <m/>
    <m/>
    <m/>
  </r>
  <r>
    <n v="480"/>
    <x v="3"/>
    <m/>
    <x v="1"/>
    <x v="43"/>
    <d v="2017-03-14T00:00:00"/>
    <d v="2017-03-14T00:00:00"/>
    <n v="-1.7"/>
    <n v="1.7"/>
    <m/>
    <s v="Bakker Bart ARNHEM"/>
    <s v="UIT"/>
    <s v="UITGAAN"/>
    <s v="snack"/>
    <m/>
    <m/>
    <m/>
    <m/>
    <m/>
    <m/>
    <m/>
    <m/>
    <m/>
    <m/>
  </r>
  <r>
    <n v="481"/>
    <x v="3"/>
    <m/>
    <x v="1"/>
    <x v="43"/>
    <d v="2017-03-15T00:00:00"/>
    <d v="2017-03-15T00:00:00"/>
    <n v="-9"/>
    <n v="9"/>
    <m/>
    <s v="CASPAR ARNHEM"/>
    <s v="UIT"/>
    <s v="UITGAAN"/>
    <s v="uitgaan"/>
    <m/>
    <m/>
    <m/>
    <m/>
    <m/>
    <m/>
    <m/>
    <m/>
    <m/>
    <m/>
  </r>
  <r>
    <n v="482"/>
    <x v="3"/>
    <m/>
    <x v="1"/>
    <x v="43"/>
    <d v="2017-03-15T00:00:00"/>
    <d v="2017-03-15T00:00:00"/>
    <n v="-3.35"/>
    <n v="3.35"/>
    <m/>
    <s v="Doppio Arnhem ARNHEM"/>
    <s v="UIT"/>
    <s v="UITGAAN"/>
    <s v="espresso"/>
    <m/>
    <m/>
    <m/>
    <m/>
    <m/>
    <m/>
    <m/>
    <m/>
    <m/>
    <m/>
  </r>
  <r>
    <n v="484"/>
    <x v="3"/>
    <m/>
    <x v="1"/>
    <x v="43"/>
    <d v="2017-03-15T00:00:00"/>
    <d v="2017-03-15T00:00:00"/>
    <n v="-8.1"/>
    <n v="8.1"/>
    <m/>
    <s v="CASPAR ARNHEM"/>
    <s v="UIT"/>
    <s v="UITGAAN"/>
    <s v="uitgaan"/>
    <m/>
    <m/>
    <m/>
    <m/>
    <m/>
    <m/>
    <m/>
    <m/>
    <m/>
    <m/>
  </r>
  <r>
    <n v="486"/>
    <x v="3"/>
    <m/>
    <x v="1"/>
    <x v="43"/>
    <d v="2017-03-16T00:00:00"/>
    <d v="2017-03-16T00:00:00"/>
    <n v="-3.2"/>
    <n v="3.2"/>
    <m/>
    <s v="De Blonde Pater B.V. NIJMEGEN"/>
    <s v="UIT"/>
    <s v="UITGAAN"/>
    <s v="espresso"/>
    <m/>
    <m/>
    <m/>
    <m/>
    <m/>
    <m/>
    <m/>
    <m/>
    <m/>
    <m/>
  </r>
  <r>
    <n v="490"/>
    <x v="3"/>
    <m/>
    <x v="1"/>
    <x v="43"/>
    <d v="2017-03-16T00:00:00"/>
    <d v="2017-03-16T00:00:00"/>
    <n v="-7.9"/>
    <n v="7.9"/>
    <m/>
    <s v="CASPAR ARNHEM"/>
    <s v="UIT"/>
    <s v="UITGAAN"/>
    <s v="uitgaan"/>
    <m/>
    <m/>
    <m/>
    <m/>
    <m/>
    <m/>
    <m/>
    <m/>
    <m/>
    <m/>
  </r>
  <r>
    <n v="492"/>
    <x v="3"/>
    <m/>
    <x v="1"/>
    <x v="43"/>
    <d v="2017-03-17T00:00:00"/>
    <d v="2017-03-17T00:00:00"/>
    <n v="-2"/>
    <n v="2"/>
    <m/>
    <s v="IZ *BEANBROTHERS COFFE Eindhoven"/>
    <s v="UIT"/>
    <s v="UITGAAN"/>
    <s v="espresso"/>
    <m/>
    <m/>
    <m/>
    <m/>
    <m/>
    <m/>
    <m/>
    <m/>
    <m/>
    <m/>
  </r>
  <r>
    <n v="494"/>
    <x v="3"/>
    <m/>
    <x v="1"/>
    <x v="43"/>
    <d v="2017-03-17T00:00:00"/>
    <d v="2017-03-17T00:00:00"/>
    <n v="-2.5"/>
    <n v="2.5"/>
    <m/>
    <s v="Coffeelab UC B.V. EINDHOVEN"/>
    <s v="UIT"/>
    <s v="UITGAAN"/>
    <s v="espresso"/>
    <m/>
    <m/>
    <m/>
    <m/>
    <m/>
    <m/>
    <m/>
    <m/>
    <m/>
    <m/>
  </r>
  <r>
    <n v="495"/>
    <x v="3"/>
    <m/>
    <x v="1"/>
    <x v="43"/>
    <d v="2017-03-17T00:00:00"/>
    <d v="2017-03-17T00:00:00"/>
    <n v="-1.7"/>
    <n v="1.7"/>
    <m/>
    <s v="Smullers auto 6309 EHV EINDHOVEN"/>
    <s v="UIT"/>
    <s v="UITGAAN"/>
    <s v="snack"/>
    <m/>
    <m/>
    <m/>
    <m/>
    <m/>
    <m/>
    <m/>
    <m/>
    <m/>
    <m/>
  </r>
  <r>
    <n v="496"/>
    <x v="3"/>
    <m/>
    <x v="1"/>
    <x v="43"/>
    <d v="2017-03-17T00:00:00"/>
    <d v="2017-03-17T00:00:00"/>
    <n v="-6.99"/>
    <n v="6.99"/>
    <m/>
    <s v="BZZYArnhemPOS Arnhem"/>
    <s v="UIT"/>
    <s v="UITGAAN"/>
    <s v="uitgaan"/>
    <m/>
    <m/>
    <m/>
    <m/>
    <m/>
    <m/>
    <m/>
    <m/>
    <m/>
    <m/>
  </r>
  <r>
    <n v="497"/>
    <x v="3"/>
    <m/>
    <x v="1"/>
    <x v="43"/>
    <d v="2017-03-18T00:00:00"/>
    <d v="2017-03-18T00:00:00"/>
    <n v="-5.2"/>
    <n v="5.2"/>
    <m/>
    <s v="CASPAR ARNHEM"/>
    <s v="UIT"/>
    <s v="UITGAAN"/>
    <s v="uitgaan"/>
    <m/>
    <m/>
    <m/>
    <m/>
    <m/>
    <m/>
    <m/>
    <m/>
    <m/>
    <m/>
  </r>
  <r>
    <n v="500"/>
    <x v="3"/>
    <m/>
    <x v="1"/>
    <x v="43"/>
    <d v="2017-03-18T00:00:00"/>
    <d v="2017-03-18T00:00:00"/>
    <n v="-4.55"/>
    <n v="4.55"/>
    <m/>
    <s v="CCV*STELLA BY STARLIGH ARNHEM"/>
    <s v="UIT"/>
    <s v="UITGAAN"/>
    <s v="uitgaan"/>
    <m/>
    <m/>
    <m/>
    <m/>
    <m/>
    <m/>
    <m/>
    <m/>
    <m/>
    <m/>
  </r>
  <r>
    <n v="501"/>
    <x v="3"/>
    <m/>
    <x v="1"/>
    <x v="43"/>
    <d v="2017-03-19T00:00:00"/>
    <d v="2017-03-19T00:00:00"/>
    <n v="-7.7"/>
    <n v="7.7"/>
    <m/>
    <s v="CASPAR ARNHEM"/>
    <s v="UIT"/>
    <s v="UITGAAN"/>
    <s v="uitgaan"/>
    <m/>
    <m/>
    <m/>
    <m/>
    <m/>
    <m/>
    <m/>
    <m/>
    <m/>
    <m/>
  </r>
  <r>
    <n v="503"/>
    <x v="3"/>
    <m/>
    <x v="1"/>
    <x v="43"/>
    <d v="2017-03-19T00:00:00"/>
    <d v="2017-03-19T00:00:00"/>
    <n v="-4.25"/>
    <n v="4.25"/>
    <m/>
    <s v="CAFETARIA HO ME ARNHEM"/>
    <s v="UIT"/>
    <s v="UITGAAN"/>
    <s v="uitgaan"/>
    <m/>
    <m/>
    <m/>
    <m/>
    <m/>
    <m/>
    <m/>
    <m/>
    <m/>
    <m/>
  </r>
  <r>
    <n v="504"/>
    <x v="3"/>
    <m/>
    <x v="1"/>
    <x v="43"/>
    <d v="2017-03-20T00:00:00"/>
    <d v="2017-03-20T00:00:00"/>
    <n v="-8.1999999999999993"/>
    <n v="8.1999999999999993"/>
    <m/>
    <s v="CASPAR ARNHEM"/>
    <s v="UIT"/>
    <s v="UITGAAN"/>
    <s v="uitgaan"/>
    <m/>
    <m/>
    <m/>
    <m/>
    <m/>
    <m/>
    <m/>
    <m/>
    <m/>
    <m/>
  </r>
  <r>
    <n v="505"/>
    <x v="3"/>
    <m/>
    <x v="1"/>
    <x v="43"/>
    <d v="2017-03-20T00:00:00"/>
    <d v="2017-03-20T00:00:00"/>
    <n v="-3.75"/>
    <n v="3.75"/>
    <m/>
    <s v="Dudok Groep BV ROTTERDAM"/>
    <s v="UIT"/>
    <s v="UITGAAN"/>
    <s v="espresso"/>
    <m/>
    <m/>
    <m/>
    <m/>
    <m/>
    <m/>
    <m/>
    <m/>
    <m/>
    <m/>
  </r>
  <r>
    <n v="508"/>
    <x v="3"/>
    <m/>
    <x v="1"/>
    <x v="43"/>
    <d v="2017-03-21T00:00:00"/>
    <d v="2017-03-21T00:00:00"/>
    <n v="-11.55"/>
    <n v="11.55"/>
    <m/>
    <s v="Cafe Babo ARNHEM"/>
    <s v="UIT"/>
    <s v="UITGAAN"/>
    <s v="uitgaan"/>
    <m/>
    <m/>
    <m/>
    <m/>
    <m/>
    <m/>
    <m/>
    <m/>
    <m/>
    <m/>
  </r>
  <r>
    <n v="509"/>
    <x v="3"/>
    <m/>
    <x v="1"/>
    <x v="43"/>
    <d v="2017-03-21T00:00:00"/>
    <d v="2017-03-21T00:00:00"/>
    <n v="-5.2"/>
    <n v="5.2"/>
    <m/>
    <s v="CASPAR ARNHEM"/>
    <s v="UIT"/>
    <s v="UITGAAN"/>
    <s v="uitgaan"/>
    <m/>
    <m/>
    <m/>
    <m/>
    <m/>
    <m/>
    <m/>
    <m/>
    <m/>
    <m/>
  </r>
  <r>
    <n v="530"/>
    <x v="3"/>
    <m/>
    <x v="1"/>
    <x v="44"/>
    <d v="2017-04-06T00:00:00"/>
    <d v="2017-04-06T00:00:00"/>
    <n v="-1.65"/>
    <n v="1.65"/>
    <m/>
    <s v="MCDONALD'S ROMA PIAZZA\ROMA         \"/>
    <s v="UIT"/>
    <s v="UITGAAN"/>
    <s v="uitgaan"/>
    <m/>
    <m/>
    <m/>
    <m/>
    <m/>
    <m/>
    <m/>
    <m/>
    <m/>
    <m/>
  </r>
  <r>
    <n v="537"/>
    <x v="3"/>
    <m/>
    <x v="1"/>
    <x v="44"/>
    <d v="2017-04-17T00:00:00"/>
    <d v="2017-04-17T00:00:00"/>
    <n v="-5.2"/>
    <n v="5.2"/>
    <m/>
    <s v="LA QUARTA             \ROMA         \"/>
    <s v="UIT"/>
    <s v="UITGAAN"/>
    <s v="uitgaan"/>
    <m/>
    <m/>
    <m/>
    <m/>
    <m/>
    <m/>
    <m/>
    <m/>
    <m/>
    <m/>
  </r>
  <r>
    <n v="560"/>
    <x v="3"/>
    <m/>
    <x v="1"/>
    <x v="45"/>
    <d v="2017-05-24T00:00:00"/>
    <d v="2017-05-24T00:00:00"/>
    <n v="-6.4"/>
    <n v="6.4"/>
    <m/>
    <s v="LA QUARTA             \ROMA         \"/>
    <s v="UIT"/>
    <s v="UITGAAN"/>
    <s v="uitgaan"/>
    <m/>
    <m/>
    <m/>
    <m/>
    <m/>
    <m/>
    <m/>
    <m/>
    <m/>
    <m/>
  </r>
  <r>
    <n v="569"/>
    <x v="3"/>
    <m/>
    <x v="1"/>
    <x v="46"/>
    <d v="2017-06-06T00:00:00"/>
    <d v="2017-06-06T00:00:00"/>
    <n v="-22"/>
    <n v="22"/>
    <m/>
    <s v="LA QUARTA             \ROMA         \"/>
    <s v="UIT"/>
    <s v="UITGAAN"/>
    <s v="uitgaan"/>
    <m/>
    <m/>
    <m/>
    <m/>
    <m/>
    <m/>
    <m/>
    <m/>
    <m/>
    <m/>
  </r>
  <r>
    <n v="598"/>
    <x v="3"/>
    <m/>
    <x v="1"/>
    <x v="47"/>
    <d v="2017-08-07T00:00:00"/>
    <d v="2017-08-07T00:00:00"/>
    <n v="-8.8000000000000007"/>
    <n v="8.8000000000000007"/>
    <m/>
    <s v="LA QUARTA             \ROMA         \"/>
    <s v="UIT"/>
    <s v="UITGAAN"/>
    <s v="uitgaan"/>
    <m/>
    <m/>
    <m/>
    <m/>
    <m/>
    <m/>
    <m/>
    <m/>
    <m/>
    <m/>
  </r>
  <r>
    <n v="606"/>
    <x v="3"/>
    <m/>
    <x v="1"/>
    <x v="47"/>
    <d v="2017-08-24T00:00:00"/>
    <d v="2017-08-24T00:00:00"/>
    <n v="-62"/>
    <n v="62"/>
    <m/>
    <s v="I CUGINI              \ROMA         \"/>
    <s v="UIT"/>
    <s v="UITGAAN"/>
    <s v="restaurant"/>
    <m/>
    <m/>
    <m/>
    <m/>
    <m/>
    <m/>
    <m/>
    <m/>
    <m/>
    <m/>
  </r>
  <r>
    <n v="635"/>
    <x v="3"/>
    <m/>
    <x v="1"/>
    <x v="3"/>
    <d v="2017-10-09T00:00:00"/>
    <d v="2017-10-09T00:00:00"/>
    <n v="-4.5"/>
    <n v="4.5"/>
    <m/>
    <s v="CASPAR ARNHEM"/>
    <s v="UIT"/>
    <s v="UITGAAN"/>
    <s v="uitgaan"/>
    <m/>
    <m/>
    <m/>
    <m/>
    <m/>
    <m/>
    <m/>
    <m/>
    <m/>
    <m/>
  </r>
  <r>
    <n v="637"/>
    <x v="3"/>
    <m/>
    <x v="1"/>
    <x v="3"/>
    <d v="2017-10-10T00:00:00"/>
    <d v="2017-10-10T00:00:00"/>
    <n v="-9.6"/>
    <n v="9.6"/>
    <m/>
    <s v="CASPAR ARNHEM"/>
    <s v="UIT"/>
    <s v="UITGAAN"/>
    <s v="uitgaan"/>
    <m/>
    <m/>
    <m/>
    <m/>
    <m/>
    <m/>
    <m/>
    <m/>
    <m/>
    <m/>
  </r>
  <r>
    <n v="647"/>
    <x v="3"/>
    <m/>
    <x v="1"/>
    <x v="3"/>
    <d v="2017-10-13T00:00:00"/>
    <d v="2017-10-13T00:00:00"/>
    <n v="-7"/>
    <n v="7"/>
    <m/>
    <s v="ACP*T TAPHUYS ARNHEM ARNHEM"/>
    <s v="UIT"/>
    <s v="UITGAAN"/>
    <s v="uitgaan"/>
    <m/>
    <m/>
    <m/>
    <m/>
    <m/>
    <m/>
    <m/>
    <m/>
    <m/>
    <m/>
  </r>
  <r>
    <n v="648"/>
    <x v="3"/>
    <m/>
    <x v="1"/>
    <x v="3"/>
    <d v="2017-10-14T00:00:00"/>
    <d v="2017-10-14T00:00:00"/>
    <n v="-10"/>
    <n v="10"/>
    <m/>
    <s v="CASPAR ARNHEM"/>
    <s v="UIT"/>
    <s v="UITGAAN"/>
    <s v="uitgaan"/>
    <m/>
    <m/>
    <m/>
    <m/>
    <m/>
    <m/>
    <m/>
    <m/>
    <m/>
    <m/>
  </r>
  <r>
    <n v="649"/>
    <x v="3"/>
    <m/>
    <x v="1"/>
    <x v="3"/>
    <d v="2017-10-14T00:00:00"/>
    <d v="2017-10-14T00:00:00"/>
    <n v="-3"/>
    <n v="3"/>
    <m/>
    <s v="Wasfokkinglekkertoch ARNHEM"/>
    <s v="UIT"/>
    <s v="UITGAAN"/>
    <s v="espresso"/>
    <m/>
    <m/>
    <m/>
    <m/>
    <m/>
    <m/>
    <m/>
    <m/>
    <m/>
    <m/>
  </r>
  <r>
    <n v="651"/>
    <x v="3"/>
    <m/>
    <x v="1"/>
    <x v="3"/>
    <d v="2017-10-14T00:00:00"/>
    <d v="2017-10-14T00:00:00"/>
    <n v="-2.5"/>
    <n v="2.5"/>
    <m/>
    <s v="CCV*DUDOK ARNHEM ARNHEM"/>
    <s v="UIT"/>
    <s v="UITGAAN"/>
    <s v="espresso"/>
    <m/>
    <m/>
    <m/>
    <m/>
    <m/>
    <m/>
    <m/>
    <m/>
    <m/>
    <m/>
  </r>
  <r>
    <n v="652"/>
    <x v="3"/>
    <m/>
    <x v="1"/>
    <x v="3"/>
    <d v="2017-10-15T00:00:00"/>
    <d v="2017-10-15T00:00:00"/>
    <n v="-3.1"/>
    <n v="3.1"/>
    <m/>
    <s v="Doppio Arnhem ARNHEM"/>
    <s v="UIT"/>
    <s v="UITGAAN"/>
    <s v="espresso"/>
    <m/>
    <m/>
    <m/>
    <m/>
    <m/>
    <m/>
    <m/>
    <m/>
    <m/>
    <m/>
  </r>
  <r>
    <n v="654"/>
    <x v="3"/>
    <m/>
    <x v="1"/>
    <x v="3"/>
    <d v="2017-10-16T00:00:00"/>
    <d v="2017-10-16T00:00:00"/>
    <n v="-14.7"/>
    <n v="14.7"/>
    <m/>
    <s v="CASPAR ARNHEM"/>
    <s v="UIT"/>
    <s v="UITGAAN"/>
    <s v="uitgaan"/>
    <m/>
    <m/>
    <m/>
    <m/>
    <m/>
    <m/>
    <m/>
    <m/>
    <m/>
    <m/>
  </r>
  <r>
    <n v="656"/>
    <x v="3"/>
    <m/>
    <x v="1"/>
    <x v="3"/>
    <d v="2017-10-16T00:00:00"/>
    <d v="2017-10-16T00:00:00"/>
    <n v="-1.7"/>
    <n v="1.7"/>
    <m/>
    <s v="Smullers NM 2112 NIJMEGEN"/>
    <s v="UIT"/>
    <s v="UITGAAN"/>
    <s v="snack"/>
    <m/>
    <m/>
    <m/>
    <m/>
    <m/>
    <m/>
    <m/>
    <m/>
    <m/>
    <m/>
  </r>
  <r>
    <n v="660"/>
    <x v="3"/>
    <m/>
    <x v="1"/>
    <x v="3"/>
    <d v="2017-10-19T00:00:00"/>
    <d v="2017-10-19T00:00:00"/>
    <n v="-3.1"/>
    <n v="3.1"/>
    <m/>
    <s v="Doppio Arnhem ARNHEM"/>
    <s v="UIT"/>
    <s v="UITGAAN"/>
    <s v="espresso"/>
    <m/>
    <m/>
    <m/>
    <m/>
    <m/>
    <m/>
    <m/>
    <m/>
    <m/>
    <m/>
  </r>
  <r>
    <n v="662"/>
    <x v="3"/>
    <m/>
    <x v="1"/>
    <x v="3"/>
    <d v="2017-10-19T00:00:00"/>
    <d v="2017-10-19T00:00:00"/>
    <n v="-4.25"/>
    <n v="4.25"/>
    <m/>
    <s v="CAFETARIA HO ME ARNHEM"/>
    <s v="UIT"/>
    <s v="UITGAAN"/>
    <s v="uitgaan"/>
    <m/>
    <m/>
    <m/>
    <m/>
    <m/>
    <m/>
    <m/>
    <m/>
    <m/>
    <m/>
  </r>
  <r>
    <n v="663"/>
    <x v="3"/>
    <m/>
    <x v="1"/>
    <x v="3"/>
    <d v="2017-10-19T00:00:00"/>
    <d v="2017-10-19T00:00:00"/>
    <n v="-22.75"/>
    <n v="22.75"/>
    <m/>
    <s v="Bar Absolute ARNHEM"/>
    <s v="UIT"/>
    <s v="UITGAAN"/>
    <s v="uitgaan"/>
    <m/>
    <m/>
    <m/>
    <m/>
    <m/>
    <m/>
    <m/>
    <m/>
    <m/>
    <m/>
  </r>
  <r>
    <n v="665"/>
    <x v="3"/>
    <m/>
    <x v="1"/>
    <x v="3"/>
    <d v="2017-10-20T00:00:00"/>
    <d v="2017-10-20T00:00:00"/>
    <n v="-6"/>
    <n v="6"/>
    <m/>
    <s v="RAP*The Hoxton Adam AMSTERDAM"/>
    <s v="UIT"/>
    <s v="UITGAAN"/>
    <s v="uitgaan"/>
    <m/>
    <m/>
    <m/>
    <m/>
    <m/>
    <m/>
    <m/>
    <m/>
    <m/>
    <m/>
  </r>
  <r>
    <n v="666"/>
    <x v="3"/>
    <m/>
    <x v="1"/>
    <x v="3"/>
    <d v="2017-10-20T00:00:00"/>
    <d v="2017-10-20T00:00:00"/>
    <n v="-5.3"/>
    <n v="5.3"/>
    <m/>
    <s v="CCV*Koffie Academie AMSTERDAM"/>
    <s v="UIT"/>
    <s v="UITGAAN"/>
    <s v="espresso"/>
    <m/>
    <m/>
    <m/>
    <m/>
    <m/>
    <m/>
    <m/>
    <m/>
    <m/>
    <m/>
  </r>
  <r>
    <n v="667"/>
    <x v="3"/>
    <m/>
    <x v="1"/>
    <x v="3"/>
    <d v="2017-10-20T00:00:00"/>
    <d v="2017-10-20T00:00:00"/>
    <n v="-5.6"/>
    <n v="5.6"/>
    <m/>
    <s v="CCV*Koffie Academie AMSTERDAM"/>
    <s v="UIT"/>
    <s v="UITGAAN"/>
    <s v="espresso"/>
    <m/>
    <m/>
    <m/>
    <m/>
    <m/>
    <m/>
    <m/>
    <m/>
    <m/>
    <m/>
  </r>
  <r>
    <n v="668"/>
    <x v="3"/>
    <m/>
    <x v="1"/>
    <x v="3"/>
    <d v="2017-10-20T00:00:00"/>
    <d v="2017-10-20T00:00:00"/>
    <n v="-9.5"/>
    <n v="9.5"/>
    <m/>
    <s v="CCV*Parck AMSTERDAM"/>
    <s v="UIT"/>
    <s v="UITGAAN"/>
    <s v="uitgaan"/>
    <m/>
    <m/>
    <m/>
    <m/>
    <m/>
    <m/>
    <m/>
    <m/>
    <m/>
    <m/>
  </r>
  <r>
    <n v="669"/>
    <x v="3"/>
    <m/>
    <x v="1"/>
    <x v="3"/>
    <d v="2017-10-21T00:00:00"/>
    <d v="2017-10-21T00:00:00"/>
    <n v="-3.1"/>
    <n v="3.1"/>
    <m/>
    <s v="Doppio Arnhem ARNHEM"/>
    <s v="UIT"/>
    <s v="UITGAAN"/>
    <s v="espresso"/>
    <m/>
    <m/>
    <m/>
    <m/>
    <m/>
    <m/>
    <m/>
    <m/>
    <m/>
    <m/>
  </r>
  <r>
    <n v="672"/>
    <x v="3"/>
    <m/>
    <x v="1"/>
    <x v="3"/>
    <d v="2017-10-22T00:00:00"/>
    <d v="2017-10-22T00:00:00"/>
    <n v="-3"/>
    <n v="3"/>
    <m/>
    <s v="BREW2CUP ARNHEM"/>
    <s v="UIT"/>
    <s v="UITGAAN"/>
    <s v="espresso"/>
    <m/>
    <m/>
    <m/>
    <m/>
    <m/>
    <m/>
    <m/>
    <m/>
    <m/>
    <m/>
  </r>
  <r>
    <n v="673"/>
    <x v="3"/>
    <m/>
    <x v="1"/>
    <x v="3"/>
    <d v="2017-10-22T00:00:00"/>
    <d v="2017-10-22T00:00:00"/>
    <n v="-2.5"/>
    <n v="2.5"/>
    <m/>
    <s v="CCV*DUDOK ARNHEM ARNHEM"/>
    <s v="UIT"/>
    <s v="UITGAAN"/>
    <s v="espresso"/>
    <m/>
    <m/>
    <m/>
    <m/>
    <m/>
    <m/>
    <m/>
    <m/>
    <m/>
    <m/>
  </r>
  <r>
    <n v="675"/>
    <x v="3"/>
    <m/>
    <x v="1"/>
    <x v="3"/>
    <d v="2017-10-22T00:00:00"/>
    <d v="2017-10-22T00:00:00"/>
    <n v="-10.8"/>
    <n v="10.8"/>
    <m/>
    <s v="CASPAR ARNHEM"/>
    <s v="UIT"/>
    <s v="UITGAAN"/>
    <s v="uitgaan"/>
    <m/>
    <m/>
    <m/>
    <m/>
    <m/>
    <m/>
    <m/>
    <m/>
    <m/>
    <m/>
  </r>
  <r>
    <n v="677"/>
    <x v="3"/>
    <m/>
    <x v="1"/>
    <x v="3"/>
    <d v="2017-10-23T00:00:00"/>
    <d v="2017-10-23T00:00:00"/>
    <n v="-2.5"/>
    <n v="2.5"/>
    <m/>
    <s v="Huiskamer AH 9222 ARNHEM"/>
    <s v="UIT"/>
    <s v="UITGAAN"/>
    <s v="espresso"/>
    <m/>
    <m/>
    <m/>
    <m/>
    <m/>
    <m/>
    <m/>
    <m/>
    <m/>
    <m/>
  </r>
  <r>
    <n v="682"/>
    <x v="3"/>
    <m/>
    <x v="1"/>
    <x v="3"/>
    <d v="2017-10-25T00:00:00"/>
    <d v="2017-10-25T00:00:00"/>
    <n v="-1.5"/>
    <n v="1.5"/>
    <m/>
    <s v="Croissanterie Linda STADSKANAAL"/>
    <s v="UIT"/>
    <s v="UITGAAN"/>
    <s v="espresso"/>
    <m/>
    <m/>
    <m/>
    <m/>
    <m/>
    <m/>
    <m/>
    <m/>
    <m/>
    <m/>
  </r>
  <r>
    <n v="693"/>
    <x v="3"/>
    <m/>
    <x v="1"/>
    <x v="3"/>
    <d v="2017-10-31T00:00:00"/>
    <d v="2017-10-31T00:00:00"/>
    <n v="-1.75"/>
    <n v="1.75"/>
    <m/>
    <s v="Croissanterie Linda STADSKANAAL"/>
    <s v="UIT"/>
    <s v="UITGAAN"/>
    <s v="espresso"/>
    <m/>
    <m/>
    <m/>
    <m/>
    <m/>
    <m/>
    <m/>
    <m/>
    <m/>
    <m/>
  </r>
  <r>
    <n v="696"/>
    <x v="3"/>
    <m/>
    <x v="1"/>
    <x v="4"/>
    <d v="2017-11-01T00:00:00"/>
    <d v="2017-11-01T00:00:00"/>
    <n v="-1"/>
    <n v="1"/>
    <m/>
    <s v="Kiosk ZL 9104 ALMERE"/>
    <s v="UIT"/>
    <s v="UITGAAN"/>
    <s v="snack"/>
    <m/>
    <m/>
    <m/>
    <m/>
    <m/>
    <m/>
    <m/>
    <m/>
    <m/>
    <m/>
  </r>
  <r>
    <n v="699"/>
    <x v="3"/>
    <m/>
    <x v="1"/>
    <x v="4"/>
    <d v="2017-11-01T00:00:00"/>
    <d v="2017-11-01T00:00:00"/>
    <n v="-20.149999999999999"/>
    <n v="20.149999999999999"/>
    <m/>
    <s v="NOODLEBAR CENTRAAL AMSTERDAM"/>
    <s v="UIT"/>
    <s v="UITGAAN"/>
    <s v="uitgaan"/>
    <m/>
    <m/>
    <m/>
    <m/>
    <m/>
    <m/>
    <m/>
    <m/>
    <m/>
    <m/>
  </r>
  <r>
    <n v="823"/>
    <x v="5"/>
    <m/>
    <x v="2"/>
    <x v="9"/>
    <d v="2018-02-21T00:00:00"/>
    <d v="2018-02-21T00:00:00"/>
    <n v="-6.4"/>
    <n v="6.4"/>
    <m/>
    <s v="Caspar"/>
    <s v="UIT"/>
    <s v="UITGAAN"/>
    <s v="uitgaan"/>
    <m/>
    <m/>
    <m/>
    <m/>
    <m/>
    <m/>
    <m/>
    <m/>
    <m/>
    <m/>
  </r>
  <r>
    <n v="824"/>
    <x v="5"/>
    <m/>
    <x v="2"/>
    <x v="9"/>
    <d v="2018-02-21T00:00:00"/>
    <d v="2018-02-21T00:00:00"/>
    <n v="-1"/>
    <n v="1"/>
    <m/>
    <s v="notenrotsje brew2cup"/>
    <s v="UIT"/>
    <s v="UITGAAN"/>
    <s v="snack"/>
    <m/>
    <m/>
    <m/>
    <m/>
    <m/>
    <m/>
    <m/>
    <m/>
    <m/>
    <m/>
  </r>
  <r>
    <n v="830"/>
    <x v="5"/>
    <m/>
    <x v="2"/>
    <x v="10"/>
    <d v="2018-03-02T00:00:00"/>
    <d v="2018-03-02T00:00:00"/>
    <n v="-1.3"/>
    <n v="1.3"/>
    <m/>
    <s v="snickers"/>
    <s v="UIT"/>
    <s v="UITGAAN"/>
    <s v="snack"/>
    <m/>
    <m/>
    <m/>
    <m/>
    <m/>
    <m/>
    <m/>
    <m/>
    <m/>
    <m/>
  </r>
  <r>
    <n v="836"/>
    <x v="5"/>
    <m/>
    <x v="2"/>
    <x v="10"/>
    <d v="2018-03-09T00:00:00"/>
    <d v="2018-03-09T00:00:00"/>
    <n v="-13"/>
    <n v="13"/>
    <m/>
    <s v="pizza"/>
    <s v="UIT"/>
    <s v="UITGAAN"/>
    <s v="restaurant"/>
    <m/>
    <m/>
    <m/>
    <m/>
    <m/>
    <m/>
    <m/>
    <m/>
    <m/>
    <m/>
  </r>
  <r>
    <n v="837"/>
    <x v="5"/>
    <m/>
    <x v="2"/>
    <x v="10"/>
    <d v="2018-03-09T00:00:00"/>
    <d v="2018-03-09T00:00:00"/>
    <n v="-5.5"/>
    <n v="5.5"/>
    <m/>
    <s v="pizza al taglio woensdag"/>
    <s v="UIT"/>
    <s v="UITGAAN"/>
    <s v="snack"/>
    <m/>
    <m/>
    <m/>
    <m/>
    <m/>
    <m/>
    <m/>
    <m/>
    <m/>
    <m/>
  </r>
  <r>
    <n v="838"/>
    <x v="5"/>
    <m/>
    <x v="2"/>
    <x v="10"/>
    <d v="2018-03-09T00:00:00"/>
    <d v="2018-03-09T00:00:00"/>
    <n v="-14"/>
    <n v="14"/>
    <m/>
    <s v="koffieforfait"/>
    <s v="UIT"/>
    <s v="UITGAAN"/>
    <s v="espresso"/>
    <m/>
    <m/>
    <m/>
    <m/>
    <m/>
    <m/>
    <m/>
    <m/>
    <m/>
    <m/>
  </r>
  <r>
    <n v="840"/>
    <x v="5"/>
    <m/>
    <x v="2"/>
    <x v="10"/>
    <d v="2018-03-09T00:00:00"/>
    <d v="2018-03-09T00:00:00"/>
    <n v="-1"/>
    <n v="1"/>
    <m/>
    <s v="cornetto"/>
    <s v="UIT"/>
    <s v="UITGAAN"/>
    <s v="snack"/>
    <m/>
    <m/>
    <m/>
    <m/>
    <m/>
    <m/>
    <m/>
    <m/>
    <m/>
    <m/>
  </r>
  <r>
    <n v="844"/>
    <x v="5"/>
    <m/>
    <x v="2"/>
    <x v="10"/>
    <d v="2018-03-09T00:00:00"/>
    <d v="2018-03-09T00:00:00"/>
    <n v="-5.7"/>
    <n v="5.7"/>
    <m/>
    <s v="pizza al tagio pantheon"/>
    <s v="UIT"/>
    <s v="UITGAAN"/>
    <s v="snack"/>
    <m/>
    <m/>
    <m/>
    <m/>
    <m/>
    <m/>
    <m/>
    <m/>
    <m/>
    <m/>
  </r>
  <r>
    <n v="845"/>
    <x v="5"/>
    <m/>
    <x v="2"/>
    <x v="10"/>
    <d v="2018-03-09T00:00:00"/>
    <d v="2018-03-09T00:00:00"/>
    <n v="-1.2"/>
    <n v="1.2"/>
    <m/>
    <s v="snickers"/>
    <s v="UIT"/>
    <s v="UITGAAN"/>
    <s v="snack"/>
    <m/>
    <m/>
    <m/>
    <m/>
    <m/>
    <m/>
    <m/>
    <m/>
    <m/>
    <m/>
  </r>
  <r>
    <n v="848"/>
    <x v="5"/>
    <m/>
    <x v="2"/>
    <x v="10"/>
    <d v="2018-03-31T00:00:00"/>
    <d v="2018-03-31T00:00:00"/>
    <n v="-4"/>
    <n v="4"/>
    <m/>
    <s v="ontbijt"/>
    <s v="UIT"/>
    <s v="UITGAAN"/>
    <s v="uitgaan"/>
    <m/>
    <m/>
    <m/>
    <m/>
    <m/>
    <m/>
    <m/>
    <m/>
    <m/>
    <m/>
  </r>
  <r>
    <n v="851"/>
    <x v="5"/>
    <m/>
    <x v="2"/>
    <x v="10"/>
    <d v="2018-03-31T00:00:00"/>
    <d v="2018-03-31T00:00:00"/>
    <n v="-3.5"/>
    <n v="3.5"/>
    <m/>
    <s v="espresso+suppli"/>
    <s v="UIT"/>
    <s v="UITGAAN"/>
    <s v="espresso"/>
    <m/>
    <m/>
    <m/>
    <m/>
    <m/>
    <m/>
    <m/>
    <m/>
    <m/>
    <m/>
  </r>
  <r>
    <n v="853"/>
    <x v="5"/>
    <m/>
    <x v="2"/>
    <x v="10"/>
    <d v="2018-03-31T00:00:00"/>
    <d v="2018-03-31T00:00:00"/>
    <n v="-15"/>
    <n v="15"/>
    <m/>
    <s v="i cugini"/>
    <s v="UIT"/>
    <s v="UITGAAN"/>
    <s v="restaurant"/>
    <m/>
    <m/>
    <m/>
    <m/>
    <m/>
    <m/>
    <m/>
    <m/>
    <m/>
    <m/>
  </r>
  <r>
    <n v="855"/>
    <x v="5"/>
    <m/>
    <x v="2"/>
    <x v="49"/>
    <d v="2018-04-15T00:00:00"/>
    <d v="2018-04-15T00:00:00"/>
    <n v="-18"/>
    <n v="18"/>
    <m/>
    <s v="9 dgn koffie"/>
    <s v="UIT"/>
    <s v="UITGAAN"/>
    <s v="espresso"/>
    <m/>
    <m/>
    <m/>
    <m/>
    <m/>
    <m/>
    <m/>
    <m/>
    <m/>
    <m/>
  </r>
  <r>
    <n v="858"/>
    <x v="5"/>
    <m/>
    <x v="2"/>
    <x v="49"/>
    <d v="2018-04-15T00:00:00"/>
    <d v="2018-04-15T00:00:00"/>
    <n v="-5.0999999999999996"/>
    <n v="5.0999999999999996"/>
    <m/>
    <s v="spritz 6/4"/>
    <s v="UIT"/>
    <s v="UITGAAN"/>
    <s v="uitgaan"/>
    <m/>
    <m/>
    <m/>
    <m/>
    <m/>
    <m/>
    <m/>
    <m/>
    <m/>
    <m/>
  </r>
  <r>
    <n v="859"/>
    <x v="5"/>
    <m/>
    <x v="2"/>
    <x v="49"/>
    <d v="2018-04-15T00:00:00"/>
    <d v="2018-04-15T00:00:00"/>
    <n v="-2"/>
    <n v="2"/>
    <m/>
    <s v="2xcornetto"/>
    <s v="UIT"/>
    <s v="UITGAAN"/>
    <s v="uitgaan"/>
    <m/>
    <m/>
    <m/>
    <m/>
    <m/>
    <m/>
    <m/>
    <m/>
    <m/>
    <m/>
  </r>
  <r>
    <n v="864"/>
    <x v="5"/>
    <m/>
    <x v="2"/>
    <x v="49"/>
    <d v="2018-04-15T00:00:00"/>
    <d v="2018-04-15T00:00:00"/>
    <n v="-10.24"/>
    <n v="10.24"/>
    <m/>
    <s v="capp 8x"/>
    <s v="UIT"/>
    <s v="UITGAAN"/>
    <s v="espresso"/>
    <m/>
    <m/>
    <m/>
    <m/>
    <m/>
    <m/>
    <m/>
    <m/>
    <m/>
    <m/>
  </r>
  <r>
    <n v="865"/>
    <x v="5"/>
    <m/>
    <x v="2"/>
    <x v="49"/>
    <d v="2018-04-15T00:00:00"/>
    <d v="2018-04-15T00:00:00"/>
    <n v="-7.2"/>
    <n v="7.2"/>
    <m/>
    <s v="espresso 8x"/>
    <s v="UIT"/>
    <s v="UITGAAN"/>
    <s v="espresso"/>
    <m/>
    <m/>
    <m/>
    <m/>
    <m/>
    <m/>
    <m/>
    <m/>
    <m/>
    <m/>
  </r>
  <r>
    <n v="866"/>
    <x v="5"/>
    <m/>
    <x v="2"/>
    <x v="49"/>
    <d v="2018-04-15T00:00:00"/>
    <d v="2018-04-15T00:00:00"/>
    <n v="-1.9"/>
    <n v="1.9"/>
    <m/>
    <s v="pizza 18/4"/>
    <s v="UIT"/>
    <s v="UITGAAN"/>
    <s v="snack"/>
    <m/>
    <m/>
    <m/>
    <m/>
    <m/>
    <m/>
    <m/>
    <m/>
    <m/>
    <m/>
  </r>
  <r>
    <n v="871"/>
    <x v="5"/>
    <m/>
    <x v="2"/>
    <x v="49"/>
    <d v="2018-04-15T00:00:00"/>
    <d v="2018-04-15T00:00:00"/>
    <n v="-7"/>
    <n v="7"/>
    <m/>
    <s v="curry 13/4 (uit eten)"/>
    <s v="UIT"/>
    <s v="UITGAAN"/>
    <s v="uitgaan"/>
    <m/>
    <m/>
    <m/>
    <m/>
    <m/>
    <m/>
    <m/>
    <m/>
    <m/>
    <m/>
  </r>
  <r>
    <n v="872"/>
    <x v="5"/>
    <m/>
    <x v="2"/>
    <x v="49"/>
    <d v="2018-04-15T00:00:00"/>
    <d v="2018-04-15T00:00:00"/>
    <n v="-3.7"/>
    <n v="3.7"/>
    <m/>
    <s v="pizza 11/4"/>
    <s v="UIT"/>
    <s v="UITGAAN"/>
    <s v="snack"/>
    <m/>
    <m/>
    <m/>
    <m/>
    <m/>
    <m/>
    <m/>
    <m/>
    <m/>
    <m/>
  </r>
  <r>
    <n v="875"/>
    <x v="5"/>
    <m/>
    <x v="2"/>
    <x v="49"/>
    <d v="2018-04-15T00:00:00"/>
    <d v="2018-04-15T00:00:00"/>
    <n v="-1.6"/>
    <n v="1.6"/>
    <m/>
    <s v="2x cornetto"/>
    <s v="UIT"/>
    <s v="UITGAAN"/>
    <s v="uitgaan"/>
    <m/>
    <m/>
    <m/>
    <m/>
    <m/>
    <m/>
    <m/>
    <m/>
    <m/>
    <m/>
  </r>
  <r>
    <n v="876"/>
    <x v="5"/>
    <m/>
    <x v="2"/>
    <x v="49"/>
    <d v="2018-04-15T00:00:00"/>
    <d v="2018-04-15T00:00:00"/>
    <n v="-3"/>
    <n v="3"/>
    <m/>
    <s v="pizza 18/4"/>
    <s v="UIT"/>
    <s v="UITGAAN"/>
    <s v="snack"/>
    <m/>
    <m/>
    <m/>
    <m/>
    <m/>
    <m/>
    <m/>
    <m/>
    <m/>
    <m/>
  </r>
  <r>
    <n v="878"/>
    <x v="5"/>
    <m/>
    <x v="2"/>
    <x v="49"/>
    <d v="2018-04-15T00:00:00"/>
    <d v="2018-04-15T00:00:00"/>
    <n v="-2.5"/>
    <n v="2.5"/>
    <m/>
    <s v="tremezzino"/>
    <s v="UIT"/>
    <s v="UITGAAN"/>
    <s v="uitgaan"/>
    <m/>
    <m/>
    <m/>
    <m/>
    <m/>
    <m/>
    <m/>
    <m/>
    <m/>
    <m/>
  </r>
  <r>
    <n v="879"/>
    <x v="5"/>
    <m/>
    <x v="2"/>
    <x v="49"/>
    <d v="2018-04-15T00:00:00"/>
    <d v="2018-04-15T00:00:00"/>
    <n v="-2"/>
    <n v="2"/>
    <m/>
    <s v="capp+cafe 19/4"/>
    <s v="UIT"/>
    <s v="UITGAAN"/>
    <s v="espresso"/>
    <m/>
    <m/>
    <m/>
    <m/>
    <m/>
    <m/>
    <m/>
    <m/>
    <m/>
    <m/>
  </r>
  <r>
    <n v="881"/>
    <x v="5"/>
    <m/>
    <x v="2"/>
    <x v="49"/>
    <d v="2018-04-15T00:00:00"/>
    <d v="2018-04-15T00:00:00"/>
    <n v="-4"/>
    <n v="4"/>
    <m/>
    <s v="bier na acroyoga"/>
    <s v="UIT"/>
    <s v="UITGAAN"/>
    <s v="uitgaan"/>
    <m/>
    <m/>
    <m/>
    <m/>
    <m/>
    <m/>
    <m/>
    <m/>
    <m/>
    <m/>
  </r>
  <r>
    <n v="882"/>
    <x v="5"/>
    <m/>
    <x v="2"/>
    <x v="49"/>
    <d v="2018-04-15T00:00:00"/>
    <d v="2018-04-15T00:00:00"/>
    <n v="-5"/>
    <n v="5"/>
    <m/>
    <s v="pizza met poppy"/>
    <s v="UIT"/>
    <s v="UITGAAN"/>
    <s v="uitgaan"/>
    <m/>
    <m/>
    <m/>
    <m/>
    <m/>
    <m/>
    <m/>
    <m/>
    <m/>
    <m/>
  </r>
  <r>
    <n v="886"/>
    <x v="5"/>
    <m/>
    <x v="2"/>
    <x v="49"/>
    <d v="2018-04-15T00:00:00"/>
    <d v="2018-04-15T00:00:00"/>
    <n v="-9"/>
    <n v="9"/>
    <m/>
    <s v="spritz met roberta"/>
    <s v="UIT"/>
    <s v="UITGAAN"/>
    <s v="uitgaan"/>
    <m/>
    <m/>
    <m/>
    <m/>
    <m/>
    <m/>
    <m/>
    <m/>
    <m/>
    <m/>
  </r>
  <r>
    <n v="887"/>
    <x v="5"/>
    <m/>
    <x v="2"/>
    <x v="49"/>
    <d v="2018-04-15T00:00:00"/>
    <d v="2018-04-15T00:00:00"/>
    <n v="-0.9"/>
    <n v="0.9"/>
    <m/>
    <s v="water"/>
    <s v="UIT"/>
    <s v="UITGAAN"/>
    <s v="uitgaan"/>
    <m/>
    <m/>
    <m/>
    <m/>
    <m/>
    <m/>
    <m/>
    <m/>
    <m/>
    <m/>
  </r>
  <r>
    <n v="892"/>
    <x v="5"/>
    <m/>
    <x v="2"/>
    <x v="49"/>
    <d v="2018-04-15T00:00:00"/>
    <d v="2018-04-15T00:00:00"/>
    <n v="-12.5"/>
    <n v="12.5"/>
    <m/>
    <s v="pizza 28/4"/>
    <s v="UIT"/>
    <s v="UITGAAN"/>
    <s v="restaurant"/>
    <m/>
    <m/>
    <m/>
    <m/>
    <m/>
    <m/>
    <m/>
    <m/>
    <m/>
    <m/>
  </r>
  <r>
    <n v="895"/>
    <x v="5"/>
    <m/>
    <x v="2"/>
    <x v="49"/>
    <d v="2018-04-15T00:00:00"/>
    <d v="2018-04-15T00:00:00"/>
    <n v="-2.5"/>
    <n v="2.5"/>
    <m/>
    <s v="goedepanino piazza navona miora food viazanardelli 18"/>
    <s v="UIT"/>
    <s v="UITGAAN"/>
    <s v="uitgaan"/>
    <m/>
    <m/>
    <m/>
    <m/>
    <m/>
    <m/>
    <m/>
    <m/>
    <m/>
    <m/>
  </r>
  <r>
    <n v="898"/>
    <x v="5"/>
    <m/>
    <x v="2"/>
    <x v="49"/>
    <d v="2018-04-15T00:00:00"/>
    <d v="2018-04-15T00:00:00"/>
    <n v="-2.2000000000000002"/>
    <n v="2.2000000000000002"/>
    <m/>
    <s v="fanta "/>
    <s v="UIT"/>
    <s v="UITGAAN"/>
    <s v="uitgaan"/>
    <m/>
    <m/>
    <m/>
    <m/>
    <m/>
    <m/>
    <m/>
    <m/>
    <m/>
    <m/>
  </r>
  <r>
    <n v="900"/>
    <x v="5"/>
    <m/>
    <x v="2"/>
    <x v="49"/>
    <d v="2018-04-15T00:00:00"/>
    <d v="2018-04-15T00:00:00"/>
    <n v="-19.079999999999998"/>
    <n v="19.079999999999998"/>
    <m/>
    <s v="koffie / capp 9 dgn"/>
    <s v="UIT"/>
    <s v="UITGAAN"/>
    <s v="espresso"/>
    <m/>
    <m/>
    <m/>
    <m/>
    <m/>
    <m/>
    <m/>
    <m/>
    <m/>
    <m/>
  </r>
  <r>
    <n v="904"/>
    <x v="5"/>
    <m/>
    <x v="2"/>
    <x v="50"/>
    <d v="2018-05-15T00:00:00"/>
    <d v="2018-05-15T00:00:00"/>
    <n v="-21.2"/>
    <n v="21.2"/>
    <m/>
    <s v="10 dgn espr/capp"/>
    <s v="UIT"/>
    <s v="UITGAAN"/>
    <s v="espresso"/>
    <m/>
    <m/>
    <m/>
    <m/>
    <m/>
    <m/>
    <m/>
    <m/>
    <m/>
    <m/>
  </r>
  <r>
    <n v="907"/>
    <x v="5"/>
    <m/>
    <x v="2"/>
    <x v="50"/>
    <d v="2018-05-15T00:00:00"/>
    <d v="2018-05-15T00:00:00"/>
    <n v="-10"/>
    <n v="10"/>
    <m/>
    <s v="pizza rome"/>
    <s v="UIT"/>
    <s v="UITGAAN"/>
    <s v="restaurant"/>
    <m/>
    <m/>
    <m/>
    <m/>
    <m/>
    <m/>
    <m/>
    <m/>
    <m/>
    <m/>
  </r>
  <r>
    <n v="908"/>
    <x v="5"/>
    <m/>
    <x v="2"/>
    <x v="50"/>
    <d v="2018-05-15T00:00:00"/>
    <d v="2018-05-15T00:00:00"/>
    <n v="-10"/>
    <n v="10"/>
    <m/>
    <s v="pizza favolosa"/>
    <s v="UIT"/>
    <s v="UITGAAN"/>
    <s v="restaurant"/>
    <m/>
    <m/>
    <m/>
    <m/>
    <m/>
    <m/>
    <m/>
    <m/>
    <m/>
    <m/>
  </r>
  <r>
    <n v="909"/>
    <x v="5"/>
    <m/>
    <x v="2"/>
    <x v="50"/>
    <d v="2018-05-15T00:00:00"/>
    <d v="2018-05-15T00:00:00"/>
    <n v="-10"/>
    <n v="10"/>
    <m/>
    <s v="pizzapenta2000"/>
    <s v="UIT"/>
    <s v="UITGAAN"/>
    <s v="uitgaan"/>
    <m/>
    <m/>
    <m/>
    <m/>
    <m/>
    <m/>
    <m/>
    <m/>
    <m/>
    <m/>
  </r>
  <r>
    <n v="910"/>
    <x v="5"/>
    <m/>
    <x v="2"/>
    <x v="50"/>
    <d v="2018-05-15T00:00:00"/>
    <d v="2018-05-15T00:00:00"/>
    <n v="-16"/>
    <n v="16"/>
    <m/>
    <s v="gnocchi 7 ocche"/>
    <s v="UIT"/>
    <s v="UITGAAN"/>
    <s v="uitgaan"/>
    <m/>
    <m/>
    <m/>
    <m/>
    <m/>
    <m/>
    <m/>
    <m/>
    <m/>
    <m/>
  </r>
  <r>
    <n v="911"/>
    <x v="5"/>
    <m/>
    <x v="2"/>
    <x v="50"/>
    <d v="2018-05-15T00:00:00"/>
    <d v="2018-05-15T00:00:00"/>
    <n v="-9"/>
    <n v="9"/>
    <m/>
    <s v="piza florida"/>
    <s v="UIT"/>
    <s v="UITGAAN"/>
    <s v="snack"/>
    <m/>
    <m/>
    <m/>
    <m/>
    <m/>
    <m/>
    <m/>
    <m/>
    <m/>
    <m/>
  </r>
  <r>
    <n v="913"/>
    <x v="5"/>
    <m/>
    <x v="2"/>
    <x v="50"/>
    <d v="2018-05-15T00:00:00"/>
    <d v="2018-05-15T00:00:00"/>
    <n v="-12"/>
    <n v="12"/>
    <m/>
    <s v="coloseum"/>
    <s v="UIT"/>
    <s v="UITGAAN"/>
    <s v="uitgaan"/>
    <m/>
    <m/>
    <m/>
    <m/>
    <m/>
    <m/>
    <m/>
    <m/>
    <m/>
    <m/>
  </r>
  <r>
    <n v="916"/>
    <x v="5"/>
    <m/>
    <x v="2"/>
    <x v="50"/>
    <d v="2018-05-15T00:00:00"/>
    <d v="2018-05-15T00:00:00"/>
    <n v="-2.8"/>
    <n v="2.8"/>
    <m/>
    <s v="bier"/>
    <s v="UIT"/>
    <s v="UITGAAN"/>
    <s v="uitgaan"/>
    <m/>
    <m/>
    <m/>
    <m/>
    <m/>
    <m/>
    <m/>
    <m/>
    <m/>
    <m/>
  </r>
  <r>
    <n v="917"/>
    <x v="5"/>
    <m/>
    <x v="2"/>
    <x v="50"/>
    <d v="2018-05-15T00:00:00"/>
    <d v="2018-05-15T00:00:00"/>
    <n v="-2.2000000000000002"/>
    <n v="2.2000000000000002"/>
    <m/>
    <s v="bier"/>
    <s v="UIT"/>
    <s v="UITGAAN"/>
    <s v="uitgaan"/>
    <m/>
    <m/>
    <m/>
    <m/>
    <m/>
    <m/>
    <m/>
    <m/>
    <m/>
    <m/>
  </r>
  <r>
    <n v="920"/>
    <x v="5"/>
    <m/>
    <x v="2"/>
    <x v="50"/>
    <d v="2018-05-15T00:00:00"/>
    <d v="2018-05-15T00:00:00"/>
    <n v="-1.2"/>
    <n v="1.2"/>
    <m/>
    <s v="snickers"/>
    <s v="UIT"/>
    <s v="UITGAAN"/>
    <s v="snack"/>
    <m/>
    <m/>
    <m/>
    <m/>
    <m/>
    <m/>
    <m/>
    <m/>
    <m/>
    <m/>
  </r>
  <r>
    <n v="922"/>
    <x v="5"/>
    <m/>
    <x v="2"/>
    <x v="50"/>
    <d v="2018-05-15T00:00:00"/>
    <d v="2018-05-15T00:00:00"/>
    <n v="-8"/>
    <n v="8"/>
    <m/>
    <s v="koffie 4 dgn"/>
    <s v="UIT"/>
    <s v="UITGAAN"/>
    <s v="espresso"/>
    <m/>
    <m/>
    <m/>
    <m/>
    <m/>
    <m/>
    <m/>
    <m/>
    <m/>
    <m/>
  </r>
  <r>
    <n v="925"/>
    <x v="5"/>
    <m/>
    <x v="2"/>
    <x v="50"/>
    <d v="2018-05-15T00:00:00"/>
    <d v="2018-05-15T00:00:00"/>
    <n v="-14.7"/>
    <n v="14.7"/>
    <m/>
    <s v="7 dgn koffie"/>
    <s v="UIT"/>
    <s v="UITGAAN"/>
    <s v="espresso"/>
    <m/>
    <m/>
    <m/>
    <m/>
    <m/>
    <m/>
    <m/>
    <m/>
    <m/>
    <m/>
  </r>
  <r>
    <n v="928"/>
    <x v="5"/>
    <m/>
    <x v="2"/>
    <x v="50"/>
    <d v="2018-05-15T00:00:00"/>
    <d v="2018-05-15T00:00:00"/>
    <n v="-1.2"/>
    <n v="1.2"/>
    <m/>
    <s v="snickers"/>
    <s v="UIT"/>
    <s v="UITGAAN"/>
    <s v="snack"/>
    <m/>
    <m/>
    <m/>
    <m/>
    <m/>
    <m/>
    <m/>
    <m/>
    <m/>
    <m/>
  </r>
  <r>
    <n v="930"/>
    <x v="5"/>
    <m/>
    <x v="2"/>
    <x v="50"/>
    <d v="2018-05-15T00:00:00"/>
    <d v="2018-05-15T00:00:00"/>
    <n v="2"/>
    <n v="2"/>
    <m/>
    <s v="mcdonads met caroline"/>
    <s v="UIT"/>
    <s v="UITGAAN"/>
    <s v="uitgaan"/>
    <m/>
    <m/>
    <m/>
    <m/>
    <m/>
    <m/>
    <m/>
    <m/>
    <m/>
    <m/>
  </r>
  <r>
    <n v="931"/>
    <x v="5"/>
    <m/>
    <x v="2"/>
    <x v="50"/>
    <d v="2018-05-15T00:00:00"/>
    <d v="2018-05-15T00:00:00"/>
    <n v="-2.9"/>
    <n v="2.9"/>
    <m/>
    <s v="pizza florida 26/5"/>
    <s v="UIT"/>
    <s v="UITGAAN"/>
    <s v="snack"/>
    <m/>
    <m/>
    <m/>
    <m/>
    <m/>
    <m/>
    <m/>
    <m/>
    <m/>
    <m/>
  </r>
  <r>
    <n v="934"/>
    <x v="5"/>
    <m/>
    <x v="2"/>
    <x v="50"/>
    <d v="2018-05-15T00:00:00"/>
    <d v="2018-05-15T00:00:00"/>
    <n v="-5"/>
    <n v="5"/>
    <m/>
    <s v="drinken station carolina"/>
    <s v="UIT"/>
    <s v="UITGAAN"/>
    <s v="uitgaan"/>
    <m/>
    <m/>
    <m/>
    <m/>
    <m/>
    <m/>
    <m/>
    <m/>
    <m/>
    <m/>
  </r>
  <r>
    <n v="935"/>
    <x v="5"/>
    <m/>
    <x v="2"/>
    <x v="50"/>
    <d v="2018-05-15T00:00:00"/>
    <d v="2018-05-15T00:00:00"/>
    <n v="-16.8"/>
    <n v="16.8"/>
    <m/>
    <s v="8 dgn koffie"/>
    <s v="UIT"/>
    <s v="UITGAAN"/>
    <s v="espresso"/>
    <m/>
    <m/>
    <m/>
    <m/>
    <m/>
    <m/>
    <m/>
    <m/>
    <m/>
    <m/>
  </r>
  <r>
    <n v="936"/>
    <x v="5"/>
    <m/>
    <x v="2"/>
    <x v="50"/>
    <d v="2018-05-15T00:00:00"/>
    <d v="2018-05-15T00:00:00"/>
    <n v="-2.5"/>
    <n v="2.5"/>
    <m/>
    <s v="ijsje fata morgana"/>
    <s v="UIT"/>
    <s v="UITGAAN"/>
    <s v="uitgaan"/>
    <m/>
    <m/>
    <m/>
    <m/>
    <m/>
    <m/>
    <m/>
    <m/>
    <m/>
    <m/>
  </r>
  <r>
    <n v="940"/>
    <x v="5"/>
    <m/>
    <x v="2"/>
    <x v="50"/>
    <d v="2018-05-15T00:00:00"/>
    <d v="2018-05-15T00:00:00"/>
    <n v="-6"/>
    <n v="6"/>
    <m/>
    <s v="koffie 3 dgn"/>
    <s v="UIT"/>
    <s v="UITGAAN"/>
    <s v="espresso"/>
    <m/>
    <m/>
    <m/>
    <m/>
    <m/>
    <m/>
    <m/>
    <m/>
    <m/>
    <m/>
  </r>
  <r>
    <n v="941"/>
    <x v="5"/>
    <m/>
    <x v="2"/>
    <x v="51"/>
    <d v="2018-06-03T00:00:00"/>
    <d v="2018-06-03T00:00:00"/>
    <n v="-11"/>
    <n v="11"/>
    <m/>
    <s v="bierfestival3/6"/>
    <s v="UIT"/>
    <s v="UITGAAN"/>
    <s v="uitgaan"/>
    <m/>
    <m/>
    <m/>
    <m/>
    <m/>
    <m/>
    <m/>
    <m/>
    <m/>
    <m/>
  </r>
  <r>
    <n v="944"/>
    <x v="5"/>
    <m/>
    <x v="2"/>
    <x v="51"/>
    <d v="2018-06-03T00:00:00"/>
    <d v="2018-06-03T00:00:00"/>
    <n v="-14"/>
    <n v="14"/>
    <m/>
    <s v="7xcapp+koffie"/>
    <s v="UIT"/>
    <s v="UITGAAN"/>
    <s v="espresso"/>
    <m/>
    <m/>
    <m/>
    <m/>
    <m/>
    <m/>
    <m/>
    <m/>
    <m/>
    <m/>
  </r>
  <r>
    <n v="945"/>
    <x v="5"/>
    <m/>
    <x v="2"/>
    <x v="51"/>
    <d v="2018-06-03T00:00:00"/>
    <d v="2018-06-03T00:00:00"/>
    <n v="-4"/>
    <n v="4"/>
    <m/>
    <s v="ijsjes 2x"/>
    <s v="UIT"/>
    <s v="UITGAAN"/>
    <s v="snack"/>
    <m/>
    <m/>
    <m/>
    <m/>
    <m/>
    <m/>
    <m/>
    <m/>
    <m/>
    <m/>
  </r>
  <r>
    <n v="946"/>
    <x v="5"/>
    <m/>
    <x v="2"/>
    <x v="51"/>
    <d v="2018-06-03T00:00:00"/>
    <d v="2018-06-03T00:00:00"/>
    <n v="-0.8"/>
    <n v="0.8"/>
    <m/>
    <s v="water"/>
    <s v="UIT"/>
    <s v="UITGAAN"/>
    <s v="snack"/>
    <m/>
    <m/>
    <m/>
    <m/>
    <m/>
    <m/>
    <m/>
    <m/>
    <m/>
    <m/>
  </r>
  <r>
    <n v="951"/>
    <x v="5"/>
    <m/>
    <x v="2"/>
    <x v="51"/>
    <d v="2018-06-03T00:00:00"/>
    <d v="2018-06-03T00:00:00"/>
    <n v="-21"/>
    <n v="21"/>
    <m/>
    <s v="karaokeparty"/>
    <s v="UIT"/>
    <s v="UITGAAN"/>
    <s v="uitgaan"/>
    <m/>
    <m/>
    <m/>
    <m/>
    <m/>
    <m/>
    <m/>
    <m/>
    <m/>
    <m/>
  </r>
  <r>
    <n v="952"/>
    <x v="5"/>
    <m/>
    <x v="2"/>
    <x v="51"/>
    <d v="2018-06-03T00:00:00"/>
    <d v="2018-06-03T00:00:00"/>
    <n v="-2"/>
    <n v="2"/>
    <m/>
    <s v="ijsje 11/6"/>
    <s v="UIT"/>
    <s v="UITGAAN"/>
    <s v="snack"/>
    <m/>
    <m/>
    <m/>
    <m/>
    <m/>
    <m/>
    <m/>
    <m/>
    <m/>
    <m/>
  </r>
  <r>
    <n v="956"/>
    <x v="5"/>
    <m/>
    <x v="2"/>
    <x v="51"/>
    <d v="2018-06-03T00:00:00"/>
    <d v="2018-06-03T00:00:00"/>
    <n v="-22"/>
    <n v="22"/>
    <m/>
    <s v="10 dgn espr/capp"/>
    <s v="UIT"/>
    <s v="UITGAAN"/>
    <s v="espresso"/>
    <m/>
    <m/>
    <m/>
    <m/>
    <m/>
    <m/>
    <m/>
    <m/>
    <m/>
    <m/>
  </r>
  <r>
    <n v="959"/>
    <x v="5"/>
    <m/>
    <x v="2"/>
    <x v="51"/>
    <d v="2018-06-03T00:00:00"/>
    <d v="2018-06-03T00:00:00"/>
    <n v="-11.5"/>
    <n v="11.5"/>
    <m/>
    <s v="pizza 23/6"/>
    <s v="UIT"/>
    <s v="UITGAAN"/>
    <s v="restaurant"/>
    <m/>
    <m/>
    <m/>
    <m/>
    <m/>
    <m/>
    <m/>
    <m/>
    <m/>
    <m/>
  </r>
  <r>
    <n v="960"/>
    <x v="5"/>
    <m/>
    <x v="2"/>
    <x v="51"/>
    <d v="2018-06-03T00:00:00"/>
    <d v="2018-06-03T00:00:00"/>
    <n v="-10"/>
    <n v="10"/>
    <m/>
    <s v="5 dgn koffie capp"/>
    <s v="UIT"/>
    <s v="UITGAAN"/>
    <s v="espresso"/>
    <m/>
    <m/>
    <m/>
    <m/>
    <m/>
    <m/>
    <m/>
    <m/>
    <m/>
    <m/>
  </r>
  <r>
    <n v="962"/>
    <x v="5"/>
    <m/>
    <x v="2"/>
    <x v="51"/>
    <d v="2018-06-03T00:00:00"/>
    <d v="2018-06-03T00:00:00"/>
    <n v="-11.1"/>
    <n v="11.1"/>
    <m/>
    <s v="6 dgn koffie"/>
    <s v="UIT"/>
    <s v="UITGAAN"/>
    <s v="espresso"/>
    <m/>
    <m/>
    <m/>
    <m/>
    <m/>
    <m/>
    <m/>
    <m/>
    <m/>
    <m/>
  </r>
  <r>
    <n v="964"/>
    <x v="5"/>
    <m/>
    <x v="2"/>
    <x v="51"/>
    <d v="2018-06-03T00:00:00"/>
    <d v="2018-06-03T00:00:00"/>
    <n v="-2"/>
    <n v="2"/>
    <m/>
    <s v="water il curvone"/>
    <s v="UIT"/>
    <s v="UITGAAN"/>
    <s v="snack"/>
    <m/>
    <m/>
    <m/>
    <m/>
    <m/>
    <m/>
    <m/>
    <m/>
    <m/>
    <m/>
  </r>
  <r>
    <n v="965"/>
    <x v="5"/>
    <m/>
    <x v="2"/>
    <x v="51"/>
    <d v="2018-06-03T00:00:00"/>
    <d v="2018-06-03T00:00:00"/>
    <n v="-3.5"/>
    <n v="3.5"/>
    <m/>
    <s v="bierjte 29/6"/>
    <s v="UIT"/>
    <s v="UITGAAN"/>
    <s v="uitgaan"/>
    <m/>
    <m/>
    <m/>
    <m/>
    <m/>
    <m/>
    <m/>
    <m/>
    <m/>
    <m/>
  </r>
  <r>
    <n v="966"/>
    <x v="5"/>
    <m/>
    <x v="2"/>
    <x v="51"/>
    <d v="2018-06-03T00:00:00"/>
    <d v="2018-06-03T00:00:00"/>
    <n v="-3"/>
    <n v="3"/>
    <m/>
    <s v="ijsje+water acilia"/>
    <s v="UIT"/>
    <s v="UITGAAN"/>
    <s v="snack"/>
    <m/>
    <m/>
    <m/>
    <m/>
    <m/>
    <m/>
    <m/>
    <m/>
    <m/>
    <m/>
  </r>
  <r>
    <n v="967"/>
    <x v="5"/>
    <m/>
    <x v="2"/>
    <x v="52"/>
    <d v="2018-07-03T00:00:00"/>
    <d v="2018-07-03T00:00:00"/>
    <n v="-7.4"/>
    <n v="7.4"/>
    <m/>
    <s v="4 dgn koffie"/>
    <s v="UIT"/>
    <s v="UITGAAN"/>
    <s v="espresso"/>
    <m/>
    <m/>
    <m/>
    <m/>
    <m/>
    <m/>
    <m/>
    <m/>
    <m/>
    <m/>
  </r>
  <r>
    <n v="970"/>
    <x v="5"/>
    <m/>
    <x v="2"/>
    <x v="52"/>
    <d v="2018-07-03T00:00:00"/>
    <d v="2018-07-03T00:00:00"/>
    <n v="-8.5"/>
    <n v="8.5"/>
    <m/>
    <s v="broodje ioanna 1/7"/>
    <s v="UIT"/>
    <s v="UITGAAN"/>
    <s v="uitgaan"/>
    <m/>
    <m/>
    <m/>
    <m/>
    <m/>
    <m/>
    <m/>
    <m/>
    <m/>
    <m/>
  </r>
  <r>
    <n v="973"/>
    <x v="5"/>
    <m/>
    <x v="2"/>
    <x v="52"/>
    <d v="2018-07-03T00:00:00"/>
    <d v="2018-07-03T00:00:00"/>
    <n v="-0.7"/>
    <n v="0.7"/>
    <m/>
    <s v="water pizza florida"/>
    <s v="UIT"/>
    <s v="UITGAAN"/>
    <s v="snack"/>
    <m/>
    <m/>
    <m/>
    <m/>
    <m/>
    <m/>
    <m/>
    <m/>
    <m/>
    <m/>
  </r>
  <r>
    <n v="977"/>
    <x v="5"/>
    <m/>
    <x v="2"/>
    <x v="52"/>
    <d v="2018-07-03T00:00:00"/>
    <d v="2018-07-03T00:00:00"/>
    <n v="-2.8"/>
    <n v="2.8"/>
    <m/>
    <s v="pizza flroida"/>
    <s v="UIT"/>
    <s v="UITGAAN"/>
    <s v="snack"/>
    <m/>
    <m/>
    <m/>
    <m/>
    <m/>
    <m/>
    <m/>
    <m/>
    <m/>
    <m/>
  </r>
  <r>
    <n v="978"/>
    <x v="5"/>
    <m/>
    <x v="2"/>
    <x v="52"/>
    <d v="2018-07-03T00:00:00"/>
    <d v="2018-07-03T00:00:00"/>
    <n v="-3.82"/>
    <n v="3.82"/>
    <m/>
    <s v="broodje caprese"/>
    <s v="UIT"/>
    <s v="UITGAAN"/>
    <s v="uitgaan"/>
    <m/>
    <m/>
    <m/>
    <m/>
    <m/>
    <m/>
    <m/>
    <m/>
    <m/>
    <m/>
  </r>
  <r>
    <n v="979"/>
    <x v="5"/>
    <m/>
    <x v="2"/>
    <x v="52"/>
    <d v="2018-07-03T00:00:00"/>
    <d v="2018-07-03T00:00:00"/>
    <n v="-0.8"/>
    <n v="0.8"/>
    <m/>
    <s v="water 8/7"/>
    <s v="UIT"/>
    <s v="UITGAAN"/>
    <s v="snack"/>
    <m/>
    <m/>
    <m/>
    <m/>
    <m/>
    <m/>
    <m/>
    <m/>
    <m/>
    <m/>
  </r>
  <r>
    <n v="981"/>
    <x v="5"/>
    <m/>
    <x v="2"/>
    <x v="52"/>
    <d v="2018-07-03T00:00:00"/>
    <d v="2018-07-03T00:00:00"/>
    <n v="-23.32"/>
    <n v="23.32"/>
    <m/>
    <s v="11 dgn koffie"/>
    <s v="UIT"/>
    <s v="UITGAAN"/>
    <s v="espresso"/>
    <m/>
    <m/>
    <m/>
    <m/>
    <m/>
    <m/>
    <m/>
    <m/>
    <m/>
    <m/>
  </r>
  <r>
    <n v="983"/>
    <x v="5"/>
    <m/>
    <x v="2"/>
    <x v="52"/>
    <d v="2018-07-03T00:00:00"/>
    <d v="2018-07-03T00:00:00"/>
    <n v="-25.2"/>
    <n v="25.2"/>
    <m/>
    <s v="12 dgn koffie/capp"/>
    <s v="UIT"/>
    <s v="UITGAAN"/>
    <s v="espresso"/>
    <m/>
    <m/>
    <m/>
    <m/>
    <m/>
    <m/>
    <m/>
    <m/>
    <m/>
    <m/>
  </r>
  <r>
    <n v="985"/>
    <x v="5"/>
    <m/>
    <x v="2"/>
    <x v="52"/>
    <d v="2018-07-03T00:00:00"/>
    <d v="2018-07-03T00:00:00"/>
    <n v="-5.6"/>
    <n v="5.6"/>
    <m/>
    <s v="bier gelateria"/>
    <s v="UIT"/>
    <s v="UITGAAN"/>
    <s v="uitgaan"/>
    <m/>
    <m/>
    <m/>
    <m/>
    <m/>
    <m/>
    <m/>
    <m/>
    <m/>
    <m/>
  </r>
  <r>
    <n v="987"/>
    <x v="5"/>
    <m/>
    <x v="2"/>
    <x v="52"/>
    <d v="2018-07-03T00:00:00"/>
    <d v="2018-07-03T00:00:00"/>
    <n v="-15"/>
    <n v="15"/>
    <m/>
    <s v="pizza 24/7"/>
    <s v="UIT"/>
    <s v="UITGAAN"/>
    <s v="uitgaan"/>
    <m/>
    <m/>
    <m/>
    <m/>
    <m/>
    <m/>
    <m/>
    <m/>
    <m/>
    <m/>
  </r>
  <r>
    <n v="996"/>
    <x v="5"/>
    <m/>
    <x v="2"/>
    <x v="52"/>
    <d v="2018-07-03T00:00:00"/>
    <d v="2018-07-03T00:00:00"/>
    <n v="-18.59"/>
    <n v="18.59"/>
    <m/>
    <s v="6 dgn koffie water cap"/>
    <s v="UIT"/>
    <s v="UITGAAN"/>
    <s v="espresso"/>
    <m/>
    <m/>
    <m/>
    <m/>
    <m/>
    <m/>
    <m/>
    <m/>
    <m/>
    <m/>
  </r>
  <r>
    <n v="997"/>
    <x v="5"/>
    <m/>
    <x v="2"/>
    <x v="52"/>
    <d v="2018-07-03T00:00:00"/>
    <d v="2018-07-03T00:00:00"/>
    <n v="-10"/>
    <n v="10"/>
    <m/>
    <s v="bier met Aurora"/>
    <s v="UIT"/>
    <s v="UITGAAN"/>
    <s v="uitgaan"/>
    <m/>
    <m/>
    <m/>
    <m/>
    <m/>
    <m/>
    <m/>
    <m/>
    <m/>
    <m/>
  </r>
  <r>
    <n v="1000"/>
    <x v="5"/>
    <m/>
    <x v="2"/>
    <x v="37"/>
    <d v="2018-08-01T00:00:00"/>
    <d v="2018-08-01T00:00:00"/>
    <n v="-4.6399999999999997"/>
    <n v="4.6399999999999997"/>
    <m/>
    <s v="rondje koffie"/>
    <s v="UIT"/>
    <s v="UITGAAN"/>
    <s v="espresso"/>
    <m/>
    <m/>
    <m/>
    <m/>
    <m/>
    <m/>
    <m/>
    <m/>
    <m/>
    <m/>
  </r>
  <r>
    <n v="1001"/>
    <x v="5"/>
    <m/>
    <x v="2"/>
    <x v="37"/>
    <d v="2018-08-01T00:00:00"/>
    <d v="2018-08-01T00:00:00"/>
    <n v="-2.8"/>
    <n v="2.8"/>
    <m/>
    <s v="biertje 3/8"/>
    <s v="UIT"/>
    <s v="UITGAAN"/>
    <s v="uitgaan"/>
    <m/>
    <m/>
    <m/>
    <m/>
    <m/>
    <m/>
    <m/>
    <m/>
    <m/>
    <m/>
  </r>
  <r>
    <n v="1002"/>
    <x v="5"/>
    <m/>
    <x v="2"/>
    <x v="37"/>
    <d v="2018-08-01T00:00:00"/>
    <d v="2018-08-01T00:00:00"/>
    <n v="-6"/>
    <n v="6"/>
    <m/>
    <s v="koffie 3 dgn"/>
    <s v="UIT"/>
    <s v="UITGAAN"/>
    <s v="espresso"/>
    <m/>
    <m/>
    <m/>
    <m/>
    <m/>
    <m/>
    <m/>
    <m/>
    <m/>
    <m/>
  </r>
  <r>
    <n v="1004"/>
    <x v="5"/>
    <m/>
    <x v="2"/>
    <x v="37"/>
    <d v="2018-08-01T00:00:00"/>
    <d v="2018-08-01T00:00:00"/>
    <n v="-2"/>
    <n v="2"/>
    <m/>
    <s v="Muffin"/>
    <s v="UIT"/>
    <s v="UITGAAN"/>
    <s v="uitgaan"/>
    <m/>
    <m/>
    <m/>
    <m/>
    <m/>
    <m/>
    <m/>
    <m/>
    <m/>
    <m/>
  </r>
  <r>
    <n v="1006"/>
    <x v="5"/>
    <m/>
    <x v="2"/>
    <x v="37"/>
    <d v="2018-08-01T00:00:00"/>
    <d v="2018-08-01T00:00:00"/>
    <n v="-2.5"/>
    <n v="2.5"/>
    <m/>
    <s v="ijsje 5/8"/>
    <s v="UIT"/>
    <s v="UITGAAN"/>
    <s v="snack"/>
    <m/>
    <m/>
    <m/>
    <m/>
    <m/>
    <m/>
    <m/>
    <m/>
    <m/>
    <m/>
  </r>
  <r>
    <n v="1011"/>
    <x v="5"/>
    <m/>
    <x v="2"/>
    <x v="37"/>
    <d v="2018-08-01T00:00:00"/>
    <d v="2018-08-01T00:00:00"/>
    <n v="-22"/>
    <n v="22"/>
    <m/>
    <s v="koffie 11 dgn"/>
    <s v="UIT"/>
    <s v="UITGAAN"/>
    <s v="espresso"/>
    <m/>
    <m/>
    <m/>
    <m/>
    <m/>
    <m/>
    <m/>
    <m/>
    <m/>
    <m/>
  </r>
  <r>
    <n v="1014"/>
    <x v="5"/>
    <m/>
    <x v="2"/>
    <x v="37"/>
    <d v="2018-08-01T00:00:00"/>
    <d v="2018-08-01T00:00:00"/>
    <n v="-2.5"/>
    <n v="2.5"/>
    <m/>
    <s v="ijsje 10/8"/>
    <s v="UIT"/>
    <s v="UITGAAN"/>
    <s v="snack"/>
    <m/>
    <m/>
    <m/>
    <m/>
    <m/>
    <m/>
    <m/>
    <m/>
    <m/>
    <m/>
  </r>
  <r>
    <n v="1015"/>
    <x v="5"/>
    <m/>
    <x v="2"/>
    <x v="37"/>
    <d v="2018-08-01T00:00:00"/>
    <d v="2018-08-01T00:00:00"/>
    <n v="-4"/>
    <n v="4"/>
    <m/>
    <s v="2 dgn koffie"/>
    <s v="UIT"/>
    <s v="UITGAAN"/>
    <s v="espresso"/>
    <m/>
    <m/>
    <m/>
    <m/>
    <m/>
    <m/>
    <m/>
    <m/>
    <m/>
    <m/>
  </r>
  <r>
    <n v="1020"/>
    <x v="5"/>
    <m/>
    <x v="2"/>
    <x v="37"/>
    <d v="2018-08-01T00:00:00"/>
    <d v="2018-08-01T00:00:00"/>
    <n v="-10"/>
    <n v="10"/>
    <m/>
    <s v="aperitivo 19/8"/>
    <s v="UIT"/>
    <s v="UITGAAN"/>
    <s v="uitgaan"/>
    <m/>
    <m/>
    <m/>
    <m/>
    <m/>
    <m/>
    <m/>
    <m/>
    <m/>
    <m/>
  </r>
  <r>
    <n v="1023"/>
    <x v="5"/>
    <m/>
    <x v="2"/>
    <x v="37"/>
    <d v="2018-08-01T00:00:00"/>
    <d v="2018-08-01T00:00:00"/>
    <n v="-2.5"/>
    <n v="2.5"/>
    <m/>
    <s v="panino 23/8"/>
    <s v="UIT"/>
    <s v="UITGAAN"/>
    <s v="snack"/>
    <m/>
    <m/>
    <m/>
    <m/>
    <m/>
    <m/>
    <m/>
    <m/>
    <m/>
    <m/>
  </r>
  <r>
    <n v="1026"/>
    <x v="5"/>
    <m/>
    <x v="2"/>
    <x v="37"/>
    <d v="2018-08-01T00:00:00"/>
    <d v="2018-08-01T00:00:00"/>
    <n v="-30.24"/>
    <n v="30.24"/>
    <m/>
    <s v="12 dgn koffie"/>
    <s v="UIT"/>
    <s v="UITGAAN"/>
    <s v="espresso"/>
    <m/>
    <m/>
    <m/>
    <m/>
    <m/>
    <m/>
    <m/>
    <m/>
    <m/>
    <m/>
  </r>
  <r>
    <n v="1029"/>
    <x v="5"/>
    <m/>
    <x v="2"/>
    <x v="37"/>
    <d v="2018-08-01T00:00:00"/>
    <d v="2018-08-01T00:00:00"/>
    <n v="-1"/>
    <n v="1"/>
    <m/>
    <s v="water 23/8"/>
    <s v="UIT"/>
    <s v="UITGAAN"/>
    <s v="snack"/>
    <m/>
    <m/>
    <m/>
    <m/>
    <m/>
    <m/>
    <m/>
    <m/>
    <m/>
    <m/>
  </r>
  <r>
    <n v="1030"/>
    <x v="5"/>
    <m/>
    <x v="2"/>
    <x v="37"/>
    <d v="2018-08-01T00:00:00"/>
    <d v="2018-08-01T00:00:00"/>
    <n v="-5.04"/>
    <n v="5.04"/>
    <m/>
    <s v="2 dgn koffie "/>
    <s v="UIT"/>
    <s v="UITGAAN"/>
    <s v="espresso"/>
    <m/>
    <m/>
    <m/>
    <m/>
    <m/>
    <m/>
    <m/>
    <m/>
    <m/>
    <m/>
  </r>
  <r>
    <n v="1033"/>
    <x v="5"/>
    <m/>
    <x v="2"/>
    <x v="37"/>
    <d v="2018-08-01T00:00:00"/>
    <d v="2018-08-01T00:00:00"/>
    <n v="-6.45"/>
    <n v="6.45"/>
    <m/>
    <s v="3 dgn koffie"/>
    <s v="UIT"/>
    <s v="UITGAAN"/>
    <s v="espresso"/>
    <m/>
    <m/>
    <m/>
    <m/>
    <m/>
    <m/>
    <m/>
    <m/>
    <m/>
    <m/>
  </r>
  <r>
    <n v="1034"/>
    <x v="5"/>
    <m/>
    <x v="2"/>
    <x v="37"/>
    <d v="2018-08-01T00:00:00"/>
    <d v="2018-08-01T00:00:00"/>
    <n v="-4"/>
    <n v="4"/>
    <m/>
    <s v="kofife met karla 30/8"/>
    <s v="UIT"/>
    <s v="UITGAAN"/>
    <s v="espresso"/>
    <m/>
    <m/>
    <m/>
    <m/>
    <m/>
    <m/>
    <m/>
    <m/>
    <m/>
    <m/>
  </r>
  <r>
    <n v="1037"/>
    <x v="5"/>
    <m/>
    <x v="2"/>
    <x v="12"/>
    <d v="2018-09-01T00:00:00"/>
    <d v="2018-09-01T00:00:00"/>
    <n v="-2.5"/>
    <n v="2.5"/>
    <m/>
    <s v="ijsje 30/8"/>
    <s v="UIT"/>
    <s v="UITGAAN"/>
    <s v="snack"/>
    <m/>
    <m/>
    <m/>
    <m/>
    <m/>
    <m/>
    <m/>
    <m/>
    <m/>
    <m/>
  </r>
  <r>
    <n v="1039"/>
    <x v="5"/>
    <m/>
    <x v="2"/>
    <x v="12"/>
    <d v="2018-09-01T00:00:00"/>
    <d v="2018-09-01T00:00:00"/>
    <n v="-14"/>
    <n v="14"/>
    <m/>
    <s v="kebab met karla"/>
    <s v="UIT"/>
    <s v="UITGAAN"/>
    <s v="uitgaan"/>
    <m/>
    <m/>
    <m/>
    <m/>
    <m/>
    <m/>
    <m/>
    <m/>
    <m/>
    <m/>
  </r>
  <r>
    <n v="1042"/>
    <x v="5"/>
    <m/>
    <x v="2"/>
    <x v="12"/>
    <d v="2018-09-01T00:00:00"/>
    <d v="2018-09-01T00:00:00"/>
    <n v="-2.5"/>
    <n v="2.5"/>
    <m/>
    <s v="ijsje fata morgana"/>
    <s v="UIT"/>
    <s v="UITGAAN"/>
    <s v="snack"/>
    <m/>
    <m/>
    <m/>
    <m/>
    <m/>
    <m/>
    <m/>
    <m/>
    <m/>
    <m/>
  </r>
  <r>
    <n v="1043"/>
    <x v="5"/>
    <m/>
    <x v="2"/>
    <x v="12"/>
    <d v="2018-09-01T00:00:00"/>
    <d v="2018-09-01T00:00:00"/>
    <n v="-3.2"/>
    <n v="3.2"/>
    <m/>
    <s v="pizza piazza barberini"/>
    <s v="UIT"/>
    <s v="UITGAAN"/>
    <s v="uitgaan"/>
    <m/>
    <m/>
    <m/>
    <m/>
    <m/>
    <m/>
    <m/>
    <m/>
    <m/>
    <m/>
  </r>
  <r>
    <n v="1044"/>
    <x v="5"/>
    <m/>
    <x v="2"/>
    <x v="12"/>
    <d v="2018-09-01T00:00:00"/>
    <d v="2018-09-01T00:00:00"/>
    <n v="-8.6"/>
    <n v="8.6"/>
    <m/>
    <s v="4 dgn koffie"/>
    <s v="UIT"/>
    <s v="UITGAAN"/>
    <s v="espresso"/>
    <m/>
    <m/>
    <m/>
    <m/>
    <m/>
    <m/>
    <m/>
    <m/>
    <m/>
    <m/>
  </r>
  <r>
    <n v="1048"/>
    <x v="5"/>
    <m/>
    <x v="2"/>
    <x v="12"/>
    <d v="2018-09-01T00:00:00"/>
    <d v="2018-09-01T00:00:00"/>
    <n v="-10"/>
    <n v="10"/>
    <m/>
    <s v="Centocelle 12/9"/>
    <s v="UIT"/>
    <s v="UITGAAN"/>
    <s v="uitgaan"/>
    <m/>
    <m/>
    <m/>
    <m/>
    <m/>
    <m/>
    <m/>
    <m/>
    <m/>
    <m/>
  </r>
  <r>
    <n v="1053"/>
    <x v="5"/>
    <m/>
    <x v="2"/>
    <x v="12"/>
    <d v="2018-09-01T00:00:00"/>
    <d v="2018-09-01T00:00:00"/>
    <n v="-5.22"/>
    <n v="5.22"/>
    <m/>
    <s v="Pizza al taglio 9/9+water"/>
    <s v="UIT"/>
    <s v="UITGAAN"/>
    <s v="snack"/>
    <m/>
    <m/>
    <m/>
    <m/>
    <m/>
    <m/>
    <m/>
    <m/>
    <m/>
    <m/>
  </r>
  <r>
    <n v="1058"/>
    <x v="5"/>
    <m/>
    <x v="2"/>
    <x v="12"/>
    <d v="2018-09-01T00:00:00"/>
    <d v="2018-09-01T00:00:00"/>
    <n v="-18"/>
    <n v="18"/>
    <m/>
    <s v="9 dagen koffie"/>
    <s v="UIT"/>
    <s v="UITGAAN"/>
    <s v="espresso"/>
    <m/>
    <m/>
    <m/>
    <m/>
    <m/>
    <m/>
    <m/>
    <m/>
    <m/>
    <m/>
  </r>
  <r>
    <n v="1059"/>
    <x v="5"/>
    <m/>
    <x v="2"/>
    <x v="12"/>
    <d v="2018-09-01T00:00:00"/>
    <d v="2018-09-01T00:00:00"/>
    <n v="-1.8"/>
    <n v="1.8"/>
    <m/>
    <s v="water centocelle"/>
    <s v="UIT"/>
    <s v="UITGAAN"/>
    <s v="snack"/>
    <m/>
    <m/>
    <m/>
    <m/>
    <m/>
    <m/>
    <m/>
    <m/>
    <m/>
    <m/>
  </r>
  <r>
    <n v="1064"/>
    <x v="5"/>
    <m/>
    <x v="2"/>
    <x v="12"/>
    <d v="2018-09-01T00:00:00"/>
    <d v="2018-09-01T00:00:00"/>
    <n v="-17"/>
    <n v="17"/>
    <m/>
    <s v="koffie 9 dgn "/>
    <s v="UIT"/>
    <s v="UITGAAN"/>
    <s v="espresso"/>
    <m/>
    <m/>
    <m/>
    <m/>
    <m/>
    <m/>
    <m/>
    <m/>
    <m/>
    <m/>
  </r>
  <r>
    <n v="1065"/>
    <x v="5"/>
    <m/>
    <x v="2"/>
    <x v="12"/>
    <d v="2018-09-01T00:00:00"/>
    <d v="2018-09-01T00:00:00"/>
    <n v="-10"/>
    <n v="10"/>
    <m/>
    <s v="uit eten chinees/jappanner"/>
    <s v="UIT"/>
    <s v="UITGAAN"/>
    <s v="uitgaan"/>
    <m/>
    <m/>
    <m/>
    <m/>
    <m/>
    <m/>
    <m/>
    <m/>
    <m/>
    <m/>
  </r>
  <r>
    <n v="1066"/>
    <x v="5"/>
    <m/>
    <x v="2"/>
    <x v="12"/>
    <d v="2018-09-01T00:00:00"/>
    <d v="2018-09-01T00:00:00"/>
    <n v="-15"/>
    <n v="15"/>
    <m/>
    <s v="pizza porta da sole"/>
    <s v="UIT"/>
    <s v="UITGAAN"/>
    <s v="restaurant"/>
    <m/>
    <m/>
    <m/>
    <m/>
    <m/>
    <m/>
    <m/>
    <m/>
    <m/>
    <m/>
  </r>
  <r>
    <n v="1067"/>
    <x v="5"/>
    <m/>
    <x v="2"/>
    <x v="12"/>
    <d v="2018-09-01T00:00:00"/>
    <d v="2018-09-01T00:00:00"/>
    <n v="-2.5"/>
    <n v="2.5"/>
    <m/>
    <s v="arancino 16/9"/>
    <s v="UIT"/>
    <s v="UITGAAN"/>
    <s v="snack"/>
    <m/>
    <m/>
    <m/>
    <m/>
    <m/>
    <m/>
    <m/>
    <m/>
    <m/>
    <m/>
  </r>
  <r>
    <n v="1070"/>
    <x v="5"/>
    <m/>
    <x v="2"/>
    <x v="12"/>
    <d v="2018-09-01T00:00:00"/>
    <d v="2018-09-01T00:00:00"/>
    <n v="-1.17"/>
    <n v="1.17"/>
    <m/>
    <s v="supli 25/9"/>
    <s v="UIT"/>
    <s v="UITGAAN"/>
    <s v="snack"/>
    <m/>
    <m/>
    <m/>
    <m/>
    <m/>
    <m/>
    <m/>
    <m/>
    <m/>
    <m/>
  </r>
  <r>
    <n v="1073"/>
    <x v="5"/>
    <m/>
    <x v="2"/>
    <x v="12"/>
    <d v="2018-09-01T00:00:00"/>
    <d v="2018-09-01T00:00:00"/>
    <n v="-3.8"/>
    <n v="3.8"/>
    <m/>
    <s v="curvone"/>
    <s v="UIT"/>
    <s v="UITGAAN"/>
    <s v="uitgaan"/>
    <m/>
    <m/>
    <m/>
    <m/>
    <m/>
    <m/>
    <m/>
    <m/>
    <m/>
    <m/>
  </r>
  <r>
    <n v="1074"/>
    <x v="5"/>
    <m/>
    <x v="2"/>
    <x v="12"/>
    <d v="2018-09-01T00:00:00"/>
    <d v="2018-09-01T00:00:00"/>
    <n v="-2.5"/>
    <n v="2.5"/>
    <m/>
    <s v="panino miora food"/>
    <s v="UIT"/>
    <s v="UITGAAN"/>
    <s v="snack"/>
    <m/>
    <m/>
    <m/>
    <m/>
    <m/>
    <m/>
    <m/>
    <m/>
    <m/>
    <m/>
  </r>
  <r>
    <n v="1076"/>
    <x v="5"/>
    <m/>
    <x v="2"/>
    <x v="12"/>
    <d v="2018-09-01T00:00:00"/>
    <d v="2018-09-01T00:00:00"/>
    <n v="-14"/>
    <n v="14"/>
    <m/>
    <s v="koffie 7 dgn"/>
    <s v="UIT"/>
    <s v="UITGAAN"/>
    <s v="espresso"/>
    <m/>
    <m/>
    <m/>
    <m/>
    <m/>
    <m/>
    <m/>
    <m/>
    <m/>
    <m/>
  </r>
  <r>
    <n v="1078"/>
    <x v="5"/>
    <m/>
    <x v="2"/>
    <x v="12"/>
    <d v="2018-09-01T00:00:00"/>
    <d v="2018-09-01T00:00:00"/>
    <n v="-10"/>
    <n v="10"/>
    <m/>
    <s v="japanner"/>
    <s v="UIT"/>
    <s v="UITGAAN"/>
    <s v="uitgaan"/>
    <m/>
    <m/>
    <m/>
    <m/>
    <m/>
    <m/>
    <m/>
    <m/>
    <m/>
    <m/>
  </r>
  <r>
    <n v="1079"/>
    <x v="5"/>
    <m/>
    <x v="2"/>
    <x v="12"/>
    <d v="2018-09-01T00:00:00"/>
    <d v="2018-09-01T00:00:00"/>
    <n v="-30"/>
    <n v="30"/>
    <m/>
    <s v="bier+bitratoria"/>
    <s v="UIT"/>
    <s v="UITGAAN"/>
    <s v="uitgaan"/>
    <m/>
    <m/>
    <m/>
    <m/>
    <m/>
    <m/>
    <m/>
    <m/>
    <m/>
    <m/>
  </r>
  <r>
    <n v="1083"/>
    <x v="5"/>
    <m/>
    <x v="2"/>
    <x v="12"/>
    <d v="2018-09-01T00:00:00"/>
    <d v="2018-09-01T00:00:00"/>
    <n v="-6.5"/>
    <n v="6.5"/>
    <m/>
    <s v="pasta 30/9"/>
    <s v="UIT"/>
    <s v="UITGAAN"/>
    <s v="uitgaan"/>
    <m/>
    <m/>
    <m/>
    <m/>
    <m/>
    <m/>
    <m/>
    <m/>
    <m/>
    <m/>
  </r>
  <r>
    <n v="1084"/>
    <x v="5"/>
    <m/>
    <x v="2"/>
    <x v="11"/>
    <d v="2018-10-01T00:00:00"/>
    <d v="2018-10-01T00:00:00"/>
    <n v="-1.7"/>
    <n v="1.7"/>
    <m/>
    <s v="cappucino vliegveld"/>
    <s v="UIT"/>
    <s v="UITGAAN"/>
    <s v="espresso"/>
    <m/>
    <m/>
    <m/>
    <m/>
    <m/>
    <m/>
    <m/>
    <m/>
    <m/>
    <m/>
  </r>
  <r>
    <n v="1085"/>
    <x v="5"/>
    <m/>
    <x v="2"/>
    <x v="11"/>
    <d v="2018-10-01T00:00:00"/>
    <d v="2018-10-01T00:00:00"/>
    <n v="-2.6"/>
    <n v="2.6"/>
    <m/>
    <s v="fanta vliegtuig"/>
    <s v="UIT"/>
    <s v="UITGAAN"/>
    <s v="uitgaan"/>
    <m/>
    <m/>
    <m/>
    <m/>
    <m/>
    <m/>
    <m/>
    <m/>
    <m/>
    <m/>
  </r>
  <r>
    <n v="1086"/>
    <x v="5"/>
    <m/>
    <x v="2"/>
    <x v="11"/>
    <d v="2018-10-01T00:00:00"/>
    <d v="2018-10-01T00:00:00"/>
    <n v="-4"/>
    <n v="4"/>
    <m/>
    <s v="2x koffie/capp"/>
    <s v="UIT"/>
    <s v="UITGAAN"/>
    <s v="espresso"/>
    <m/>
    <m/>
    <m/>
    <m/>
    <m/>
    <m/>
    <m/>
    <m/>
    <m/>
    <m/>
  </r>
  <r>
    <n v="1089"/>
    <x v="5"/>
    <m/>
    <x v="2"/>
    <x v="11"/>
    <d v="2018-10-01T00:00:00"/>
    <d v="2018-10-01T00:00:00"/>
    <n v="-6.5"/>
    <n v="6.5"/>
    <m/>
    <s v="doppio 6,50"/>
    <s v="UIT"/>
    <s v="UITGAAN"/>
    <s v="espresso"/>
    <m/>
    <m/>
    <m/>
    <m/>
    <m/>
    <m/>
    <m/>
    <m/>
    <m/>
    <m/>
  </r>
  <r>
    <n v="1092"/>
    <x v="5"/>
    <m/>
    <x v="2"/>
    <x v="11"/>
    <d v="2018-10-01T00:00:00"/>
    <d v="2018-10-01T00:00:00"/>
    <n v="-3.25"/>
    <n v="3.25"/>
    <m/>
    <s v="espresso barista cafe"/>
    <s v="UIT"/>
    <s v="UITGAAN"/>
    <s v="espresso"/>
    <m/>
    <m/>
    <m/>
    <m/>
    <m/>
    <m/>
    <m/>
    <m/>
    <m/>
    <m/>
  </r>
  <r>
    <n v="1093"/>
    <x v="5"/>
    <m/>
    <x v="2"/>
    <x v="11"/>
    <d v="2018-10-01T00:00:00"/>
    <d v="2018-10-01T00:00:00"/>
    <n v="-3.5"/>
    <n v="3.5"/>
    <m/>
    <s v="capp ziekenhuis"/>
    <s v="UIT"/>
    <s v="UITGAAN"/>
    <s v="espresso"/>
    <m/>
    <m/>
    <m/>
    <m/>
    <m/>
    <m/>
    <m/>
    <m/>
    <m/>
    <m/>
  </r>
  <r>
    <n v="1097"/>
    <x v="5"/>
    <m/>
    <x v="2"/>
    <x v="11"/>
    <d v="2018-10-01T00:00:00"/>
    <d v="2018-10-01T00:00:00"/>
    <n v="-5"/>
    <n v="5"/>
    <m/>
    <s v="caspar 17/10"/>
    <s v="UIT"/>
    <s v="UITGAAN"/>
    <s v="uitgaan"/>
    <m/>
    <m/>
    <m/>
    <m/>
    <m/>
    <m/>
    <m/>
    <m/>
    <m/>
    <m/>
  </r>
  <r>
    <n v="1098"/>
    <x v="5"/>
    <m/>
    <x v="2"/>
    <x v="11"/>
    <d v="2018-10-01T00:00:00"/>
    <d v="2018-10-01T00:00:00"/>
    <n v="-1.5"/>
    <n v="1.5"/>
    <m/>
    <s v="broodje station"/>
    <s v="UIT"/>
    <s v="UITGAAN"/>
    <s v="snack"/>
    <m/>
    <m/>
    <m/>
    <m/>
    <m/>
    <m/>
    <m/>
    <m/>
    <m/>
    <m/>
  </r>
  <r>
    <n v="1099"/>
    <x v="5"/>
    <m/>
    <x v="2"/>
    <x v="11"/>
    <d v="2018-10-01T00:00:00"/>
    <d v="2018-10-01T00:00:00"/>
    <n v="-3"/>
    <n v="3"/>
    <m/>
    <s v="koffie back 2 black"/>
    <s v="UIT"/>
    <s v="UITGAAN"/>
    <s v="espresso"/>
    <m/>
    <m/>
    <m/>
    <m/>
    <m/>
    <m/>
    <m/>
    <m/>
    <m/>
    <m/>
  </r>
  <r>
    <n v="1100"/>
    <x v="5"/>
    <m/>
    <x v="2"/>
    <x v="11"/>
    <d v="2018-10-01T00:00:00"/>
    <d v="2018-10-01T00:00:00"/>
    <n v="-3"/>
    <n v="3"/>
    <m/>
    <s v="cappuncino bagel and co"/>
    <s v="UIT"/>
    <s v="UITGAAN"/>
    <s v="espresso"/>
    <m/>
    <m/>
    <m/>
    <m/>
    <m/>
    <m/>
    <m/>
    <m/>
    <m/>
    <m/>
  </r>
  <r>
    <n v="1102"/>
    <x v="5"/>
    <m/>
    <x v="2"/>
    <x v="11"/>
    <d v="2018-10-01T00:00:00"/>
    <d v="2018-10-01T00:00:00"/>
    <n v="-20"/>
    <n v="20"/>
    <m/>
    <s v="uit eten met loek 13/10"/>
    <s v="UIT"/>
    <s v="UITGAAN"/>
    <s v="restaurant"/>
    <m/>
    <m/>
    <m/>
    <m/>
    <m/>
    <m/>
    <m/>
    <m/>
    <m/>
    <m/>
  </r>
  <r>
    <n v="1103"/>
    <x v="5"/>
    <m/>
    <x v="2"/>
    <x v="11"/>
    <d v="2018-10-01T00:00:00"/>
    <d v="2018-10-01T00:00:00"/>
    <n v="-3.5"/>
    <n v="3.5"/>
    <m/>
    <s v="brew2cup"/>
    <s v="UIT"/>
    <s v="UITGAAN"/>
    <s v="espresso"/>
    <m/>
    <m/>
    <m/>
    <m/>
    <m/>
    <m/>
    <m/>
    <m/>
    <m/>
    <m/>
  </r>
  <r>
    <n v="1104"/>
    <x v="5"/>
    <m/>
    <x v="2"/>
    <x v="11"/>
    <d v="2018-10-01T00:00:00"/>
    <d v="2018-10-01T00:00:00"/>
    <n v="3"/>
    <n v="3"/>
    <m/>
    <s v="soundtrek"/>
    <s v="UIT"/>
    <s v="UITGAAN"/>
    <s v="espresso"/>
    <m/>
    <m/>
    <m/>
    <m/>
    <m/>
    <m/>
    <m/>
    <m/>
    <m/>
    <m/>
  </r>
  <r>
    <n v="1106"/>
    <x v="5"/>
    <m/>
    <x v="2"/>
    <x v="11"/>
    <d v="2018-10-01T00:00:00"/>
    <d v="2018-10-01T00:00:00"/>
    <n v="-1.5"/>
    <n v="1.5"/>
    <m/>
    <s v="havenmeester"/>
    <s v="UIT"/>
    <s v="UITGAAN"/>
    <s v="snack"/>
    <m/>
    <m/>
    <m/>
    <m/>
    <m/>
    <m/>
    <m/>
    <m/>
    <m/>
    <m/>
  </r>
  <r>
    <n v="1107"/>
    <x v="5"/>
    <m/>
    <x v="2"/>
    <x v="11"/>
    <d v="2018-10-01T00:00:00"/>
    <d v="2018-10-01T00:00:00"/>
    <n v="-4.5"/>
    <n v="4.5"/>
    <m/>
    <s v="doppio 22/10"/>
    <s v="UIT"/>
    <s v="UITGAAN"/>
    <s v="espresso"/>
    <m/>
    <m/>
    <m/>
    <m/>
    <m/>
    <m/>
    <m/>
    <m/>
    <m/>
    <m/>
  </r>
  <r>
    <n v="1108"/>
    <x v="5"/>
    <m/>
    <x v="2"/>
    <x v="11"/>
    <d v="2018-10-01T00:00:00"/>
    <d v="2018-10-01T00:00:00"/>
    <n v="-13"/>
    <n v="13"/>
    <m/>
    <s v="caspar 2310"/>
    <s v="UIT"/>
    <s v="UITGAAN"/>
    <s v="uitgaan"/>
    <m/>
    <m/>
    <m/>
    <m/>
    <m/>
    <m/>
    <m/>
    <m/>
    <m/>
    <m/>
  </r>
  <r>
    <n v="1131"/>
    <x v="3"/>
    <m/>
    <x v="2"/>
    <x v="9"/>
    <d v="2018-02-21T00:00:00"/>
    <d v="2018-02-21T00:00:00"/>
    <n v="-5.23"/>
    <n v="5.23"/>
    <m/>
    <s v="COSTA COFFEE HOUNSLOW GBR"/>
    <s v="UIT"/>
    <s v="UITGAAN"/>
    <s v="espresso"/>
    <m/>
    <m/>
    <m/>
    <m/>
    <m/>
    <m/>
    <m/>
    <m/>
    <m/>
    <m/>
  </r>
  <r>
    <n v="1137"/>
    <x v="3"/>
    <m/>
    <x v="2"/>
    <x v="9"/>
    <d v="2018-02-28T00:00:00"/>
    <d v="2018-02-28T00:00:00"/>
    <n v="-8.6999999999999993"/>
    <n v="8.6999999999999993"/>
    <m/>
    <s v="CAFETARIA HO ME ARNHEM"/>
    <s v="UIT"/>
    <s v="UITGAAN"/>
    <s v="uitgaan"/>
    <m/>
    <m/>
    <m/>
    <m/>
    <m/>
    <m/>
    <m/>
    <m/>
    <m/>
    <m/>
  </r>
  <r>
    <n v="1144"/>
    <x v="3"/>
    <m/>
    <x v="2"/>
    <x v="10"/>
    <d v="2018-03-04T00:00:00"/>
    <d v="2018-03-04T00:00:00"/>
    <n v="-11.4"/>
    <n v="11.4"/>
    <m/>
    <s v="CASPAR ARNHEM"/>
    <s v="UIT"/>
    <s v="UITGAAN"/>
    <s v="uitgaan"/>
    <m/>
    <m/>
    <m/>
    <m/>
    <m/>
    <m/>
    <m/>
    <m/>
    <m/>
    <m/>
  </r>
  <r>
    <n v="1145"/>
    <x v="3"/>
    <m/>
    <x v="2"/>
    <x v="10"/>
    <d v="2018-03-04T00:00:00"/>
    <d v="2018-03-04T00:00:00"/>
    <n v="-2.5"/>
    <n v="2.5"/>
    <m/>
    <s v="CCV*DUDOK ARNHEM ARNHEM"/>
    <s v="UIT"/>
    <s v="UITGAAN"/>
    <s v="espresso"/>
    <m/>
    <m/>
    <m/>
    <m/>
    <m/>
    <m/>
    <m/>
    <m/>
    <m/>
    <m/>
  </r>
  <r>
    <n v="1152"/>
    <x v="3"/>
    <m/>
    <x v="2"/>
    <x v="10"/>
    <d v="2018-03-08T00:00:00"/>
    <d v="2018-03-08T00:00:00"/>
    <n v="-2.5"/>
    <n v="2.5"/>
    <m/>
    <s v="IZ *Bhalu Relax B.V. NIJMEGEN"/>
    <s v="UIT"/>
    <s v="UITGAAN"/>
    <s v="espresso"/>
    <m/>
    <m/>
    <m/>
    <m/>
    <m/>
    <m/>
    <m/>
    <m/>
    <m/>
    <m/>
  </r>
  <r>
    <n v="1153"/>
    <x v="3"/>
    <m/>
    <x v="2"/>
    <x v="10"/>
    <d v="2018-03-08T00:00:00"/>
    <d v="2018-03-08T00:00:00"/>
    <n v="-2.2999999999999998"/>
    <n v="2.2999999999999998"/>
    <m/>
    <s v="Bakkerij Bart NIJMEGEN"/>
    <s v="UIT"/>
    <s v="UITGAAN"/>
    <s v="snack"/>
    <m/>
    <m/>
    <m/>
    <m/>
    <m/>
    <m/>
    <m/>
    <m/>
    <m/>
    <m/>
  </r>
  <r>
    <n v="1154"/>
    <x v="3"/>
    <m/>
    <x v="2"/>
    <x v="10"/>
    <d v="2018-03-08T00:00:00"/>
    <d v="2018-03-08T00:00:00"/>
    <n v="-5.4"/>
    <n v="5.4"/>
    <m/>
    <s v="CCV*MOMENTO ARNHEM"/>
    <s v="UIT"/>
    <s v="UITGAAN"/>
    <s v="espresso"/>
    <m/>
    <m/>
    <m/>
    <m/>
    <m/>
    <m/>
    <m/>
    <m/>
    <m/>
    <m/>
  </r>
  <r>
    <n v="1155"/>
    <x v="3"/>
    <m/>
    <x v="2"/>
    <x v="10"/>
    <d v="2018-03-09T00:00:00"/>
    <d v="2018-03-09T00:00:00"/>
    <n v="-2.2000000000000002"/>
    <n v="2.2000000000000002"/>
    <m/>
    <s v="CCV*Soundtrek ARNHEM"/>
    <s v="UIT"/>
    <s v="UITGAAN"/>
    <s v="espresso"/>
    <m/>
    <m/>
    <m/>
    <m/>
    <m/>
    <m/>
    <m/>
    <m/>
    <m/>
    <m/>
  </r>
  <r>
    <n v="1157"/>
    <x v="3"/>
    <m/>
    <x v="2"/>
    <x v="10"/>
    <d v="2018-03-10T00:00:00"/>
    <d v="2018-03-10T00:00:00"/>
    <n v="-5"/>
    <n v="5"/>
    <m/>
    <s v="CCV*MOMENTO ARNHEM"/>
    <s v="UIT"/>
    <s v="UITGAAN"/>
    <s v="espresso"/>
    <m/>
    <m/>
    <m/>
    <m/>
    <m/>
    <m/>
    <m/>
    <m/>
    <m/>
    <m/>
  </r>
  <r>
    <n v="1158"/>
    <x v="3"/>
    <m/>
    <x v="2"/>
    <x v="10"/>
    <d v="2018-03-11T00:00:00"/>
    <d v="2018-03-11T00:00:00"/>
    <n v="-7"/>
    <n v="7"/>
    <m/>
    <s v="CASPAR ARNHEM"/>
    <s v="UIT"/>
    <s v="UITGAAN"/>
    <s v="uitgaan"/>
    <m/>
    <m/>
    <m/>
    <m/>
    <m/>
    <m/>
    <m/>
    <m/>
    <m/>
    <m/>
  </r>
  <r>
    <n v="1160"/>
    <x v="3"/>
    <m/>
    <x v="2"/>
    <x v="10"/>
    <d v="2018-03-11T00:00:00"/>
    <d v="2018-03-11T00:00:00"/>
    <n v="-2.5"/>
    <n v="2.5"/>
    <m/>
    <s v="CCV*DUDOK ARNHEM ARNHEM"/>
    <s v="UIT"/>
    <s v="UITGAAN"/>
    <s v="espresso"/>
    <m/>
    <m/>
    <m/>
    <m/>
    <m/>
    <m/>
    <m/>
    <m/>
    <m/>
    <m/>
  </r>
  <r>
    <n v="1162"/>
    <x v="3"/>
    <m/>
    <x v="2"/>
    <x v="10"/>
    <d v="2018-03-12T00:00:00"/>
    <d v="2018-03-12T00:00:00"/>
    <n v="-6.4"/>
    <n v="6.4"/>
    <m/>
    <s v="Stan&amp;Co Arnhem ARNHEM"/>
    <s v="UIT"/>
    <s v="UITGAAN"/>
    <s v="uitgaan"/>
    <m/>
    <m/>
    <m/>
    <m/>
    <m/>
    <m/>
    <m/>
    <m/>
    <m/>
    <m/>
  </r>
  <r>
    <n v="1166"/>
    <x v="3"/>
    <m/>
    <x v="2"/>
    <x v="10"/>
    <d v="2018-03-14T00:00:00"/>
    <d v="2018-03-14T00:00:00"/>
    <n v="-2.5"/>
    <n v="2.5"/>
    <m/>
    <s v="CoffeeLab UC B.V EINDHOVEN"/>
    <s v="UIT"/>
    <s v="UITGAAN"/>
    <s v="espresso"/>
    <m/>
    <m/>
    <m/>
    <m/>
    <m/>
    <m/>
    <m/>
    <m/>
    <m/>
    <m/>
  </r>
  <r>
    <n v="1167"/>
    <x v="3"/>
    <m/>
    <x v="2"/>
    <x v="10"/>
    <d v="2018-03-15T00:00:00"/>
    <d v="2018-03-15T00:00:00"/>
    <n v="-3"/>
    <n v="3"/>
    <m/>
    <s v="CCV*STADSVILLA SONSBEE ARNHEM"/>
    <s v="UIT"/>
    <s v="UITGAAN"/>
    <s v="espresso"/>
    <m/>
    <m/>
    <m/>
    <m/>
    <m/>
    <m/>
    <m/>
    <m/>
    <m/>
    <m/>
  </r>
  <r>
    <n v="1168"/>
    <x v="3"/>
    <m/>
    <x v="2"/>
    <x v="10"/>
    <d v="2018-03-15T00:00:00"/>
    <d v="2018-03-15T00:00:00"/>
    <n v="-4.5999999999999996"/>
    <n v="4.5999999999999996"/>
    <m/>
    <s v="CCV*CAFE DE KROEG ETEN ARNHEM"/>
    <s v="UIT"/>
    <s v="UITGAAN"/>
    <s v="uitgaan"/>
    <m/>
    <m/>
    <m/>
    <m/>
    <m/>
    <m/>
    <m/>
    <m/>
    <m/>
    <m/>
  </r>
  <r>
    <n v="1170"/>
    <x v="3"/>
    <m/>
    <x v="2"/>
    <x v="10"/>
    <d v="2018-03-17T00:00:00"/>
    <d v="2018-03-17T00:00:00"/>
    <n v="-20.8"/>
    <n v="20.8"/>
    <m/>
    <s v="CASPAR ARNHEM"/>
    <s v="UIT"/>
    <s v="UITGAAN"/>
    <s v="uitgaan"/>
    <m/>
    <m/>
    <m/>
    <m/>
    <m/>
    <m/>
    <m/>
    <m/>
    <m/>
    <m/>
  </r>
  <r>
    <n v="1171"/>
    <x v="3"/>
    <m/>
    <x v="2"/>
    <x v="10"/>
    <d v="2018-03-17T00:00:00"/>
    <d v="2018-03-17T00:00:00"/>
    <n v="-37.75"/>
    <n v="37.75"/>
    <m/>
    <s v="CCV*DE PIZZABAKKERS AR ARNHEM"/>
    <s v="UIT"/>
    <s v="UITGAAN"/>
    <s v="uitgaan"/>
    <m/>
    <m/>
    <m/>
    <m/>
    <m/>
    <m/>
    <m/>
    <m/>
    <m/>
    <m/>
  </r>
  <r>
    <n v="1172"/>
    <x v="3"/>
    <m/>
    <x v="2"/>
    <x v="10"/>
    <d v="2018-03-17T00:00:00"/>
    <d v="2018-03-17T00:00:00"/>
    <n v="-9.6"/>
    <n v="9.6"/>
    <m/>
    <s v="Stan&amp;Co Arnhem ARNHEM"/>
    <s v="UIT"/>
    <s v="UITGAAN"/>
    <s v="uitgaan"/>
    <m/>
    <m/>
    <m/>
    <m/>
    <m/>
    <m/>
    <m/>
    <m/>
    <m/>
    <m/>
  </r>
  <r>
    <n v="1173"/>
    <x v="3"/>
    <m/>
    <x v="2"/>
    <x v="10"/>
    <d v="2018-03-18T00:00:00"/>
    <d v="2018-03-18T00:00:00"/>
    <n v="-1.8"/>
    <n v="1.8"/>
    <m/>
    <s v="Kiosk EMN 8923 EMMEN"/>
    <s v="UIT"/>
    <s v="UITGAAN"/>
    <s v="snack"/>
    <m/>
    <m/>
    <m/>
    <m/>
    <m/>
    <m/>
    <m/>
    <m/>
    <m/>
    <m/>
  </r>
  <r>
    <n v="1182"/>
    <x v="3"/>
    <m/>
    <x v="2"/>
    <x v="10"/>
    <d v="2018-03-25T00:00:00"/>
    <d v="2018-03-25T00:00:00"/>
    <n v="-3.1"/>
    <n v="3.1"/>
    <m/>
    <s v="HMSHOST ROTTERDAM THE ROTTERDAM"/>
    <s v="UIT"/>
    <s v="UITGAAN"/>
    <s v="espresso"/>
    <m/>
    <m/>
    <m/>
    <m/>
    <m/>
    <m/>
    <m/>
    <m/>
    <m/>
    <m/>
  </r>
  <r>
    <n v="1183"/>
    <x v="3"/>
    <m/>
    <x v="2"/>
    <x v="10"/>
    <d v="2018-03-25T00:00:00"/>
    <d v="2018-03-25T00:00:00"/>
    <n v="-1"/>
    <n v="1"/>
    <m/>
    <s v="CCV*ROTTERDAM AIRP. TA ROTTERDAM"/>
    <s v="UIT"/>
    <s v="UITGAAN"/>
    <s v="snack"/>
    <m/>
    <m/>
    <m/>
    <m/>
    <m/>
    <m/>
    <m/>
    <m/>
    <m/>
    <m/>
  </r>
  <r>
    <n v="1193"/>
    <x v="3"/>
    <m/>
    <x v="2"/>
    <x v="49"/>
    <d v="2018-04-15T00:00:00"/>
    <d v="2018-04-15T00:00:00"/>
    <n v="33.459999999999994"/>
    <n v="33.459999999999994"/>
    <m/>
    <s v="koffie 19/4"/>
    <s v="UIT"/>
    <s v="UITGAAN"/>
    <s v="espresso"/>
    <m/>
    <m/>
    <m/>
    <m/>
    <m/>
    <m/>
    <m/>
    <m/>
    <m/>
    <m/>
  </r>
  <r>
    <n v="1203"/>
    <x v="3"/>
    <m/>
    <x v="2"/>
    <x v="49"/>
    <d v="2018-04-15T00:00:00"/>
    <d v="2018-04-15T00:00:00"/>
    <n v="-3"/>
    <n v="3"/>
    <m/>
    <s v="rabobank nederland (snickers vliegtuig)"/>
    <s v="UIT"/>
    <s v="UITGAAN"/>
    <s v="snack"/>
    <m/>
    <m/>
    <m/>
    <m/>
    <m/>
    <m/>
    <m/>
    <m/>
    <m/>
    <m/>
  </r>
  <r>
    <n v="1207"/>
    <x v="3"/>
    <m/>
    <x v="2"/>
    <x v="50"/>
    <d v="2018-05-15T00:00:00"/>
    <d v="2018-05-15T00:00:00"/>
    <n v="-1.7"/>
    <n v="1.7"/>
    <m/>
    <s v="mc donalds"/>
    <s v="UIT"/>
    <s v="UITGAAN"/>
    <s v="uitgaan"/>
    <m/>
    <m/>
    <m/>
    <m/>
    <m/>
    <m/>
    <m/>
    <m/>
    <m/>
    <m/>
  </r>
  <r>
    <n v="1209"/>
    <x v="3"/>
    <m/>
    <x v="2"/>
    <x v="50"/>
    <d v="2018-05-15T00:00:00"/>
    <d v="2018-05-15T00:00:00"/>
    <n v="-2.5499999999999998"/>
    <n v="2.5499999999999998"/>
    <m/>
    <s v="koffie 20/5"/>
    <s v="UIT"/>
    <s v="UITGAAN"/>
    <s v="espresso"/>
    <m/>
    <m/>
    <m/>
    <m/>
    <m/>
    <m/>
    <m/>
    <m/>
    <m/>
    <m/>
  </r>
  <r>
    <n v="1213"/>
    <x v="3"/>
    <m/>
    <x v="2"/>
    <x v="50"/>
    <d v="2018-05-15T00:00:00"/>
    <d v="2018-05-15T00:00:00"/>
    <n v="-5.8"/>
    <n v="5.8"/>
    <m/>
    <s v="mcdonads met caroline"/>
    <s v="UIT"/>
    <s v="UITGAAN"/>
    <s v="uitgaan"/>
    <m/>
    <m/>
    <m/>
    <m/>
    <m/>
    <m/>
    <m/>
    <m/>
    <m/>
    <m/>
  </r>
  <r>
    <n v="1226"/>
    <x v="3"/>
    <m/>
    <x v="2"/>
    <x v="51"/>
    <d v="2018-06-02T00:00:00"/>
    <d v="2018-06-02T00:00:00"/>
    <n v="-4.8499999999999996"/>
    <n v="4.8499999999999996"/>
    <m/>
    <s v="MC DONALD'S ROMA ITA"/>
    <s v="UIT"/>
    <s v="UITGAAN"/>
    <s v="uitgaan"/>
    <m/>
    <m/>
    <m/>
    <m/>
    <m/>
    <m/>
    <m/>
    <m/>
    <m/>
    <m/>
  </r>
  <r>
    <n v="1242"/>
    <x v="3"/>
    <m/>
    <x v="2"/>
    <x v="52"/>
    <d v="2018-07-01T00:00:00"/>
    <d v="2018-07-01T00:00:00"/>
    <n v="-3"/>
    <n v="3"/>
    <m/>
    <s v="MERCATO CENTRALE ROMA ROMA ITA"/>
    <s v="UIT"/>
    <s v="UITGAAN"/>
    <s v="uitgaan"/>
    <m/>
    <m/>
    <m/>
    <m/>
    <m/>
    <m/>
    <m/>
    <m/>
    <m/>
    <m/>
  </r>
  <r>
    <n v="1276"/>
    <x v="3"/>
    <m/>
    <x v="2"/>
    <x v="12"/>
    <d v="2018-09-20T00:00:00"/>
    <d v="2018-09-20T00:00:00"/>
    <n v="-2.7"/>
    <n v="2.7"/>
    <m/>
    <s v="MCDONALD'S ROMA PIAZZA ROMA ITA"/>
    <s v="UIT"/>
    <s v="UITGAAN"/>
    <s v="uitgaan"/>
    <m/>
    <m/>
    <m/>
    <m/>
    <m/>
    <m/>
    <m/>
    <m/>
    <m/>
    <m/>
  </r>
  <r>
    <n v="1279"/>
    <x v="3"/>
    <m/>
    <x v="2"/>
    <x v="12"/>
    <d v="2018-09-25T00:00:00"/>
    <d v="2018-09-25T00:00:00"/>
    <n v="-6.5"/>
    <n v="6.5"/>
    <m/>
    <s v="PASTASCIUTTA ROMA ITA"/>
    <s v="UIT"/>
    <s v="UITGAAN"/>
    <s v="restaurant"/>
    <m/>
    <m/>
    <m/>
    <m/>
    <m/>
    <m/>
    <m/>
    <m/>
    <m/>
    <m/>
  </r>
  <r>
    <n v="1287"/>
    <x v="3"/>
    <m/>
    <x v="2"/>
    <x v="11"/>
    <d v="2018-10-02T00:00:00"/>
    <d v="2018-10-02T00:00:00"/>
    <n v="-1.5"/>
    <n v="1.5"/>
    <m/>
    <s v="NS Railcat ZL 9120 ZWOLLE"/>
    <s v="UIT"/>
    <s v="UITGAAN"/>
    <s v="snack"/>
    <m/>
    <m/>
    <m/>
    <m/>
    <m/>
    <m/>
    <m/>
    <m/>
    <m/>
    <m/>
  </r>
  <r>
    <n v="1298"/>
    <x v="3"/>
    <m/>
    <x v="2"/>
    <x v="11"/>
    <d v="2018-10-11T00:00:00"/>
    <d v="2018-10-11T00:00:00"/>
    <n v="-5.8"/>
    <n v="5.8"/>
    <m/>
    <s v="Stan&amp;Co Arnhem ARNHEM"/>
    <s v="UIT"/>
    <s v="UITGAAN"/>
    <s v="uitgaan"/>
    <m/>
    <m/>
    <m/>
    <m/>
    <m/>
    <m/>
    <m/>
    <m/>
    <m/>
    <m/>
  </r>
  <r>
    <n v="1299"/>
    <x v="3"/>
    <m/>
    <x v="2"/>
    <x v="11"/>
    <d v="2018-10-12T00:00:00"/>
    <d v="2018-10-12T00:00:00"/>
    <n v="-3"/>
    <n v="3"/>
    <m/>
    <s v="FEBO Arnhem ARNHEM"/>
    <s v="UIT"/>
    <s v="UITGAAN"/>
    <s v="uitgaan"/>
    <m/>
    <m/>
    <m/>
    <m/>
    <m/>
    <m/>
    <m/>
    <m/>
    <m/>
    <m/>
  </r>
  <r>
    <n v="1302"/>
    <x v="3"/>
    <m/>
    <x v="2"/>
    <x v="11"/>
    <d v="2018-10-13T00:00:00"/>
    <d v="2018-10-13T00:00:00"/>
    <n v="-5.8"/>
    <n v="5.8"/>
    <m/>
    <s v="C&amp;M*BARISTA CAFE ARNHE ARNHEM"/>
    <s v="UIT"/>
    <s v="UITGAAN"/>
    <s v="espresso"/>
    <m/>
    <m/>
    <m/>
    <m/>
    <m/>
    <m/>
    <m/>
    <m/>
    <m/>
    <m/>
  </r>
  <r>
    <n v="1304"/>
    <x v="3"/>
    <m/>
    <x v="2"/>
    <x v="11"/>
    <d v="2018-10-14T00:00:00"/>
    <d v="2018-10-14T00:00:00"/>
    <n v="-9.8000000000000007"/>
    <n v="9.8000000000000007"/>
    <m/>
    <s v="CCV*CAFE DE BOER  DE G VOLENDAM"/>
    <s v="UIT"/>
    <s v="UITGAAN"/>
    <s v="uitgaan"/>
    <m/>
    <m/>
    <m/>
    <m/>
    <m/>
    <m/>
    <m/>
    <m/>
    <m/>
    <m/>
  </r>
  <r>
    <n v="1306"/>
    <x v="3"/>
    <m/>
    <x v="2"/>
    <x v="11"/>
    <d v="2018-10-15T00:00:00"/>
    <d v="2018-10-15T00:00:00"/>
    <n v="-1.5"/>
    <n v="1.5"/>
    <m/>
    <s v="Broodzaak ASDZ 2602 AMSTERDAM"/>
    <s v="UIT"/>
    <s v="UITGAAN"/>
    <s v="snack"/>
    <m/>
    <m/>
    <m/>
    <m/>
    <m/>
    <m/>
    <m/>
    <m/>
    <m/>
    <m/>
  </r>
  <r>
    <n v="1307"/>
    <x v="3"/>
    <m/>
    <x v="2"/>
    <x v="11"/>
    <d v="2018-10-15T00:00:00"/>
    <d v="2018-10-15T00:00:00"/>
    <n v="-3"/>
    <n v="3"/>
    <m/>
    <s v="CCV*BACK TO BLACK AMSTERDAM"/>
    <s v="UIT"/>
    <s v="UITGAAN"/>
    <s v="uitgaan"/>
    <m/>
    <m/>
    <m/>
    <m/>
    <m/>
    <m/>
    <m/>
    <m/>
    <m/>
    <m/>
  </r>
  <r>
    <n v="1308"/>
    <x v="3"/>
    <m/>
    <x v="2"/>
    <x v="11"/>
    <d v="2018-10-15T00:00:00"/>
    <d v="2018-10-15T00:00:00"/>
    <n v="-11.99"/>
    <n v="11.99"/>
    <m/>
    <s v="GONE WITH THE WIND AMSTERDAM"/>
    <s v="UIT"/>
    <s v="UITGAAN"/>
    <s v="espresso"/>
    <m/>
    <m/>
    <m/>
    <m/>
    <m/>
    <m/>
    <m/>
    <m/>
    <m/>
    <m/>
  </r>
  <r>
    <n v="1317"/>
    <x v="3"/>
    <m/>
    <x v="2"/>
    <x v="11"/>
    <d v="2018-10-18T00:00:00"/>
    <d v="2018-10-18T00:00:00"/>
    <n v="-2.7"/>
    <n v="2.7"/>
    <m/>
    <s v="Doppio Arnhem ARNHEM"/>
    <s v="UIT"/>
    <s v="UITGAAN"/>
    <s v="espresso"/>
    <m/>
    <m/>
    <m/>
    <m/>
    <m/>
    <m/>
    <m/>
    <m/>
    <m/>
    <m/>
  </r>
  <r>
    <n v="1318"/>
    <x v="3"/>
    <m/>
    <x v="2"/>
    <x v="11"/>
    <d v="2018-10-19T00:00:00"/>
    <d v="2018-10-19T00:00:00"/>
    <n v="-2.2999999999999998"/>
    <n v="2.2999999999999998"/>
    <m/>
    <s v="HARTBIET AMSTEDAM"/>
    <s v="UIT"/>
    <s v="UITGAAN"/>
    <s v="espresso"/>
    <m/>
    <m/>
    <m/>
    <m/>
    <m/>
    <m/>
    <m/>
    <m/>
    <m/>
    <m/>
  </r>
  <r>
    <n v="1319"/>
    <x v="3"/>
    <m/>
    <x v="2"/>
    <x v="11"/>
    <d v="2018-10-19T00:00:00"/>
    <d v="2018-10-19T00:00:00"/>
    <n v="-8.6999999999999993"/>
    <n v="8.6999999999999993"/>
    <m/>
    <s v="CAFETARIA HO ME ARNHEM"/>
    <s v="UIT"/>
    <s v="UITGAAN"/>
    <s v="uitgaan"/>
    <m/>
    <m/>
    <m/>
    <m/>
    <m/>
    <m/>
    <m/>
    <m/>
    <m/>
    <m/>
  </r>
  <r>
    <n v="1321"/>
    <x v="3"/>
    <m/>
    <x v="2"/>
    <x v="11"/>
    <d v="2018-10-21T00:00:00"/>
    <d v="2018-10-21T00:00:00"/>
    <n v="-17.100000000000001"/>
    <n v="17.100000000000001"/>
    <m/>
    <s v="CASPAR ARNHEM"/>
    <s v="UIT"/>
    <s v="UITGAAN"/>
    <s v="uitgaan"/>
    <m/>
    <m/>
    <m/>
    <m/>
    <m/>
    <m/>
    <m/>
    <m/>
    <m/>
    <m/>
  </r>
  <r>
    <n v="1323"/>
    <x v="3"/>
    <m/>
    <x v="2"/>
    <x v="11"/>
    <d v="2018-10-21T00:00:00"/>
    <d v="2018-10-21T00:00:00"/>
    <n v="-6"/>
    <n v="6"/>
    <m/>
    <s v="CCV*Soundtrek ARNHEM"/>
    <s v="UIT"/>
    <s v="UITGAAN"/>
    <s v="uitgaan"/>
    <m/>
    <m/>
    <m/>
    <m/>
    <m/>
    <m/>
    <m/>
    <m/>
    <m/>
    <m/>
  </r>
  <r>
    <n v="1328"/>
    <x v="3"/>
    <m/>
    <x v="2"/>
    <x v="11"/>
    <d v="2018-10-23T00:00:00"/>
    <d v="2018-10-23T00:00:00"/>
    <n v="-2.4"/>
    <n v="2.4"/>
    <m/>
    <s v="CCV*DUDOK ARNHEM ARNHEM"/>
    <s v="UIT"/>
    <s v="UITGAAN"/>
    <s v="espresso"/>
    <m/>
    <m/>
    <m/>
    <m/>
    <m/>
    <m/>
    <m/>
    <m/>
    <m/>
    <m/>
  </r>
  <r>
    <n v="1329"/>
    <x v="3"/>
    <m/>
    <x v="2"/>
    <x v="11"/>
    <d v="2018-10-23T00:00:00"/>
    <d v="2018-10-23T00:00:00"/>
    <n v="-30"/>
    <n v="30"/>
    <m/>
    <s v="la cubanita"/>
    <s v="UIT"/>
    <s v="UITGAAN"/>
    <s v="uitgaan"/>
    <m/>
    <m/>
    <m/>
    <m/>
    <m/>
    <m/>
    <m/>
    <m/>
    <m/>
    <m/>
  </r>
  <r>
    <n v="1348"/>
    <x v="3"/>
    <m/>
    <x v="2"/>
    <x v="7"/>
    <d v="2018-11-02T00:00:00"/>
    <d v="2018-11-02T00:00:00"/>
    <n v="-2.5"/>
    <n v="2.5"/>
    <m/>
    <s v="Huiskamer RTD 4737 ROTTERDAM"/>
    <s v="UIT"/>
    <s v="UITGAAN"/>
    <s v="espresso"/>
    <m/>
    <m/>
    <m/>
    <m/>
    <m/>
    <m/>
    <m/>
    <m/>
    <m/>
    <m/>
  </r>
  <r>
    <n v="1374"/>
    <x v="0"/>
    <m/>
    <x v="2"/>
    <x v="10"/>
    <d v="2018-03-25T00:00:00"/>
    <d v="2018-03-25T00:00:00"/>
    <n v="-3"/>
    <n v="3"/>
    <m/>
    <s v="Transavia Schiphol NLD"/>
    <s v="UIT"/>
    <s v="UITGAAN"/>
    <s v="snack"/>
    <m/>
    <m/>
    <m/>
    <m/>
    <m/>
    <m/>
    <m/>
    <m/>
    <m/>
    <m/>
  </r>
  <r>
    <n v="1456"/>
    <x v="1"/>
    <m/>
    <x v="3"/>
    <x v="39"/>
    <d v="2019-10-31T00:00:00"/>
    <d v="2019-10-31T00:00:00"/>
    <n v="-2.5"/>
    <n v="2.5"/>
    <m/>
    <s v="drankje vliegtuig"/>
    <s v="UIT"/>
    <s v="UITGAAN"/>
    <s v="uitgaan"/>
    <m/>
    <m/>
    <m/>
    <m/>
    <m/>
    <m/>
    <m/>
    <m/>
    <m/>
    <m/>
  </r>
  <r>
    <n v="1486"/>
    <x v="5"/>
    <m/>
    <x v="3"/>
    <x v="14"/>
    <d v="2019-03-01T00:00:00"/>
    <d v="2019-03-01T00:00:00"/>
    <n v="-2.2999999999999998"/>
    <n v="2.2999999999999998"/>
    <m/>
    <s v="bonnie"/>
    <s v="UIT"/>
    <s v="UITGAAN"/>
    <s v="uitgaan"/>
    <m/>
    <m/>
    <m/>
    <m/>
    <m/>
    <m/>
    <m/>
    <m/>
    <m/>
    <m/>
  </r>
  <r>
    <n v="1489"/>
    <x v="5"/>
    <m/>
    <x v="3"/>
    <x v="14"/>
    <n v="43540"/>
    <n v="43540"/>
    <n v="-6.8"/>
    <n v="6.8"/>
    <m/>
    <s v="cafe vrijdag"/>
    <s v="UIT"/>
    <s v="UITGAAN"/>
    <s v="uitgaan"/>
    <m/>
    <m/>
    <m/>
    <m/>
    <m/>
    <m/>
    <m/>
    <m/>
    <m/>
    <m/>
  </r>
  <r>
    <n v="1491"/>
    <x v="5"/>
    <m/>
    <x v="3"/>
    <x v="14"/>
    <n v="43542"/>
    <n v="43542"/>
    <n v="-2.2999999999999998"/>
    <n v="2.2999999999999998"/>
    <m/>
    <s v="brew2cup"/>
    <s v="UIT"/>
    <s v="UITGAAN"/>
    <s v="espresso"/>
    <m/>
    <m/>
    <m/>
    <m/>
    <m/>
    <m/>
    <m/>
    <m/>
    <m/>
    <m/>
  </r>
  <r>
    <n v="1493"/>
    <x v="5"/>
    <m/>
    <x v="3"/>
    <x v="53"/>
    <n v="43556"/>
    <n v="43556"/>
    <n v="-2.5"/>
    <n v="2.5"/>
    <m/>
    <s v="vegan burger"/>
    <s v="UIT"/>
    <s v="UITGAAN"/>
    <s v="snack"/>
    <m/>
    <m/>
    <m/>
    <m/>
    <m/>
    <m/>
    <m/>
    <m/>
    <m/>
    <m/>
  </r>
  <r>
    <n v="1498"/>
    <x v="5"/>
    <m/>
    <x v="3"/>
    <x v="53"/>
    <d v="2019-04-01T00:00:00"/>
    <d v="2019-04-01T00:00:00"/>
    <n v="-3.2"/>
    <n v="3.2"/>
    <m/>
    <s v="koffie morgen"/>
    <s v="UIT"/>
    <s v="UITGAAN"/>
    <s v="espresso"/>
    <m/>
    <m/>
    <m/>
    <m/>
    <m/>
    <m/>
    <m/>
    <m/>
    <m/>
    <m/>
  </r>
  <r>
    <n v="1499"/>
    <x v="5"/>
    <m/>
    <x v="3"/>
    <x v="53"/>
    <d v="2019-04-01T00:00:00"/>
    <d v="2019-04-01T00:00:00"/>
    <n v="-1"/>
    <n v="1"/>
    <m/>
    <s v="espresso"/>
    <s v="UIT"/>
    <s v="UITGAAN"/>
    <s v="espresso"/>
    <m/>
    <m/>
    <m/>
    <m/>
    <m/>
    <m/>
    <m/>
    <m/>
    <m/>
    <m/>
  </r>
  <r>
    <n v="1509"/>
    <x v="5"/>
    <m/>
    <x v="3"/>
    <x v="53"/>
    <d v="2019-04-01T00:00:00"/>
    <d v="2019-04-01T00:00:00"/>
    <n v="-14"/>
    <n v="14"/>
    <m/>
    <s v="7 dgn capp/koffie"/>
    <s v="UIT"/>
    <s v="UITGAAN"/>
    <s v="espresso"/>
    <m/>
    <m/>
    <m/>
    <m/>
    <m/>
    <m/>
    <m/>
    <m/>
    <m/>
    <m/>
  </r>
  <r>
    <n v="1510"/>
    <x v="5"/>
    <m/>
    <x v="3"/>
    <x v="53"/>
    <d v="2019-04-01T00:00:00"/>
    <d v="2019-04-01T00:00:00"/>
    <n v="-1.7"/>
    <n v="1.7"/>
    <m/>
    <s v="koekjes"/>
    <s v="UIT"/>
    <s v="UITGAAN"/>
    <s v="snack"/>
    <m/>
    <m/>
    <m/>
    <m/>
    <m/>
    <m/>
    <m/>
    <m/>
    <m/>
    <m/>
  </r>
  <r>
    <n v="1518"/>
    <x v="5"/>
    <m/>
    <x v="3"/>
    <x v="53"/>
    <d v="2019-04-01T00:00:00"/>
    <d v="2019-04-01T00:00:00"/>
    <n v="-5.5"/>
    <n v="5.5"/>
    <m/>
    <s v="curry termini 30/4"/>
    <s v="UIT"/>
    <s v="UITGAAN"/>
    <s v="uitgaan"/>
    <m/>
    <m/>
    <m/>
    <m/>
    <m/>
    <m/>
    <m/>
    <m/>
    <m/>
    <m/>
  </r>
  <r>
    <n v="1519"/>
    <x v="5"/>
    <m/>
    <x v="3"/>
    <x v="53"/>
    <d v="2019-04-01T00:00:00"/>
    <d v="2019-04-01T00:00:00"/>
    <n v="-2.5"/>
    <n v="2.5"/>
    <m/>
    <s v="panino 30/4"/>
    <s v="UIT"/>
    <s v="UITGAAN"/>
    <s v="snack"/>
    <m/>
    <m/>
    <m/>
    <m/>
    <m/>
    <m/>
    <m/>
    <m/>
    <m/>
    <m/>
  </r>
  <r>
    <n v="1522"/>
    <x v="5"/>
    <m/>
    <x v="3"/>
    <x v="53"/>
    <d v="2019-04-01T00:00:00"/>
    <d v="2019-04-01T00:00:00"/>
    <n v="-20"/>
    <n v="20"/>
    <m/>
    <s v="koffie/capp 10 dgn"/>
    <s v="UIT"/>
    <s v="UITGAAN"/>
    <s v="espresso"/>
    <m/>
    <m/>
    <m/>
    <m/>
    <m/>
    <m/>
    <m/>
    <m/>
    <m/>
    <m/>
  </r>
  <r>
    <n v="1523"/>
    <x v="5"/>
    <m/>
    <x v="3"/>
    <x v="53"/>
    <n v="43566"/>
    <n v="43566"/>
    <n v="-0.8"/>
    <n v="0.8"/>
    <m/>
    <s v="espresso"/>
    <s v="UIT"/>
    <s v="UITGAAN"/>
    <s v="espresso"/>
    <m/>
    <m/>
    <m/>
    <m/>
    <m/>
    <m/>
    <m/>
    <m/>
    <m/>
    <m/>
  </r>
  <r>
    <n v="1526"/>
    <x v="5"/>
    <m/>
    <x v="3"/>
    <x v="53"/>
    <n v="43580"/>
    <n v="43580"/>
    <n v="-0.95"/>
    <n v="0.95"/>
    <m/>
    <s v="espresso"/>
    <s v="UIT"/>
    <s v="UITGAAN"/>
    <s v="espresso"/>
    <m/>
    <m/>
    <m/>
    <m/>
    <m/>
    <m/>
    <m/>
    <m/>
    <m/>
    <m/>
  </r>
  <r>
    <n v="1527"/>
    <x v="5"/>
    <m/>
    <x v="3"/>
    <x v="53"/>
    <n v="43582"/>
    <n v="43582"/>
    <n v="-5.05"/>
    <n v="5.05"/>
    <m/>
    <s v="4 dgn kpffie"/>
    <s v="UIT"/>
    <s v="UITGAAN"/>
    <s v="espresso"/>
    <m/>
    <m/>
    <m/>
    <m/>
    <m/>
    <m/>
    <m/>
    <m/>
    <m/>
    <m/>
  </r>
  <r>
    <n v="1528"/>
    <x v="5"/>
    <m/>
    <x v="3"/>
    <x v="53"/>
    <n v="43585"/>
    <n v="43585"/>
    <n v="-5.9"/>
    <n v="5.9"/>
    <m/>
    <s v="espresso 3 dgn"/>
    <s v="UIT"/>
    <s v="UITGAAN"/>
    <s v="espresso"/>
    <m/>
    <m/>
    <m/>
    <m/>
    <m/>
    <m/>
    <m/>
    <m/>
    <m/>
    <m/>
  </r>
  <r>
    <n v="1529"/>
    <x v="5"/>
    <m/>
    <x v="3"/>
    <x v="54"/>
    <d v="2019-05-01T00:00:00"/>
    <d v="2019-05-01T00:00:00"/>
    <n v="-2.4"/>
    <n v="2.4"/>
    <m/>
    <s v="alice pizza"/>
    <s v="UIT"/>
    <s v="UITGAAN"/>
    <s v="uitgaan"/>
    <m/>
    <m/>
    <m/>
    <m/>
    <m/>
    <m/>
    <m/>
    <m/>
    <m/>
    <m/>
  </r>
  <r>
    <n v="1536"/>
    <x v="5"/>
    <m/>
    <x v="3"/>
    <x v="54"/>
    <d v="2019-05-01T00:00:00"/>
    <d v="2019-05-01T00:00:00"/>
    <n v="-2"/>
    <n v="2"/>
    <m/>
    <s v="alice pizza 1475"/>
    <s v="UIT"/>
    <s v="UITGAAN"/>
    <s v="uitgaan"/>
    <m/>
    <m/>
    <m/>
    <m/>
    <m/>
    <m/>
    <m/>
    <m/>
    <m/>
    <m/>
  </r>
  <r>
    <n v="1540"/>
    <x v="5"/>
    <m/>
    <x v="3"/>
    <x v="54"/>
    <d v="2019-05-01T00:00:00"/>
    <d v="2019-05-01T00:00:00"/>
    <n v="-12"/>
    <n v="12"/>
    <m/>
    <s v="6 dgn koffie capp"/>
    <s v="UIT"/>
    <s v="UITGAAN"/>
    <s v="espresso"/>
    <m/>
    <m/>
    <m/>
    <m/>
    <m/>
    <m/>
    <m/>
    <m/>
    <m/>
    <m/>
  </r>
  <r>
    <n v="1542"/>
    <x v="5"/>
    <m/>
    <x v="3"/>
    <x v="54"/>
    <d v="2019-05-01T00:00:00"/>
    <d v="2019-05-01T00:00:00"/>
    <n v="-16"/>
    <n v="16"/>
    <m/>
    <s v="8 dgn koffie cap"/>
    <s v="UIT"/>
    <s v="UITGAAN"/>
    <s v="espresso"/>
    <m/>
    <m/>
    <m/>
    <m/>
    <m/>
    <m/>
    <m/>
    <m/>
    <m/>
    <m/>
  </r>
  <r>
    <n v="1549"/>
    <x v="5"/>
    <m/>
    <x v="3"/>
    <x v="54"/>
    <d v="2019-05-01T00:00:00"/>
    <d v="2019-05-01T00:00:00"/>
    <n v="-1.9"/>
    <n v="1.9"/>
    <m/>
    <s v="ijsje 24/5"/>
    <s v="UIT"/>
    <s v="UITGAAN"/>
    <s v="snack"/>
    <m/>
    <m/>
    <m/>
    <m/>
    <m/>
    <m/>
    <m/>
    <m/>
    <m/>
    <m/>
  </r>
  <r>
    <n v="1553"/>
    <x v="5"/>
    <m/>
    <x v="3"/>
    <x v="54"/>
    <d v="2019-05-01T00:00:00"/>
    <d v="2019-05-01T00:00:00"/>
    <n v="-1.75"/>
    <n v="1.75"/>
    <m/>
    <s v="alice 28/5"/>
    <s v="UIT"/>
    <s v="UITGAAN"/>
    <s v="uitgaan"/>
    <m/>
    <m/>
    <m/>
    <m/>
    <m/>
    <m/>
    <m/>
    <m/>
    <m/>
    <m/>
  </r>
  <r>
    <n v="1554"/>
    <x v="5"/>
    <m/>
    <x v="3"/>
    <x v="54"/>
    <d v="2019-05-01T00:00:00"/>
    <d v="2019-05-01T00:00:00"/>
    <n v="-1.8"/>
    <n v="1.8"/>
    <m/>
    <s v="croissants"/>
    <s v="UIT"/>
    <s v="UITGAAN"/>
    <s v="snack"/>
    <m/>
    <m/>
    <m/>
    <m/>
    <m/>
    <m/>
    <m/>
    <m/>
    <m/>
    <m/>
  </r>
  <r>
    <n v="1556"/>
    <x v="5"/>
    <m/>
    <x v="3"/>
    <x v="54"/>
    <n v="43616"/>
    <n v="43616"/>
    <n v="-7.85"/>
    <n v="7.85"/>
    <m/>
    <s v="7 dgn koffie?capp"/>
    <s v="UIT"/>
    <s v="UITGAAN"/>
    <s v="espresso"/>
    <m/>
    <m/>
    <m/>
    <m/>
    <m/>
    <m/>
    <m/>
    <m/>
    <m/>
    <m/>
  </r>
  <r>
    <n v="1557"/>
    <x v="5"/>
    <m/>
    <x v="3"/>
    <x v="55"/>
    <d v="2019-06-01T00:00:00"/>
    <d v="2019-06-01T00:00:00"/>
    <n v="-5"/>
    <n v="5"/>
    <m/>
    <s v="aperitivo"/>
    <s v="UIT"/>
    <s v="UITGAAN"/>
    <s v="uitgaan"/>
    <m/>
    <m/>
    <m/>
    <m/>
    <m/>
    <m/>
    <m/>
    <m/>
    <m/>
    <m/>
  </r>
  <r>
    <n v="1558"/>
    <x v="5"/>
    <m/>
    <x v="3"/>
    <x v="55"/>
    <d v="2019-06-01T00:00:00"/>
    <d v="2019-06-01T00:00:00"/>
    <n v="-9"/>
    <n v="9"/>
    <m/>
    <s v="i cugini 6/6"/>
    <s v="UIT"/>
    <s v="UITGAAN"/>
    <s v="restaurant"/>
    <m/>
    <m/>
    <m/>
    <m/>
    <m/>
    <m/>
    <m/>
    <m/>
    <m/>
    <m/>
  </r>
  <r>
    <n v="1559"/>
    <x v="5"/>
    <m/>
    <x v="3"/>
    <x v="55"/>
    <d v="2019-06-01T00:00:00"/>
    <d v="2019-06-01T00:00:00"/>
    <n v="-2.5"/>
    <n v="2.5"/>
    <m/>
    <s v="koekjes 1/6"/>
    <s v="UIT"/>
    <s v="UITGAAN"/>
    <s v="snack"/>
    <m/>
    <m/>
    <m/>
    <m/>
    <m/>
    <m/>
    <m/>
    <m/>
    <m/>
    <m/>
  </r>
  <r>
    <n v="1560"/>
    <x v="5"/>
    <m/>
    <x v="3"/>
    <x v="55"/>
    <d v="2019-06-01T00:00:00"/>
    <d v="2019-06-01T00:00:00"/>
    <n v="-8.1"/>
    <n v="8.1"/>
    <m/>
    <s v="koffie 6 dgn"/>
    <s v="UIT"/>
    <s v="UITGAAN"/>
    <s v="espresso"/>
    <m/>
    <m/>
    <m/>
    <m/>
    <m/>
    <m/>
    <m/>
    <m/>
    <m/>
    <m/>
  </r>
  <r>
    <n v="1562"/>
    <x v="5"/>
    <m/>
    <x v="3"/>
    <x v="55"/>
    <d v="2019-06-01T00:00:00"/>
    <d v="2019-06-01T00:00:00"/>
    <n v="-10"/>
    <n v="10"/>
    <m/>
    <s v="pizza 8/6"/>
    <s v="UIT"/>
    <s v="UITGAAN"/>
    <s v="restaurant"/>
    <m/>
    <m/>
    <m/>
    <m/>
    <m/>
    <m/>
    <m/>
    <m/>
    <m/>
    <m/>
  </r>
  <r>
    <n v="1563"/>
    <x v="5"/>
    <m/>
    <x v="3"/>
    <x v="55"/>
    <d v="2019-06-01T00:00:00"/>
    <d v="2019-06-01T00:00:00"/>
    <n v="-6.6"/>
    <n v="6.6"/>
    <m/>
    <s v="koffie 3 dng"/>
    <s v="UIT"/>
    <s v="UITGAAN"/>
    <s v="espresso"/>
    <m/>
    <m/>
    <m/>
    <m/>
    <m/>
    <m/>
    <m/>
    <m/>
    <m/>
    <m/>
  </r>
  <r>
    <n v="1565"/>
    <x v="5"/>
    <m/>
    <x v="3"/>
    <x v="55"/>
    <d v="2019-06-01T00:00:00"/>
    <d v="2019-06-01T00:00:00"/>
    <n v="-3"/>
    <n v="3"/>
    <m/>
    <s v="3 dgn koffie"/>
    <s v="UIT"/>
    <s v="UITGAAN"/>
    <s v="espresso"/>
    <m/>
    <m/>
    <m/>
    <m/>
    <m/>
    <m/>
    <m/>
    <m/>
    <m/>
    <m/>
  </r>
  <r>
    <n v="1568"/>
    <x v="5"/>
    <m/>
    <x v="3"/>
    <x v="55"/>
    <d v="2019-06-01T00:00:00"/>
    <d v="2019-06-01T00:00:00"/>
    <n v="-10"/>
    <n v="10"/>
    <m/>
    <s v="mc donalds"/>
    <s v="UIT"/>
    <s v="UITGAAN"/>
    <s v="uitgaan"/>
    <m/>
    <m/>
    <m/>
    <m/>
    <m/>
    <m/>
    <m/>
    <m/>
    <m/>
    <m/>
  </r>
  <r>
    <n v="1569"/>
    <x v="5"/>
    <m/>
    <x v="3"/>
    <x v="55"/>
    <d v="2019-06-01T00:00:00"/>
    <d v="2019-06-01T00:00:00"/>
    <n v="-13"/>
    <n v="13"/>
    <m/>
    <s v="pizza met rob penta2000"/>
    <s v="UIT"/>
    <s v="UITGAAN"/>
    <s v="restaurant"/>
    <m/>
    <m/>
    <m/>
    <m/>
    <m/>
    <m/>
    <m/>
    <m/>
    <m/>
    <m/>
  </r>
  <r>
    <n v="1570"/>
    <x v="5"/>
    <m/>
    <x v="3"/>
    <x v="55"/>
    <d v="2019-06-01T00:00:00"/>
    <d v="2019-06-01T00:00:00"/>
    <n v="-11.3"/>
    <n v="11.3"/>
    <m/>
    <s v="6 dgn koffie"/>
    <s v="UIT"/>
    <s v="UITGAAN"/>
    <s v="espresso"/>
    <m/>
    <m/>
    <m/>
    <m/>
    <m/>
    <m/>
    <m/>
    <m/>
    <m/>
    <m/>
  </r>
  <r>
    <n v="1571"/>
    <x v="5"/>
    <m/>
    <x v="3"/>
    <x v="55"/>
    <d v="2019-06-01T00:00:00"/>
    <d v="2019-06-01T00:00:00"/>
    <n v="-1.5"/>
    <n v="1.5"/>
    <m/>
    <s v="koekjes"/>
    <s v="UIT"/>
    <s v="UITGAAN"/>
    <s v="snack"/>
    <m/>
    <m/>
    <m/>
    <m/>
    <m/>
    <m/>
    <m/>
    <m/>
    <m/>
    <m/>
  </r>
  <r>
    <n v="1572"/>
    <x v="5"/>
    <m/>
    <x v="3"/>
    <x v="55"/>
    <d v="2019-06-01T00:00:00"/>
    <d v="2019-06-01T00:00:00"/>
    <n v="-4.8499999999999996"/>
    <n v="4.8499999999999996"/>
    <m/>
    <s v="taralli en koekjes"/>
    <s v="UIT"/>
    <s v="UITGAAN"/>
    <s v="snack"/>
    <m/>
    <m/>
    <m/>
    <m/>
    <m/>
    <m/>
    <m/>
    <m/>
    <m/>
    <m/>
  </r>
  <r>
    <n v="1576"/>
    <x v="5"/>
    <m/>
    <x v="3"/>
    <x v="55"/>
    <n v="43644"/>
    <n v="43644"/>
    <n v="-7.15"/>
    <n v="7.15"/>
    <m/>
    <s v="7 dgn koffie"/>
    <s v="UIT"/>
    <s v="UITGAAN"/>
    <s v="espresso"/>
    <m/>
    <m/>
    <m/>
    <m/>
    <m/>
    <m/>
    <m/>
    <m/>
    <m/>
    <m/>
  </r>
  <r>
    <n v="1577"/>
    <x v="5"/>
    <m/>
    <x v="3"/>
    <x v="55"/>
    <n v="43646"/>
    <n v="43646"/>
    <n v="-4"/>
    <n v="4"/>
    <m/>
    <s v="koffie 2 dgn"/>
    <s v="UIT"/>
    <s v="UITGAAN"/>
    <s v="espresso"/>
    <m/>
    <m/>
    <m/>
    <m/>
    <m/>
    <m/>
    <m/>
    <m/>
    <m/>
    <m/>
  </r>
  <r>
    <n v="1578"/>
    <x v="5"/>
    <m/>
    <x v="3"/>
    <x v="38"/>
    <d v="2019-07-01T00:00:00"/>
    <d v="2019-07-01T00:00:00"/>
    <n v="-3.15"/>
    <n v="3.15"/>
    <m/>
    <s v="koffie 4 dgn"/>
    <s v="UIT"/>
    <s v="UITGAAN"/>
    <s v="espresso"/>
    <m/>
    <m/>
    <m/>
    <m/>
    <m/>
    <m/>
    <m/>
    <m/>
    <m/>
    <m/>
  </r>
  <r>
    <n v="1583"/>
    <x v="5"/>
    <m/>
    <x v="3"/>
    <x v="38"/>
    <d v="2019-07-01T00:00:00"/>
    <d v="2019-07-01T00:00:00"/>
    <n v="-5"/>
    <n v="5"/>
    <m/>
    <s v="pizza 14/7"/>
    <s v="UIT"/>
    <s v="UITGAAN"/>
    <s v="snack"/>
    <m/>
    <m/>
    <m/>
    <m/>
    <m/>
    <m/>
    <m/>
    <m/>
    <m/>
    <m/>
  </r>
  <r>
    <n v="1584"/>
    <x v="5"/>
    <m/>
    <x v="3"/>
    <x v="38"/>
    <d v="2019-07-01T00:00:00"/>
    <d v="2019-07-01T00:00:00"/>
    <n v="-12.1"/>
    <n v="12.1"/>
    <m/>
    <s v="11 dgn koffie"/>
    <s v="UIT"/>
    <s v="UITGAAN"/>
    <s v="espresso"/>
    <m/>
    <m/>
    <m/>
    <m/>
    <m/>
    <m/>
    <m/>
    <m/>
    <m/>
    <m/>
  </r>
  <r>
    <n v="1589"/>
    <x v="5"/>
    <m/>
    <x v="3"/>
    <x v="38"/>
    <d v="2019-07-01T00:00:00"/>
    <d v="2019-07-01T00:00:00"/>
    <n v="-5.5"/>
    <n v="5.5"/>
    <m/>
    <s v="pasta imperiale 23/7"/>
    <s v="UIT"/>
    <s v="UITGAAN"/>
    <s v="uitgaan"/>
    <m/>
    <m/>
    <m/>
    <m/>
    <m/>
    <m/>
    <m/>
    <m/>
    <m/>
    <m/>
  </r>
  <r>
    <n v="1593"/>
    <x v="5"/>
    <m/>
    <x v="3"/>
    <x v="38"/>
    <n v="43677"/>
    <n v="43677"/>
    <n v="-31.7"/>
    <n v="31.7"/>
    <m/>
    <s v="koffie/capp 25 dgn / kastekort"/>
    <s v="UIT"/>
    <s v="UITGAAN"/>
    <s v="espresso"/>
    <m/>
    <m/>
    <m/>
    <m/>
    <m/>
    <m/>
    <m/>
    <m/>
    <m/>
    <m/>
  </r>
  <r>
    <n v="1594"/>
    <x v="5"/>
    <m/>
    <x v="3"/>
    <x v="38"/>
    <d v="2019-07-31T00:00:00"/>
    <d v="2019-07-31T00:00:00"/>
    <n v="-11"/>
    <n v="11"/>
    <m/>
    <s v="pizza penta 28/7"/>
    <s v="UIT"/>
    <s v="UITGAAN"/>
    <s v="restaurant"/>
    <m/>
    <m/>
    <m/>
    <m/>
    <m/>
    <m/>
    <m/>
    <m/>
    <m/>
    <m/>
  </r>
  <r>
    <n v="1595"/>
    <x v="5"/>
    <m/>
    <x v="3"/>
    <x v="41"/>
    <d v="2019-08-12T00:00:00"/>
    <d v="2019-08-12T00:00:00"/>
    <n v="-5.6"/>
    <n v="5.6"/>
    <m/>
    <s v="poolparty 4/8"/>
    <s v="UIT"/>
    <s v="UITGAAN"/>
    <s v="uitgaan"/>
    <m/>
    <m/>
    <m/>
    <m/>
    <m/>
    <m/>
    <m/>
    <m/>
    <m/>
    <m/>
  </r>
  <r>
    <n v="1596"/>
    <x v="5"/>
    <m/>
    <x v="3"/>
    <x v="41"/>
    <d v="2019-08-12T00:00:00"/>
    <d v="2019-08-12T00:00:00"/>
    <n v="-6.3"/>
    <n v="6.3"/>
    <m/>
    <s v="poolparty 11/8"/>
    <s v="UIT"/>
    <s v="UITGAAN"/>
    <s v="uitgaan"/>
    <m/>
    <m/>
    <m/>
    <m/>
    <m/>
    <m/>
    <m/>
    <m/>
    <m/>
    <m/>
  </r>
  <r>
    <n v="1597"/>
    <x v="5"/>
    <m/>
    <x v="3"/>
    <x v="41"/>
    <d v="2019-08-12T00:00:00"/>
    <d v="2019-08-12T00:00:00"/>
    <n v="-6.01"/>
    <n v="6.01"/>
    <m/>
    <s v="pizza mondo arancina 11/8"/>
    <s v="UIT"/>
    <s v="UITGAAN"/>
    <s v="restaurant"/>
    <m/>
    <m/>
    <m/>
    <m/>
    <m/>
    <m/>
    <m/>
    <m/>
    <m/>
    <m/>
  </r>
  <r>
    <n v="1598"/>
    <x v="5"/>
    <m/>
    <x v="3"/>
    <x v="41"/>
    <d v="2019-08-12T00:00:00"/>
    <d v="2019-08-12T00:00:00"/>
    <n v="-5"/>
    <n v="5"/>
    <m/>
    <s v="pastasciuta 1/8"/>
    <s v="UIT"/>
    <s v="UITGAAN"/>
    <s v="restaurant"/>
    <m/>
    <m/>
    <m/>
    <m/>
    <m/>
    <m/>
    <m/>
    <m/>
    <m/>
    <m/>
  </r>
  <r>
    <n v="1600"/>
    <x v="5"/>
    <m/>
    <x v="3"/>
    <x v="41"/>
    <d v="2019-08-12T00:00:00"/>
    <d v="2019-08-12T00:00:00"/>
    <n v="-1.9"/>
    <n v="1.9"/>
    <m/>
    <s v="ijsje 9/8"/>
    <s v="UIT"/>
    <s v="UITGAAN"/>
    <s v="snack"/>
    <m/>
    <m/>
    <m/>
    <m/>
    <m/>
    <m/>
    <m/>
    <m/>
    <m/>
    <m/>
  </r>
  <r>
    <n v="1601"/>
    <x v="5"/>
    <m/>
    <x v="3"/>
    <x v="41"/>
    <d v="2019-08-12T00:00:00"/>
    <d v="2019-08-12T00:00:00"/>
    <n v="-22"/>
    <n v="22"/>
    <m/>
    <s v="koffie capp 11 dgn"/>
    <s v="UIT"/>
    <s v="UITGAAN"/>
    <s v="espresso"/>
    <m/>
    <m/>
    <m/>
    <m/>
    <m/>
    <m/>
    <m/>
    <m/>
    <m/>
    <m/>
  </r>
  <r>
    <n v="1603"/>
    <x v="5"/>
    <m/>
    <x v="3"/>
    <x v="41"/>
    <d v="2019-08-12T00:00:00"/>
    <d v="2019-08-12T00:00:00"/>
    <n v="-6"/>
    <n v="6"/>
    <m/>
    <s v="6 dgn koffie"/>
    <s v="UIT"/>
    <s v="UITGAAN"/>
    <s v="espresso"/>
    <m/>
    <m/>
    <m/>
    <m/>
    <m/>
    <m/>
    <m/>
    <m/>
    <m/>
    <m/>
  </r>
  <r>
    <n v="1608"/>
    <x v="5"/>
    <m/>
    <x v="3"/>
    <x v="41"/>
    <d v="2019-08-12T00:00:00"/>
    <d v="2019-08-12T00:00:00"/>
    <n v="-6.4"/>
    <n v="6.4"/>
    <m/>
    <s v="pizza 20/8"/>
    <s v="UIT"/>
    <s v="UITGAAN"/>
    <s v="restaurant"/>
    <m/>
    <m/>
    <m/>
    <m/>
    <m/>
    <m/>
    <m/>
    <m/>
    <m/>
    <m/>
  </r>
  <r>
    <n v="1609"/>
    <x v="5"/>
    <m/>
    <x v="3"/>
    <x v="41"/>
    <d v="2019-08-12T00:00:00"/>
    <d v="2019-08-12T00:00:00"/>
    <n v="-15"/>
    <n v="15"/>
    <m/>
    <s v="pizza 23/8"/>
    <s v="UIT"/>
    <s v="UITGAAN"/>
    <s v="restaurant"/>
    <m/>
    <m/>
    <m/>
    <m/>
    <m/>
    <m/>
    <m/>
    <m/>
    <m/>
    <m/>
  </r>
  <r>
    <n v="1611"/>
    <x v="5"/>
    <m/>
    <x v="3"/>
    <x v="41"/>
    <d v="2019-08-12T00:00:00"/>
    <d v="2019-08-12T00:00:00"/>
    <n v="-19.3"/>
    <n v="19.3"/>
    <m/>
    <s v="koffie 13 dgn"/>
    <s v="UIT"/>
    <s v="UITGAAN"/>
    <s v="espresso"/>
    <m/>
    <m/>
    <m/>
    <m/>
    <m/>
    <m/>
    <m/>
    <m/>
    <m/>
    <m/>
  </r>
  <r>
    <n v="1614"/>
    <x v="5"/>
    <m/>
    <x v="3"/>
    <x v="18"/>
    <d v="2019-09-06T00:00:00"/>
    <d v="2019-09-06T00:00:00"/>
    <n v="-6"/>
    <n v="6"/>
    <m/>
    <s v="koffie 6 dgn"/>
    <s v="UIT"/>
    <s v="UITGAAN"/>
    <s v="espresso"/>
    <m/>
    <m/>
    <m/>
    <m/>
    <m/>
    <m/>
    <m/>
    <m/>
    <m/>
    <m/>
  </r>
  <r>
    <n v="1617"/>
    <x v="5"/>
    <m/>
    <x v="3"/>
    <x v="18"/>
    <d v="2019-09-06T00:00:00"/>
    <d v="2019-09-06T00:00:00"/>
    <n v="-5"/>
    <n v="5"/>
    <m/>
    <s v="pizza al taglio 8/9"/>
    <s v="UIT"/>
    <s v="UITGAAN"/>
    <s v="snack"/>
    <m/>
    <m/>
    <m/>
    <m/>
    <m/>
    <m/>
    <m/>
    <m/>
    <m/>
    <m/>
  </r>
  <r>
    <n v="1620"/>
    <x v="5"/>
    <m/>
    <x v="3"/>
    <x v="18"/>
    <d v="2019-09-06T00:00:00"/>
    <d v="2019-09-06T00:00:00"/>
    <n v="-15"/>
    <n v="15"/>
    <m/>
    <s v="14 dgn koffie/capp"/>
    <s v="UIT"/>
    <s v="UITGAAN"/>
    <s v="espresso"/>
    <m/>
    <m/>
    <m/>
    <m/>
    <m/>
    <m/>
    <m/>
    <m/>
    <m/>
    <m/>
  </r>
  <r>
    <n v="1621"/>
    <x v="5"/>
    <m/>
    <x v="3"/>
    <x v="18"/>
    <d v="2019-09-06T00:00:00"/>
    <d v="2019-09-06T00:00:00"/>
    <n v="-10"/>
    <n v="10"/>
    <m/>
    <s v="eten strand met alessia"/>
    <s v="UIT"/>
    <s v="UITGAAN"/>
    <s v="restaurant"/>
    <m/>
    <m/>
    <m/>
    <m/>
    <m/>
    <m/>
    <m/>
    <m/>
    <m/>
    <m/>
  </r>
  <r>
    <n v="1623"/>
    <x v="5"/>
    <m/>
    <x v="3"/>
    <x v="18"/>
    <d v="2019-09-06T00:00:00"/>
    <d v="2019-09-06T00:00:00"/>
    <n v="-3.5"/>
    <n v="3.5"/>
    <m/>
    <s v="alice pizza 24/9 euroma2"/>
    <s v="UIT"/>
    <s v="UITGAAN"/>
    <s v="uitgaan"/>
    <m/>
    <m/>
    <m/>
    <m/>
    <m/>
    <m/>
    <m/>
    <m/>
    <m/>
    <m/>
  </r>
  <r>
    <n v="1624"/>
    <x v="5"/>
    <m/>
    <x v="3"/>
    <x v="18"/>
    <d v="2019-09-06T00:00:00"/>
    <d v="2019-09-06T00:00:00"/>
    <n v="-1.6"/>
    <n v="1.6"/>
    <m/>
    <s v="alice puzza 25/9"/>
    <s v="UIT"/>
    <s v="UITGAAN"/>
    <s v="uitgaan"/>
    <m/>
    <m/>
    <m/>
    <m/>
    <m/>
    <m/>
    <m/>
    <m/>
    <m/>
    <m/>
  </r>
  <r>
    <n v="1625"/>
    <x v="5"/>
    <m/>
    <x v="3"/>
    <x v="18"/>
    <d v="2019-09-06T00:00:00"/>
    <d v="2019-09-06T00:00:00"/>
    <n v="-4.8"/>
    <n v="4.8"/>
    <m/>
    <s v="koffie 7 dgn"/>
    <s v="UIT"/>
    <s v="UITGAAN"/>
    <s v="espresso"/>
    <m/>
    <m/>
    <m/>
    <m/>
    <m/>
    <m/>
    <m/>
    <m/>
    <m/>
    <m/>
  </r>
  <r>
    <n v="1627"/>
    <x v="5"/>
    <m/>
    <x v="3"/>
    <x v="18"/>
    <d v="2019-09-06T00:00:00"/>
    <d v="2019-09-06T00:00:00"/>
    <n v="-1.5"/>
    <n v="1.5"/>
    <m/>
    <s v="ijsje"/>
    <s v="UIT"/>
    <s v="UITGAAN"/>
    <s v="snack"/>
    <m/>
    <m/>
    <m/>
    <m/>
    <m/>
    <m/>
    <m/>
    <m/>
    <m/>
    <m/>
  </r>
  <r>
    <n v="1628"/>
    <x v="5"/>
    <m/>
    <x v="3"/>
    <x v="18"/>
    <d v="2019-09-06T00:00:00"/>
    <d v="2019-09-06T00:00:00"/>
    <n v="-2.5"/>
    <n v="2.5"/>
    <m/>
    <s v="spremuta"/>
    <s v="UIT"/>
    <s v="UITGAAN"/>
    <s v="uitgaan"/>
    <m/>
    <m/>
    <m/>
    <m/>
    <m/>
    <m/>
    <m/>
    <m/>
    <m/>
    <m/>
  </r>
  <r>
    <n v="1636"/>
    <x v="5"/>
    <m/>
    <x v="3"/>
    <x v="39"/>
    <d v="2019-10-31T00:00:00"/>
    <d v="2019-10-31T00:00:00"/>
    <n v="-5"/>
    <n v="5"/>
    <m/>
    <s v="konijnenvoer"/>
    <s v="UIT"/>
    <s v="UITGAAN"/>
    <s v="espresso"/>
    <m/>
    <m/>
    <m/>
    <m/>
    <m/>
    <m/>
    <m/>
    <m/>
    <m/>
    <m/>
  </r>
  <r>
    <n v="1642"/>
    <x v="5"/>
    <m/>
    <x v="3"/>
    <x v="39"/>
    <d v="2019-10-31T00:00:00"/>
    <d v="2019-10-31T00:00:00"/>
    <n v="-2.4"/>
    <n v="2.4"/>
    <m/>
    <s v="espresso"/>
    <s v="UIT"/>
    <s v="UITGAAN"/>
    <s v="espresso"/>
    <m/>
    <m/>
    <m/>
    <m/>
    <m/>
    <m/>
    <m/>
    <m/>
    <m/>
    <m/>
  </r>
  <r>
    <n v="1644"/>
    <x v="5"/>
    <m/>
    <x v="3"/>
    <x v="39"/>
    <d v="2019-10-31T00:00:00"/>
    <d v="2019-10-31T00:00:00"/>
    <n v="-10"/>
    <n v="10"/>
    <m/>
    <s v="lunch chickpea stew"/>
    <s v="UIT"/>
    <s v="UITGAAN"/>
    <s v="restaurant"/>
    <m/>
    <m/>
    <m/>
    <m/>
    <m/>
    <m/>
    <m/>
    <m/>
    <m/>
    <m/>
  </r>
  <r>
    <n v="1647"/>
    <x v="5"/>
    <m/>
    <x v="3"/>
    <x v="16"/>
    <d v="2019-11-01T00:00:00"/>
    <d v="2019-11-01T00:00:00"/>
    <n v="-5"/>
    <n v="5"/>
    <m/>
    <s v="Stadskeuken vegan"/>
    <s v="UIT"/>
    <s v="UITGAAN"/>
    <s v="restaurant"/>
    <m/>
    <m/>
    <m/>
    <m/>
    <m/>
    <m/>
    <m/>
    <m/>
    <m/>
    <m/>
  </r>
  <r>
    <n v="1654"/>
    <x v="2"/>
    <m/>
    <x v="3"/>
    <x v="39"/>
    <d v="2019-10-31T00:00:00"/>
    <d v="2019-10-31T00:00:00"/>
    <n v="16.38"/>
    <n v="16.38"/>
    <m/>
    <s v="horeca joost"/>
    <s v="UIT"/>
    <s v="UITGAAN"/>
    <s v="uitgaan"/>
    <m/>
    <m/>
    <m/>
    <m/>
    <m/>
    <m/>
    <m/>
    <m/>
    <m/>
    <m/>
  </r>
  <r>
    <n v="1657"/>
    <x v="2"/>
    <m/>
    <x v="3"/>
    <x v="39"/>
    <d v="2019-10-31T00:00:00"/>
    <d v="2019-10-31T00:00:00"/>
    <n v="-12.15"/>
    <n v="12.15"/>
    <m/>
    <s v="Betaald door Joost horeca"/>
    <s v="UIT"/>
    <s v="UITGAAN"/>
    <s v="uitgaan"/>
    <m/>
    <m/>
    <m/>
    <m/>
    <m/>
    <m/>
    <m/>
    <m/>
    <m/>
    <m/>
  </r>
  <r>
    <n v="1660"/>
    <x v="2"/>
    <m/>
    <x v="3"/>
    <x v="39"/>
    <d v="2019-10-31T00:00:00"/>
    <d v="2019-10-31T00:00:00"/>
    <n v="24"/>
    <n v="24"/>
    <m/>
    <s v="Konijnenvoer Joost"/>
    <s v="UIT"/>
    <s v="UITGAAN"/>
    <s v="restaurant"/>
    <m/>
    <m/>
    <m/>
    <m/>
    <m/>
    <m/>
    <m/>
    <m/>
    <m/>
    <m/>
  </r>
  <r>
    <n v="1690"/>
    <x v="3"/>
    <m/>
    <x v="3"/>
    <x v="14"/>
    <d v="2019-03-01T00:00:00"/>
    <d v="2019-03-01T00:00:00"/>
    <n v="7.3"/>
    <n v="7.3"/>
    <m/>
    <s v="Bonnie"/>
    <s v="UIT"/>
    <s v="UITGAAN"/>
    <s v="uitgaan"/>
    <m/>
    <m/>
    <m/>
    <m/>
    <m/>
    <m/>
    <m/>
    <m/>
    <m/>
    <m/>
  </r>
  <r>
    <n v="1691"/>
    <x v="3"/>
    <m/>
    <x v="3"/>
    <x v="14"/>
    <d v="2019-03-01T00:00:00"/>
    <d v="2019-03-01T00:00:00"/>
    <n v="-27.65"/>
    <n v="27.65"/>
    <m/>
    <s v="Foodhallen"/>
    <s v="UIT"/>
    <s v="UITGAAN"/>
    <s v="restaurant"/>
    <m/>
    <m/>
    <m/>
    <m/>
    <m/>
    <m/>
    <m/>
    <m/>
    <m/>
    <m/>
  </r>
  <r>
    <n v="1710"/>
    <x v="3"/>
    <m/>
    <x v="3"/>
    <x v="14"/>
    <d v="2019-03-13T00:00:00"/>
    <d v="2019-03-13T00:00:00"/>
    <n v="-4.3"/>
    <n v="4.3"/>
    <m/>
    <s v="Cafetaria het Poortje ARNHEM"/>
    <s v="UIT"/>
    <s v="UITGAAN"/>
    <s v="uitgaan"/>
    <m/>
    <m/>
    <m/>
    <m/>
    <m/>
    <m/>
    <m/>
    <m/>
    <m/>
    <m/>
  </r>
  <r>
    <n v="1711"/>
    <x v="3"/>
    <m/>
    <x v="3"/>
    <x v="14"/>
    <d v="2019-03-14T00:00:00"/>
    <d v="2019-03-14T00:00:00"/>
    <n v="-7.1"/>
    <n v="7.1"/>
    <m/>
    <s v="CASPAR ARNHEM"/>
    <s v="UIT"/>
    <s v="UITGAAN"/>
    <s v="uitgaan"/>
    <m/>
    <m/>
    <m/>
    <m/>
    <m/>
    <m/>
    <m/>
    <m/>
    <m/>
    <m/>
  </r>
  <r>
    <n v="1713"/>
    <x v="3"/>
    <m/>
    <x v="3"/>
    <x v="14"/>
    <d v="2019-03-14T00:00:00"/>
    <d v="2019-03-14T00:00:00"/>
    <n v="-2.2999999999999998"/>
    <n v="2.2999999999999998"/>
    <m/>
    <s v="SumUp  *Bonnie Arnhem"/>
    <s v="UIT"/>
    <s v="UITGAAN"/>
    <s v="espresso"/>
    <m/>
    <m/>
    <m/>
    <m/>
    <m/>
    <m/>
    <m/>
    <m/>
    <m/>
    <m/>
  </r>
  <r>
    <n v="1716"/>
    <x v="3"/>
    <m/>
    <x v="3"/>
    <x v="14"/>
    <d v="2019-03-15T00:00:00"/>
    <d v="2019-03-15T00:00:00"/>
    <n v="-6.5"/>
    <n v="6.5"/>
    <m/>
    <s v="SumUp  *Bonnie Arnhem"/>
    <s v="UIT"/>
    <s v="UITGAAN"/>
    <s v="espresso"/>
    <m/>
    <m/>
    <m/>
    <m/>
    <m/>
    <m/>
    <m/>
    <m/>
    <m/>
    <m/>
  </r>
  <r>
    <n v="1719"/>
    <x v="3"/>
    <m/>
    <x v="3"/>
    <x v="14"/>
    <d v="2019-03-16T00:00:00"/>
    <d v="2019-03-16T00:00:00"/>
    <n v="-2"/>
    <n v="2"/>
    <m/>
    <s v="FEBO Arnhem ARNHEM"/>
    <s v="UIT"/>
    <s v="UITGAAN"/>
    <s v="uitgaan"/>
    <m/>
    <m/>
    <m/>
    <m/>
    <m/>
    <m/>
    <m/>
    <m/>
    <m/>
    <m/>
  </r>
  <r>
    <n v="1720"/>
    <x v="3"/>
    <m/>
    <x v="3"/>
    <x v="14"/>
    <d v="2019-03-17T00:00:00"/>
    <d v="2019-03-17T00:00:00"/>
    <n v="-2.8"/>
    <n v="2.8"/>
    <m/>
    <s v="SumUp  *Bonnie Arnhem"/>
    <s v="UIT"/>
    <s v="UITGAAN"/>
    <s v="espresso"/>
    <m/>
    <m/>
    <m/>
    <m/>
    <m/>
    <m/>
    <m/>
    <m/>
    <m/>
    <m/>
  </r>
  <r>
    <n v="1722"/>
    <x v="3"/>
    <m/>
    <x v="3"/>
    <x v="14"/>
    <d v="2019-03-17T00:00:00"/>
    <d v="2019-03-17T00:00:00"/>
    <n v="-5.4"/>
    <n v="5.4"/>
    <m/>
    <s v="CCV*Focus Horeca BV ARNHEM"/>
    <s v="UIT"/>
    <s v="UITGAAN"/>
    <s v="uitgaan"/>
    <m/>
    <m/>
    <m/>
    <m/>
    <m/>
    <m/>
    <m/>
    <m/>
    <m/>
    <m/>
  </r>
  <r>
    <n v="1724"/>
    <x v="3"/>
    <m/>
    <x v="3"/>
    <x v="14"/>
    <d v="2019-03-18T00:00:00"/>
    <d v="2019-03-18T00:00:00"/>
    <n v="-3"/>
    <n v="3"/>
    <m/>
    <s v="CCV*Oude Kraan B.V. ARNHEM"/>
    <s v="UIT"/>
    <s v="UITGAAN"/>
    <s v="espresso"/>
    <m/>
    <m/>
    <m/>
    <m/>
    <m/>
    <m/>
    <m/>
    <m/>
    <m/>
    <m/>
  </r>
  <r>
    <n v="1733"/>
    <x v="3"/>
    <m/>
    <x v="3"/>
    <x v="14"/>
    <d v="2019-03-20T00:00:00"/>
    <d v="2019-03-20T00:00:00"/>
    <n v="0.9"/>
    <n v="0.9"/>
    <m/>
    <s v="Doppio Arnhem ARNHEM"/>
    <s v="UIT"/>
    <s v="UITGAAN"/>
    <s v="espresso"/>
    <m/>
    <m/>
    <m/>
    <m/>
    <m/>
    <m/>
    <m/>
    <m/>
    <m/>
    <m/>
  </r>
  <r>
    <n v="1737"/>
    <x v="3"/>
    <m/>
    <x v="3"/>
    <x v="14"/>
    <d v="2019-03-21T00:00:00"/>
    <d v="2019-03-21T00:00:00"/>
    <n v="-7.3"/>
    <n v="7.3"/>
    <m/>
    <s v="SumUp  *Bonnie Arnhem"/>
    <s v="UIT"/>
    <s v="UITGAAN"/>
    <s v="espresso"/>
    <m/>
    <m/>
    <m/>
    <m/>
    <m/>
    <m/>
    <m/>
    <m/>
    <m/>
    <m/>
  </r>
  <r>
    <n v="1739"/>
    <x v="3"/>
    <m/>
    <x v="3"/>
    <x v="14"/>
    <d v="2019-03-22T00:00:00"/>
    <d v="2019-03-22T00:00:00"/>
    <n v="-2.2999999999999998"/>
    <n v="2.2999999999999998"/>
    <m/>
    <s v="SumUp  *Bonnie Arnhem"/>
    <s v="UIT"/>
    <s v="UITGAAN"/>
    <s v="espresso"/>
    <m/>
    <m/>
    <m/>
    <m/>
    <m/>
    <m/>
    <m/>
    <m/>
    <m/>
    <m/>
  </r>
  <r>
    <n v="1741"/>
    <x v="3"/>
    <m/>
    <x v="3"/>
    <x v="14"/>
    <d v="2019-03-22T00:00:00"/>
    <d v="2019-03-22T00:00:00"/>
    <n v="-2.6"/>
    <n v="2.6"/>
    <m/>
    <s v="CCV*Soundtrek ARNHEM"/>
    <s v="UIT"/>
    <s v="UITGAAN"/>
    <s v="uitgaan"/>
    <m/>
    <m/>
    <m/>
    <m/>
    <m/>
    <m/>
    <m/>
    <m/>
    <m/>
    <m/>
  </r>
  <r>
    <n v="1742"/>
    <x v="3"/>
    <m/>
    <x v="3"/>
    <x v="14"/>
    <d v="2019-03-23T00:00:00"/>
    <d v="2019-03-23T00:00:00"/>
    <n v="-2.2999999999999998"/>
    <n v="2.2999999999999998"/>
    <m/>
    <s v="SumUp  *Bonnie Arnhem"/>
    <s v="UIT"/>
    <s v="UITGAAN"/>
    <s v="espresso"/>
    <m/>
    <m/>
    <m/>
    <m/>
    <m/>
    <m/>
    <m/>
    <m/>
    <m/>
    <m/>
  </r>
  <r>
    <n v="1745"/>
    <x v="3"/>
    <m/>
    <x v="3"/>
    <x v="14"/>
    <d v="2019-03-24T00:00:00"/>
    <d v="2019-03-24T00:00:00"/>
    <n v="-2.2999999999999998"/>
    <n v="2.2999999999999998"/>
    <m/>
    <s v="SumUp  *Bonnie Arnhem"/>
    <s v="UIT"/>
    <s v="UITGAAN"/>
    <s v="espresso"/>
    <m/>
    <m/>
    <m/>
    <m/>
    <m/>
    <m/>
    <m/>
    <m/>
    <m/>
    <m/>
  </r>
  <r>
    <n v="1750"/>
    <x v="3"/>
    <m/>
    <x v="3"/>
    <x v="14"/>
    <d v="2019-03-25T00:00:00"/>
    <d v="2019-03-25T00:00:00"/>
    <n v="-10"/>
    <n v="10"/>
    <m/>
    <s v="CCV*Focus Horeca BV ARNHEM"/>
    <s v="UIT"/>
    <s v="UITGAAN"/>
    <s v="uitgaan"/>
    <m/>
    <m/>
    <m/>
    <m/>
    <m/>
    <m/>
    <m/>
    <m/>
    <m/>
    <m/>
  </r>
  <r>
    <n v="1755"/>
    <x v="3"/>
    <m/>
    <x v="3"/>
    <x v="14"/>
    <d v="2019-03-26T00:00:00"/>
    <d v="2019-03-26T00:00:00"/>
    <n v="-13.65"/>
    <n v="13.65"/>
    <m/>
    <s v="Pintip-*pintip.nl NIEUWLEUSEN"/>
    <s v="UIT"/>
    <s v="UITGAAN"/>
    <s v="restaurant"/>
    <m/>
    <m/>
    <m/>
    <m/>
    <m/>
    <m/>
    <m/>
    <m/>
    <m/>
    <m/>
  </r>
  <r>
    <n v="1756"/>
    <x v="3"/>
    <m/>
    <x v="3"/>
    <x v="14"/>
    <d v="2019-03-26T00:00:00"/>
    <d v="2019-03-26T00:00:00"/>
    <n v="-14"/>
    <n v="14"/>
    <m/>
    <s v="Pintip.nl* NIEUWLEUSEN"/>
    <s v="UIT"/>
    <s v="UITGAAN"/>
    <s v="restaurant"/>
    <m/>
    <m/>
    <m/>
    <m/>
    <m/>
    <m/>
    <m/>
    <m/>
    <m/>
    <m/>
  </r>
  <r>
    <n v="1757"/>
    <x v="3"/>
    <m/>
    <x v="3"/>
    <x v="14"/>
    <d v="2019-03-26T00:00:00"/>
    <d v="2019-03-26T00:00:00"/>
    <n v="-9"/>
    <n v="9"/>
    <m/>
    <s v="Pintip.nl* NIEUWLEUSEN"/>
    <s v="UIT"/>
    <s v="UITGAAN"/>
    <s v="restaurant"/>
    <m/>
    <m/>
    <m/>
    <m/>
    <m/>
    <m/>
    <m/>
    <m/>
    <m/>
    <m/>
  </r>
  <r>
    <n v="1758"/>
    <x v="3"/>
    <m/>
    <x v="3"/>
    <x v="14"/>
    <d v="2019-03-26T00:00:00"/>
    <d v="2019-03-26T00:00:00"/>
    <n v="-12"/>
    <n v="12"/>
    <m/>
    <s v="IZ *L?Arrosticino Gust PANNINGEN"/>
    <s v="UIT"/>
    <s v="UITGAAN"/>
    <s v="restaurant"/>
    <m/>
    <m/>
    <m/>
    <m/>
    <m/>
    <m/>
    <m/>
    <m/>
    <m/>
    <m/>
  </r>
  <r>
    <n v="1759"/>
    <x v="3"/>
    <m/>
    <x v="3"/>
    <x v="14"/>
    <d v="2019-03-26T00:00:00"/>
    <d v="2019-03-26T00:00:00"/>
    <n v="-10"/>
    <n v="10"/>
    <m/>
    <s v="Pintip.nl* NIEUWLEUSEN"/>
    <s v="UIT"/>
    <s v="UITGAAN"/>
    <s v="restaurant"/>
    <m/>
    <m/>
    <m/>
    <m/>
    <m/>
    <m/>
    <m/>
    <m/>
    <m/>
    <m/>
  </r>
  <r>
    <n v="1760"/>
    <x v="3"/>
    <m/>
    <x v="3"/>
    <x v="14"/>
    <d v="2019-03-26T00:00:00"/>
    <d v="2019-03-26T00:00:00"/>
    <n v="-15.7"/>
    <n v="15.7"/>
    <m/>
    <s v="Pintip-*pintip.nl NIEUWLEUSEN"/>
    <s v="UIT"/>
    <s v="UITGAAN"/>
    <s v="restaurant"/>
    <m/>
    <m/>
    <m/>
    <m/>
    <m/>
    <m/>
    <m/>
    <m/>
    <m/>
    <m/>
  </r>
  <r>
    <n v="1761"/>
    <x v="3"/>
    <m/>
    <x v="3"/>
    <x v="14"/>
    <d v="2019-03-26T00:00:00"/>
    <d v="2019-03-26T00:00:00"/>
    <n v="-5"/>
    <n v="5"/>
    <m/>
    <s v="pintip-*pintip.nl OOSTVOORNE"/>
    <s v="UIT"/>
    <s v="UITGAAN"/>
    <s v="restaurant"/>
    <m/>
    <m/>
    <m/>
    <m/>
    <m/>
    <m/>
    <m/>
    <m/>
    <m/>
    <m/>
  </r>
  <r>
    <n v="1762"/>
    <x v="3"/>
    <m/>
    <x v="3"/>
    <x v="14"/>
    <d v="2019-03-26T00:00:00"/>
    <d v="2019-03-26T00:00:00"/>
    <n v="-9.5"/>
    <n v="9.5"/>
    <m/>
    <s v="IZ *The Roti King HOUTEN"/>
    <s v="UIT"/>
    <s v="UITGAAN"/>
    <s v="restaurant"/>
    <m/>
    <m/>
    <m/>
    <m/>
    <m/>
    <m/>
    <m/>
    <m/>
    <m/>
    <m/>
  </r>
  <r>
    <n v="1764"/>
    <x v="3"/>
    <m/>
    <x v="3"/>
    <x v="14"/>
    <d v="2019-03-27T00:00:00"/>
    <d v="2019-03-27T00:00:00"/>
    <n v="-9.6999999999999993"/>
    <n v="9.6999999999999993"/>
    <m/>
    <s v="BREW2CUP ARNHEM"/>
    <s v="UIT"/>
    <s v="UITGAAN"/>
    <s v="espresso"/>
    <m/>
    <m/>
    <m/>
    <m/>
    <m/>
    <m/>
    <m/>
    <m/>
    <m/>
    <m/>
  </r>
  <r>
    <n v="1765"/>
    <x v="3"/>
    <m/>
    <x v="3"/>
    <x v="14"/>
    <d v="2019-03-27T00:00:00"/>
    <d v="2019-03-27T00:00:00"/>
    <n v="61.2"/>
    <n v="61.2"/>
    <m/>
    <s v="retour foodhall AAB RETAIL INZ TIKKIE"/>
    <s v="UIT"/>
    <s v="UITGAAN"/>
    <s v="restaurant"/>
    <m/>
    <m/>
    <m/>
    <m/>
    <m/>
    <m/>
    <m/>
    <m/>
    <m/>
    <m/>
  </r>
  <r>
    <n v="1769"/>
    <x v="3"/>
    <m/>
    <x v="3"/>
    <x v="14"/>
    <d v="2019-03-28T00:00:00"/>
    <d v="2019-03-28T00:00:00"/>
    <n v="-21.35"/>
    <n v="21.35"/>
    <m/>
    <s v="SumUp  *Bonnie Arnhem"/>
    <s v="UIT"/>
    <s v="UITGAAN"/>
    <s v="uitgaan"/>
    <m/>
    <m/>
    <m/>
    <m/>
    <m/>
    <m/>
    <m/>
    <m/>
    <m/>
    <m/>
  </r>
  <r>
    <n v="1804"/>
    <x v="3"/>
    <m/>
    <x v="3"/>
    <x v="53"/>
    <n v="43580"/>
    <n v="43580"/>
    <n v="-8"/>
    <n v="8"/>
    <m/>
    <s v="pizza"/>
    <s v="UIT"/>
    <s v="UITGAAN"/>
    <s v="uitgaan"/>
    <m/>
    <m/>
    <m/>
    <m/>
    <m/>
    <m/>
    <m/>
    <m/>
    <m/>
    <m/>
  </r>
  <r>
    <n v="1806"/>
    <x v="3"/>
    <m/>
    <x v="3"/>
    <x v="53"/>
    <d v="2019-04-28T00:00:00"/>
    <d v="2019-04-28T00:00:00"/>
    <n v="-5"/>
    <n v="5"/>
    <m/>
    <s v="100 MONTADITOS ROMA ITA"/>
    <s v="UIT"/>
    <s v="UITGAAN"/>
    <s v="uitgaan"/>
    <m/>
    <m/>
    <m/>
    <m/>
    <m/>
    <m/>
    <m/>
    <m/>
    <m/>
    <m/>
  </r>
  <r>
    <n v="1831"/>
    <x v="3"/>
    <m/>
    <x v="3"/>
    <x v="55"/>
    <d v="2019-06-02T00:00:00"/>
    <d v="2019-06-02T00:00:00"/>
    <n v="-6"/>
    <n v="6"/>
    <m/>
    <s v="PASTASCIUTTA ROMA ITA"/>
    <s v="UIT"/>
    <s v="UITGAAN"/>
    <s v="restaurant"/>
    <m/>
    <m/>
    <m/>
    <m/>
    <m/>
    <m/>
    <m/>
    <m/>
    <m/>
    <m/>
  </r>
  <r>
    <n v="1841"/>
    <x v="3"/>
    <m/>
    <x v="3"/>
    <x v="55"/>
    <d v="2019-06-14T00:00:00"/>
    <d v="2019-06-14T00:00:00"/>
    <n v="-1.75"/>
    <n v="1.75"/>
    <m/>
    <s v="MCDONALD'S ROMA ITA"/>
    <s v="UIT"/>
    <s v="UITGAAN"/>
    <s v="uitgaan"/>
    <m/>
    <m/>
    <m/>
    <m/>
    <m/>
    <m/>
    <m/>
    <m/>
    <m/>
    <m/>
  </r>
  <r>
    <n v="1842"/>
    <x v="3"/>
    <m/>
    <x v="3"/>
    <x v="55"/>
    <d v="2019-06-17T00:00:00"/>
    <d v="2019-06-17T00:00:00"/>
    <n v="-6.5"/>
    <n v="6.5"/>
    <m/>
    <s v="BAGNI VITTORIA ROMA ITA"/>
    <s v="UIT"/>
    <s v="UITGAAN"/>
    <s v="uitgaan"/>
    <m/>
    <m/>
    <m/>
    <m/>
    <m/>
    <m/>
    <m/>
    <m/>
    <m/>
    <m/>
  </r>
  <r>
    <n v="1858"/>
    <x v="3"/>
    <m/>
    <x v="3"/>
    <x v="38"/>
    <d v="2019-07-16T00:00:00"/>
    <d v="2019-07-16T00:00:00"/>
    <n v="-1.65"/>
    <n v="1.65"/>
    <m/>
    <s v="MC DONALD'S ROMA ITA"/>
    <s v="UIT"/>
    <s v="UITGAAN"/>
    <s v="uitgaan"/>
    <m/>
    <m/>
    <m/>
    <m/>
    <m/>
    <m/>
    <m/>
    <m/>
    <m/>
    <m/>
  </r>
  <r>
    <n v="1863"/>
    <x v="3"/>
    <m/>
    <x v="3"/>
    <x v="38"/>
    <d v="2019-07-23T00:00:00"/>
    <d v="2019-07-23T00:00:00"/>
    <n v="-5.5"/>
    <n v="5.5"/>
    <m/>
    <s v="PASTA IMPERIALE MONTI ROMA ITA"/>
    <s v="UIT"/>
    <s v="UITGAAN"/>
    <s v="restaurant"/>
    <m/>
    <m/>
    <m/>
    <m/>
    <m/>
    <m/>
    <m/>
    <m/>
    <m/>
    <m/>
  </r>
  <r>
    <n v="1868"/>
    <x v="3"/>
    <m/>
    <x v="3"/>
    <x v="41"/>
    <d v="2019-08-01T00:00:00"/>
    <d v="2019-08-01T00:00:00"/>
    <n v="-5"/>
    <n v="5"/>
    <m/>
    <s v="PASTASCIUTTA ROMA ITA"/>
    <s v="UIT"/>
    <s v="UITGAAN"/>
    <s v="restaurant"/>
    <m/>
    <m/>
    <m/>
    <m/>
    <m/>
    <m/>
    <m/>
    <m/>
    <m/>
    <m/>
  </r>
  <r>
    <n v="1886"/>
    <x v="3"/>
    <m/>
    <x v="3"/>
    <x v="41"/>
    <d v="2019-08-29T00:00:00"/>
    <d v="2019-08-29T00:00:00"/>
    <n v="-11"/>
    <n v="11"/>
    <m/>
    <s v="I CUGINI SRL ROMA ITA"/>
    <s v="UIT"/>
    <s v="UITGAAN"/>
    <s v="restaurant"/>
    <m/>
    <m/>
    <m/>
    <m/>
    <m/>
    <m/>
    <m/>
    <m/>
    <m/>
    <m/>
  </r>
  <r>
    <n v="1896"/>
    <x v="3"/>
    <m/>
    <x v="3"/>
    <x v="18"/>
    <d v="2019-09-17T00:00:00"/>
    <d v="2019-09-17T00:00:00"/>
    <n v="-9"/>
    <n v="9"/>
    <m/>
    <s v="VEGGIE COMPANY S.R.L. ROMA ITA"/>
    <s v="UIT"/>
    <s v="UITGAAN"/>
    <s v="restaurant"/>
    <m/>
    <m/>
    <m/>
    <m/>
    <m/>
    <m/>
    <m/>
    <m/>
    <m/>
    <m/>
  </r>
  <r>
    <n v="1898"/>
    <x v="3"/>
    <m/>
    <x v="3"/>
    <x v="18"/>
    <d v="2019-09-20T00:00:00"/>
    <d v="2019-09-20T00:00:00"/>
    <n v="-4.8"/>
    <n v="4.8"/>
    <m/>
    <s v="FARO S.R.L.S. ROMA ITA"/>
    <s v="UIT"/>
    <s v="UITGAAN"/>
    <s v="espresso"/>
    <m/>
    <m/>
    <m/>
    <m/>
    <m/>
    <m/>
    <m/>
    <m/>
    <m/>
    <m/>
  </r>
  <r>
    <n v="1899"/>
    <x v="3"/>
    <m/>
    <x v="3"/>
    <x v="18"/>
    <d v="2019-09-20T00:00:00"/>
    <d v="2019-09-20T00:00:00"/>
    <n v="-12.5"/>
    <n v="12.5"/>
    <m/>
    <s v="RIFUGIO ROMANO ROMA       RM ITA"/>
    <s v="UIT"/>
    <s v="UITGAAN"/>
    <s v="restaurant"/>
    <m/>
    <m/>
    <m/>
    <m/>
    <m/>
    <m/>
    <m/>
    <m/>
    <m/>
    <m/>
  </r>
  <r>
    <n v="1903"/>
    <x v="3"/>
    <m/>
    <x v="3"/>
    <x v="18"/>
    <d v="2019-09-27T00:00:00"/>
    <d v="2019-09-27T00:00:00"/>
    <n v="-12.5"/>
    <n v="12.5"/>
    <m/>
    <s v="RISTORANTE SANT'ANDREA ROMA ITA"/>
    <s v="UIT"/>
    <s v="UITGAAN"/>
    <s v="restaurant"/>
    <m/>
    <m/>
    <m/>
    <m/>
    <m/>
    <m/>
    <m/>
    <m/>
    <m/>
    <m/>
  </r>
  <r>
    <n v="1905"/>
    <x v="3"/>
    <m/>
    <x v="3"/>
    <x v="18"/>
    <d v="2019-09-29T00:00:00"/>
    <d v="2019-09-29T00:00:00"/>
    <n v="-10.65"/>
    <n v="10.65"/>
    <m/>
    <s v="POKER SRL ROMA ITA"/>
    <s v="UIT"/>
    <s v="UITGAAN"/>
    <s v="restaurant"/>
    <m/>
    <m/>
    <m/>
    <m/>
    <m/>
    <m/>
    <m/>
    <m/>
    <m/>
    <m/>
  </r>
  <r>
    <n v="1906"/>
    <x v="3"/>
    <m/>
    <x v="3"/>
    <x v="39"/>
    <d v="2019-10-02T00:00:00"/>
    <d v="2019-10-02T00:00:00"/>
    <n v="-3.2"/>
    <n v="3.2"/>
    <m/>
    <s v="AUTOGRILL 0551 FIUMICINO ITA"/>
    <s v="UIT"/>
    <s v="UITGAAN"/>
    <s v="uitgaan"/>
    <m/>
    <m/>
    <m/>
    <m/>
    <m/>
    <m/>
    <m/>
    <m/>
    <m/>
    <m/>
  </r>
  <r>
    <n v="1918"/>
    <x v="3"/>
    <m/>
    <x v="3"/>
    <x v="39"/>
    <d v="2019-10-13T00:00:00"/>
    <d v="2019-10-13T00:00:00"/>
    <n v="-6.15"/>
    <n v="6.15"/>
    <m/>
    <s v="SumUp  *Bonnie Arnhem"/>
    <s v="UIT"/>
    <s v="UITGAAN"/>
    <s v="espresso"/>
    <m/>
    <m/>
    <m/>
    <m/>
    <m/>
    <m/>
    <m/>
    <m/>
    <m/>
    <m/>
  </r>
  <r>
    <n v="1924"/>
    <x v="3"/>
    <m/>
    <x v="3"/>
    <x v="39"/>
    <d v="2019-10-15T00:00:00"/>
    <d v="2019-10-15T00:00:00"/>
    <n v="-7"/>
    <n v="7"/>
    <m/>
    <s v="CASPAR ARNHEM"/>
    <s v="UIT"/>
    <s v="UITGAAN"/>
    <s v="uitgaan"/>
    <m/>
    <m/>
    <m/>
    <m/>
    <m/>
    <m/>
    <m/>
    <m/>
    <m/>
    <m/>
  </r>
  <r>
    <n v="1931"/>
    <x v="3"/>
    <m/>
    <x v="3"/>
    <x v="39"/>
    <d v="2019-10-17T00:00:00"/>
    <d v="2019-10-17T00:00:00"/>
    <n v="-6.8"/>
    <n v="6.8"/>
    <m/>
    <s v="SumUp  *Konijnenvoer Arnhem"/>
    <s v="UIT"/>
    <s v="UITGAAN"/>
    <s v="espresso"/>
    <m/>
    <m/>
    <m/>
    <m/>
    <m/>
    <m/>
    <m/>
    <m/>
    <m/>
    <m/>
  </r>
  <r>
    <n v="1933"/>
    <x v="3"/>
    <m/>
    <x v="3"/>
    <x v="39"/>
    <d v="2019-10-18T00:00:00"/>
    <d v="2019-10-18T00:00:00"/>
    <n v="-2.2999999999999998"/>
    <n v="2.2999999999999998"/>
    <m/>
    <s v="SumUp  *Konijnenvoer Arnhem"/>
    <s v="UIT"/>
    <s v="UITGAAN"/>
    <s v="espresso"/>
    <m/>
    <m/>
    <m/>
    <m/>
    <m/>
    <m/>
    <m/>
    <m/>
    <m/>
    <m/>
  </r>
  <r>
    <n v="1935"/>
    <x v="3"/>
    <m/>
    <x v="3"/>
    <x v="39"/>
    <d v="2019-10-19T00:00:00"/>
    <d v="2019-10-19T00:00:00"/>
    <n v="-10.8"/>
    <n v="10.8"/>
    <m/>
    <s v="SumUp  *Bonnie Arnhem"/>
    <s v="UIT"/>
    <s v="UITGAAN"/>
    <s v="espresso"/>
    <m/>
    <m/>
    <m/>
    <m/>
    <m/>
    <m/>
    <m/>
    <m/>
    <m/>
    <m/>
  </r>
  <r>
    <n v="1936"/>
    <x v="3"/>
    <m/>
    <x v="3"/>
    <x v="39"/>
    <d v="2019-10-20T00:00:00"/>
    <d v="2019-10-20T00:00:00"/>
    <n v="-2.5"/>
    <n v="2.5"/>
    <m/>
    <s v="SumUp  *Bonnie Arnhem"/>
    <s v="UIT"/>
    <s v="UITGAAN"/>
    <s v="espresso"/>
    <m/>
    <m/>
    <m/>
    <m/>
    <m/>
    <m/>
    <m/>
    <m/>
    <m/>
    <m/>
  </r>
  <r>
    <n v="1937"/>
    <x v="3"/>
    <m/>
    <x v="3"/>
    <x v="39"/>
    <d v="2019-10-20T00:00:00"/>
    <d v="2019-10-20T00:00:00"/>
    <n v="-2.25"/>
    <n v="2.25"/>
    <m/>
    <s v="Cafetaria Frietoloog ARNHEM"/>
    <s v="UIT"/>
    <s v="UITGAAN"/>
    <s v="uitgaan"/>
    <m/>
    <m/>
    <m/>
    <m/>
    <m/>
    <m/>
    <m/>
    <m/>
    <m/>
    <m/>
  </r>
  <r>
    <n v="1943"/>
    <x v="3"/>
    <m/>
    <x v="3"/>
    <x v="39"/>
    <d v="2019-10-21T00:00:00"/>
    <d v="2019-10-21T00:00:00"/>
    <n v="-5.3"/>
    <n v="5.3"/>
    <m/>
    <s v="SumUp  *Konijnenvoer Arnhem"/>
    <s v="UIT"/>
    <s v="UITGAAN"/>
    <s v="espresso"/>
    <m/>
    <m/>
    <m/>
    <m/>
    <m/>
    <m/>
    <m/>
    <m/>
    <m/>
    <m/>
  </r>
  <r>
    <n v="1949"/>
    <x v="3"/>
    <m/>
    <x v="3"/>
    <x v="39"/>
    <d v="2019-10-22T00:00:00"/>
    <d v="2019-10-22T00:00:00"/>
    <n v="-12.95"/>
    <n v="12.95"/>
    <m/>
    <s v="DEER MAMA AMSTERDAM"/>
    <s v="UIT"/>
    <s v="UITGAAN"/>
    <s v="restaurant"/>
    <m/>
    <m/>
    <m/>
    <m/>
    <m/>
    <m/>
    <m/>
    <m/>
    <m/>
    <m/>
  </r>
  <r>
    <n v="1951"/>
    <x v="3"/>
    <m/>
    <x v="3"/>
    <x v="39"/>
    <d v="2019-10-22T00:00:00"/>
    <d v="2019-10-22T00:00:00"/>
    <n v="-4.95"/>
    <n v="4.95"/>
    <m/>
    <s v="CCV*JOEL MAX BV AMSTERDAM"/>
    <s v="UIT"/>
    <s v="UITGAAN"/>
    <s v="restaurant"/>
    <m/>
    <m/>
    <m/>
    <m/>
    <m/>
    <m/>
    <m/>
    <m/>
    <m/>
    <m/>
  </r>
  <r>
    <n v="1952"/>
    <x v="3"/>
    <m/>
    <x v="3"/>
    <x v="39"/>
    <d v="2019-10-22T00:00:00"/>
    <d v="2019-10-22T00:00:00"/>
    <n v="-3.15"/>
    <n v="3.15"/>
    <m/>
    <s v="McDonald's 1316 ARNHEM"/>
    <s v="UIT"/>
    <s v="UITGAAN"/>
    <s v="uitgaan"/>
    <m/>
    <m/>
    <m/>
    <m/>
    <m/>
    <m/>
    <m/>
    <m/>
    <m/>
    <m/>
  </r>
  <r>
    <n v="1953"/>
    <x v="3"/>
    <m/>
    <x v="3"/>
    <x v="39"/>
    <d v="2019-10-23T00:00:00"/>
    <d v="2019-10-23T00:00:00"/>
    <n v="-2.5"/>
    <n v="2.5"/>
    <m/>
    <s v="SumUp  *Bonnie Arnhem"/>
    <s v="UIT"/>
    <s v="UITGAAN"/>
    <s v="espresso"/>
    <m/>
    <m/>
    <m/>
    <m/>
    <m/>
    <m/>
    <m/>
    <m/>
    <m/>
    <m/>
  </r>
  <r>
    <n v="1956"/>
    <x v="3"/>
    <m/>
    <x v="3"/>
    <x v="39"/>
    <d v="2019-10-24T00:00:00"/>
    <d v="2019-10-24T00:00:00"/>
    <n v="-5.5"/>
    <n v="5.5"/>
    <m/>
    <s v="Chapoo! B.V. ZUTPHEN"/>
    <s v="UIT"/>
    <s v="UITGAAN"/>
    <s v="espresso"/>
    <m/>
    <m/>
    <m/>
    <m/>
    <m/>
    <m/>
    <m/>
    <m/>
    <m/>
    <m/>
  </r>
  <r>
    <n v="1960"/>
    <x v="3"/>
    <m/>
    <x v="3"/>
    <x v="39"/>
    <d v="2019-10-24T00:00:00"/>
    <d v="2019-10-24T00:00:00"/>
    <n v="-2.5"/>
    <n v="2.5"/>
    <m/>
    <s v="SumUp  *Konijnenvoer Arnhem"/>
    <s v="UIT"/>
    <s v="UITGAAN"/>
    <s v="espresso"/>
    <m/>
    <m/>
    <m/>
    <m/>
    <m/>
    <m/>
    <m/>
    <m/>
    <m/>
    <m/>
  </r>
  <r>
    <n v="1962"/>
    <x v="3"/>
    <m/>
    <x v="3"/>
    <x v="39"/>
    <d v="2019-10-25T00:00:00"/>
    <d v="2019-10-25T00:00:00"/>
    <n v="-2.8"/>
    <n v="2.8"/>
    <m/>
    <s v="CCV*Koffie Academie AMSTERDAM"/>
    <s v="UIT"/>
    <s v="UITGAAN"/>
    <s v="espresso"/>
    <m/>
    <m/>
    <m/>
    <m/>
    <m/>
    <m/>
    <m/>
    <m/>
    <m/>
    <m/>
  </r>
  <r>
    <n v="1963"/>
    <x v="3"/>
    <m/>
    <x v="3"/>
    <x v="39"/>
    <d v="2019-10-25T00:00:00"/>
    <d v="2019-10-25T00:00:00"/>
    <n v="-30.8"/>
    <n v="30.8"/>
    <m/>
    <s v="THE DUCHESS AMSTERDAM"/>
    <s v="UIT"/>
    <s v="UITGAAN"/>
    <s v="uitgaan"/>
    <m/>
    <m/>
    <m/>
    <m/>
    <m/>
    <m/>
    <m/>
    <m/>
    <m/>
    <m/>
  </r>
  <r>
    <n v="1965"/>
    <x v="3"/>
    <m/>
    <x v="3"/>
    <x v="39"/>
    <d v="2019-10-25T00:00:00"/>
    <d v="2019-10-25T00:00:00"/>
    <n v="18"/>
    <n v="18"/>
    <m/>
    <s v="AAB RETAIL INZ TIKKIE"/>
    <s v="UIT"/>
    <s v="UITGAAN"/>
    <s v="restaurant"/>
    <m/>
    <m/>
    <m/>
    <m/>
    <m/>
    <m/>
    <m/>
    <m/>
    <m/>
    <m/>
  </r>
  <r>
    <n v="1968"/>
    <x v="3"/>
    <m/>
    <x v="3"/>
    <x v="39"/>
    <d v="2019-10-27T00:00:00"/>
    <d v="2019-10-27T00:00:00"/>
    <n v="-8.35"/>
    <n v="8.35"/>
    <m/>
    <s v="SumUp  *Bonnie Arnhem"/>
    <s v="UIT"/>
    <s v="UITGAAN"/>
    <s v="espresso"/>
    <m/>
    <m/>
    <m/>
    <m/>
    <m/>
    <m/>
    <m/>
    <m/>
    <m/>
    <m/>
  </r>
  <r>
    <n v="1970"/>
    <x v="3"/>
    <m/>
    <x v="3"/>
    <x v="39"/>
    <d v="2019-10-27T00:00:00"/>
    <d v="2019-10-27T00:00:00"/>
    <n v="-51.5"/>
    <n v="51.5"/>
    <m/>
    <s v="SumUp  *Konijnenvoer Arnhem"/>
    <s v="UIT"/>
    <s v="UITGAAN"/>
    <s v="restaurant"/>
    <m/>
    <m/>
    <m/>
    <m/>
    <m/>
    <m/>
    <m/>
    <m/>
    <m/>
    <m/>
  </r>
  <r>
    <n v="1971"/>
    <x v="3"/>
    <m/>
    <x v="3"/>
    <x v="39"/>
    <d v="2019-10-28T00:00:00"/>
    <d v="2019-10-28T00:00:00"/>
    <n v="-2.2999999999999998"/>
    <n v="2.2999999999999998"/>
    <m/>
    <s v="SumUp  *Konijnenvoer Arnhem"/>
    <s v="UIT"/>
    <s v="UITGAAN"/>
    <s v="espresso"/>
    <m/>
    <m/>
    <m/>
    <m/>
    <m/>
    <m/>
    <m/>
    <m/>
    <m/>
    <m/>
  </r>
  <r>
    <n v="1972"/>
    <x v="3"/>
    <m/>
    <x v="3"/>
    <x v="39"/>
    <d v="2019-10-29T00:00:00"/>
    <d v="2019-10-29T00:00:00"/>
    <n v="-1.5"/>
    <n v="1.5"/>
    <m/>
    <s v="iZ *HAVENMEESTER Arnhem"/>
    <s v="UIT"/>
    <s v="UITGAAN"/>
    <s v="espresso"/>
    <m/>
    <m/>
    <m/>
    <m/>
    <m/>
    <m/>
    <m/>
    <m/>
    <m/>
    <m/>
  </r>
  <r>
    <n v="1977"/>
    <x v="3"/>
    <m/>
    <x v="3"/>
    <x v="39"/>
    <d v="2019-10-30T00:00:00"/>
    <d v="2019-10-30T00:00:00"/>
    <n v="-10.8"/>
    <n v="10.8"/>
    <m/>
    <s v="SumUp  *Bonnie Arnhem"/>
    <s v="UIT"/>
    <s v="UITGAAN"/>
    <s v="espresso"/>
    <m/>
    <m/>
    <m/>
    <m/>
    <m/>
    <m/>
    <m/>
    <m/>
    <m/>
    <m/>
  </r>
  <r>
    <n v="1978"/>
    <x v="3"/>
    <m/>
    <x v="3"/>
    <x v="39"/>
    <d v="2019-10-31T00:00:00"/>
    <d v="2019-10-31T00:00:00"/>
    <n v="-66.599999999999994"/>
    <n v="66.599999999999994"/>
    <m/>
    <s v="caspar"/>
    <s v="UIT"/>
    <s v="UITGAAN"/>
    <s v="uitgaan"/>
    <m/>
    <m/>
    <m/>
    <m/>
    <m/>
    <m/>
    <m/>
    <m/>
    <m/>
    <m/>
  </r>
  <r>
    <n v="1979"/>
    <x v="3"/>
    <m/>
    <x v="3"/>
    <x v="39"/>
    <d v="2019-10-31T00:00:00"/>
    <d v="2019-10-31T00:00:00"/>
    <n v="-5.4"/>
    <n v="5.4"/>
    <m/>
    <s v="bonnie"/>
    <s v="UIT"/>
    <s v="UITGAAN"/>
    <s v="uitgaan"/>
    <m/>
    <m/>
    <m/>
    <m/>
    <m/>
    <m/>
    <m/>
    <m/>
    <m/>
    <m/>
  </r>
  <r>
    <n v="1983"/>
    <x v="3"/>
    <m/>
    <x v="3"/>
    <x v="39"/>
    <d v="2019-10-31T00:00:00"/>
    <d v="2019-10-31T00:00:00"/>
    <n v="50.1"/>
    <n v="50.1"/>
    <m/>
    <s v="retour caspar"/>
    <s v="UIT"/>
    <s v="UITGAAN"/>
    <s v="uitgaan"/>
    <m/>
    <m/>
    <m/>
    <m/>
    <m/>
    <m/>
    <m/>
    <m/>
    <m/>
    <m/>
  </r>
  <r>
    <n v="1986"/>
    <x v="3"/>
    <m/>
    <x v="3"/>
    <x v="16"/>
    <d v="2019-11-01T00:00:00"/>
    <d v="2019-11-01T00:00:00"/>
    <n v="-8.75"/>
    <n v="8.75"/>
    <m/>
    <s v="SumUp  *Bonnie Arnhem"/>
    <s v="UIT"/>
    <s v="UITGAAN"/>
    <s v="uitgaan"/>
    <m/>
    <m/>
    <m/>
    <m/>
    <m/>
    <m/>
    <m/>
    <m/>
    <m/>
    <m/>
  </r>
  <r>
    <n v="1987"/>
    <x v="3"/>
    <m/>
    <x v="3"/>
    <x v="16"/>
    <d v="2019-11-02T00:00:00"/>
    <d v="2019-11-02T00:00:00"/>
    <n v="-14.95"/>
    <n v="14.95"/>
    <m/>
    <s v="CCV*WAKU WAKU UTRECHT"/>
    <s v="UIT"/>
    <s v="UITGAAN"/>
    <s v="restaurant"/>
    <m/>
    <m/>
    <m/>
    <m/>
    <m/>
    <m/>
    <m/>
    <m/>
    <m/>
    <m/>
  </r>
  <r>
    <n v="1988"/>
    <x v="3"/>
    <m/>
    <x v="3"/>
    <x v="16"/>
    <d v="2019-11-02T00:00:00"/>
    <d v="2019-11-02T00:00:00"/>
    <n v="-8"/>
    <n v="8"/>
    <m/>
    <s v="SumUp  *Konijnenvoer Arnhem"/>
    <s v="UIT"/>
    <s v="UITGAAN"/>
    <s v="uitgaan"/>
    <m/>
    <m/>
    <m/>
    <m/>
    <m/>
    <m/>
    <m/>
    <m/>
    <m/>
    <m/>
  </r>
  <r>
    <n v="1989"/>
    <x v="3"/>
    <m/>
    <x v="3"/>
    <x v="16"/>
    <d v="2019-11-02T00:00:00"/>
    <d v="2019-11-02T00:00:00"/>
    <n v="-2.35"/>
    <n v="2.35"/>
    <m/>
    <s v="IZ *Blackbird Coffee &amp; UTRECHT"/>
    <s v="UIT"/>
    <s v="UITGAAN"/>
    <s v="espresso"/>
    <m/>
    <m/>
    <m/>
    <m/>
    <m/>
    <m/>
    <m/>
    <m/>
    <m/>
    <m/>
  </r>
  <r>
    <n v="1990"/>
    <x v="3"/>
    <m/>
    <x v="3"/>
    <x v="16"/>
    <d v="2019-11-02T00:00:00"/>
    <d v="2019-11-02T00:00:00"/>
    <n v="-5"/>
    <n v="5"/>
    <m/>
    <s v="UITGAAN"/>
    <s v="UIT"/>
    <s v="UITGAAN"/>
    <s v="restaurant"/>
    <m/>
    <m/>
    <m/>
    <m/>
    <m/>
    <m/>
    <m/>
    <m/>
    <m/>
    <m/>
  </r>
  <r>
    <n v="1993"/>
    <x v="3"/>
    <m/>
    <x v="3"/>
    <x v="16"/>
    <d v="2019-11-03T00:00:00"/>
    <d v="2019-11-03T00:00:00"/>
    <n v="-12.35"/>
    <n v="12.35"/>
    <m/>
    <s v="SumUp  *Bonnie Arnhem"/>
    <s v="UIT"/>
    <s v="UITGAAN"/>
    <s v="uitgaan"/>
    <m/>
    <m/>
    <m/>
    <m/>
    <m/>
    <m/>
    <m/>
    <m/>
    <m/>
    <m/>
  </r>
  <r>
    <n v="2000"/>
    <x v="3"/>
    <m/>
    <x v="3"/>
    <x v="16"/>
    <d v="2019-11-08T00:00:00"/>
    <d v="2019-11-08T00:00:00"/>
    <n v="50.1"/>
    <n v="50.1"/>
    <m/>
    <s v="AAB RETAIL INZ TIKKIE"/>
    <s v="UIT"/>
    <s v="UITGAAN"/>
    <s v="restaurant"/>
    <m/>
    <m/>
    <m/>
    <m/>
    <m/>
    <m/>
    <m/>
    <m/>
    <m/>
    <m/>
  </r>
  <r>
    <n v="2006"/>
    <x v="3"/>
    <m/>
    <x v="3"/>
    <x v="16"/>
    <d v="2019-11-12T00:00:00"/>
    <d v="2019-11-12T00:00:00"/>
    <n v="-6.27"/>
    <n v="6.27"/>
    <m/>
    <s v="Pret a Manger E Z rich CHE"/>
    <s v="UIT"/>
    <s v="UITGAAN"/>
    <s v="restaurant"/>
    <m/>
    <m/>
    <m/>
    <m/>
    <m/>
    <m/>
    <m/>
    <m/>
    <m/>
    <m/>
  </r>
  <r>
    <n v="2172"/>
    <x v="3"/>
    <m/>
    <x v="4"/>
    <x v="21"/>
    <d v="2020-03-23T00:00:00"/>
    <d v="2020-03-23T00:00:00"/>
    <n v="-25"/>
    <n v="25"/>
    <m/>
    <s v="Bonnie Arnhem via Mollie"/>
    <s v="UIT"/>
    <s v="UITGAAN"/>
    <s v="uitgaan"/>
    <m/>
    <s v="NL22RABO0381604934"/>
    <s v="M7717661M16T2O1X 0020003012239456 Coffee card E25 436 bonniearnhem.nl x4934 pasnr.011"/>
    <s v="RABONL2U"/>
    <n v="3109"/>
    <d v="2020-03-23T00:00:00"/>
    <d v="2020-03-23T00:00:00"/>
    <n v="-25"/>
    <n v="42.04"/>
    <s v="NL70RABO0115600000"/>
  </r>
  <r>
    <n v="2182"/>
    <x v="3"/>
    <m/>
    <x v="4"/>
    <x v="22"/>
    <d v="2020-04-27T00:00:00"/>
    <d v="2020-04-27T00:00:00"/>
    <n v="-25"/>
    <n v="25"/>
    <m/>
    <s v="ABN AMRO Bank NV CASPAR TEGOEDBON"/>
    <s v="UIT"/>
    <s v="UITGAAN"/>
    <s v="uitgaan"/>
    <m/>
    <s v="NL22RABO0381604934"/>
    <s v="000192674542 0030005102026988 CASPAR ARNHEM NL90INGB0004259125 x4934 pasnr.011"/>
    <s v="RABONL2U"/>
    <n v="3123"/>
    <d v="2020-04-27T00:00:00"/>
    <d v="2020-04-28T00:00:00"/>
    <n v="-25"/>
    <n v="30.83"/>
    <s v="NL13ABNA0506417344"/>
  </r>
  <r>
    <n v="2220"/>
    <x v="3"/>
    <m/>
    <x v="4"/>
    <x v="56"/>
    <d v="2020-07-10T00:00:00"/>
    <d v="2020-07-10T00:00:00"/>
    <n v="-2.75"/>
    <n v="2.75"/>
    <m/>
    <s v="Dubbel10 ARNHEM"/>
    <s v="UIT"/>
    <s v="UITGAAN"/>
    <s v="uitgaan"/>
    <m/>
    <s v="Betaalautomaat 17:30 pasnr. 011"/>
    <m/>
    <s v="bc"/>
    <m/>
    <m/>
    <m/>
    <m/>
    <m/>
    <m/>
  </r>
  <r>
    <n v="2226"/>
    <x v="3"/>
    <m/>
    <x v="4"/>
    <x v="56"/>
    <d v="2020-07-13T00:00:00"/>
    <d v="2020-07-13T00:00:00"/>
    <n v="-1.3"/>
    <n v="1.3"/>
    <m/>
    <s v="CCV*Trio IJssalon ARNHEM"/>
    <s v="UIT"/>
    <s v="UITGAAN"/>
    <s v="snack"/>
    <m/>
    <s v="Betaalautomaat 16:24 pasnr. 011"/>
    <m/>
    <s v="bc"/>
    <m/>
    <m/>
    <m/>
    <m/>
    <m/>
    <m/>
  </r>
  <r>
    <n v="2228"/>
    <x v="3"/>
    <m/>
    <x v="4"/>
    <x v="56"/>
    <d v="2020-07-13T00:00:00"/>
    <d v="2020-07-13T00:00:00"/>
    <n v="-2.4"/>
    <n v="2.4"/>
    <m/>
    <s v="Walt ARNHEM"/>
    <s v="UIT"/>
    <s v="UITGAAN"/>
    <s v="espresso"/>
    <m/>
    <s v="Betaalautomaat 17:51 pasnr. 011"/>
    <m/>
    <s v="bc"/>
    <m/>
    <m/>
    <m/>
    <m/>
    <m/>
    <m/>
  </r>
  <r>
    <n v="2230"/>
    <x v="3"/>
    <m/>
    <x v="4"/>
    <x v="56"/>
    <d v="2020-07-14T00:00:00"/>
    <d v="2020-07-14T00:00:00"/>
    <n v="-2.2999999999999998"/>
    <n v="2.2999999999999998"/>
    <m/>
    <s v="BREW2CUP ARNHEM"/>
    <s v="UIT"/>
    <s v="UITGAAN"/>
    <s v="espresso"/>
    <m/>
    <s v="Betaalautomaat 15:33 pasnr. 011"/>
    <m/>
    <s v="bc"/>
    <m/>
    <m/>
    <m/>
    <m/>
    <m/>
    <m/>
  </r>
  <r>
    <n v="2237"/>
    <x v="3"/>
    <m/>
    <x v="4"/>
    <x v="56"/>
    <d v="2020-07-17T00:00:00"/>
    <d v="2020-07-17T00:00:00"/>
    <n v="-5"/>
    <n v="5"/>
    <m/>
    <s v="Cigkoftem Rotterdam ARNHEM"/>
    <s v="UIT"/>
    <s v="UITGAAN"/>
    <s v="uitgaan"/>
    <m/>
    <s v="Betaalautomaat 20:20 pasnr. 011"/>
    <m/>
    <s v="bc"/>
    <m/>
    <m/>
    <m/>
    <m/>
    <m/>
    <m/>
  </r>
  <r>
    <n v="2238"/>
    <x v="3"/>
    <m/>
    <x v="4"/>
    <x v="56"/>
    <d v="2020-07-17T00:00:00"/>
    <d v="2020-07-17T00:00:00"/>
    <n v="-2.6"/>
    <n v="2.6"/>
    <m/>
    <s v="FEBO Arnhem VOF ARNHEM"/>
    <s v="UIT"/>
    <s v="UITGAAN"/>
    <s v="uitgaan"/>
    <m/>
    <s v="Betaalautomaat 20:35 pasnr. 011"/>
    <m/>
    <s v="bc"/>
    <m/>
    <m/>
    <m/>
    <m/>
    <m/>
    <m/>
  </r>
  <r>
    <n v="2239"/>
    <x v="3"/>
    <m/>
    <x v="4"/>
    <x v="56"/>
    <d v="2020-07-17T00:00:00"/>
    <d v="2020-07-17T00:00:00"/>
    <n v="-5.9"/>
    <n v="5.9"/>
    <m/>
    <s v="CCV*Restaurant Rijnmoz ARNHEM"/>
    <s v="UIT"/>
    <s v="UITGAAN"/>
    <s v="uitgaan"/>
    <m/>
    <s v="Betaalautomaat 22:27 pasnr. 011"/>
    <m/>
    <s v="bc"/>
    <m/>
    <m/>
    <m/>
    <m/>
    <m/>
    <m/>
  </r>
  <r>
    <n v="2240"/>
    <x v="3"/>
    <m/>
    <x v="4"/>
    <x v="56"/>
    <d v="2020-07-18T00:00:00"/>
    <d v="2020-07-18T00:00:00"/>
    <n v="-15.4"/>
    <n v="15.4"/>
    <m/>
    <s v="SumUp  *Bonnie Arnhem"/>
    <s v="UIT"/>
    <s v="UITGAAN"/>
    <s v="espresso"/>
    <m/>
    <s v="Betaalautomaat 13:37 pasnr. 011"/>
    <m/>
    <s v="bc"/>
    <m/>
    <m/>
    <m/>
    <m/>
    <m/>
    <m/>
  </r>
  <r>
    <n v="2246"/>
    <x v="3"/>
    <m/>
    <x v="4"/>
    <x v="56"/>
    <d v="2020-07-19T00:00:00"/>
    <d v="2020-07-19T00:00:00"/>
    <n v="-1.3"/>
    <n v="1.3"/>
    <m/>
    <s v="CCV*Trio IJssalon ARNHEM"/>
    <s v="UIT"/>
    <s v="UITGAAN"/>
    <s v="snack"/>
    <m/>
    <s v="Betaalautomaat 20:35 pasnr. 011"/>
    <m/>
    <s v="bc"/>
    <m/>
    <m/>
    <m/>
    <m/>
    <m/>
    <m/>
  </r>
  <r>
    <n v="2255"/>
    <x v="3"/>
    <m/>
    <x v="4"/>
    <x v="56"/>
    <d v="2020-07-21T00:00:00"/>
    <d v="2020-07-21T00:00:00"/>
    <n v="-2.6"/>
    <n v="2.6"/>
    <m/>
    <s v="Pay.nl*VP De Twee B. WINTERSWIJK M"/>
    <s v="UIT"/>
    <s v="UITGAAN"/>
    <s v="snack"/>
    <m/>
    <s v="Betaalautomaat 17:19 pasnr. 011"/>
    <m/>
    <s v="bc"/>
    <m/>
    <m/>
    <m/>
    <m/>
    <m/>
    <s v="Betaalautomaat 20:35 pasnr. 011"/>
  </r>
  <r>
    <n v="2264"/>
    <x v="3"/>
    <m/>
    <x v="4"/>
    <x v="56"/>
    <d v="2020-07-25T00:00:00"/>
    <d v="2020-07-25T00:00:00"/>
    <n v="-1"/>
    <n v="1"/>
    <m/>
    <s v="Zwembad De Twee Brugge WINTERSWIJK M"/>
    <s v="UIT"/>
    <s v="UITGAAN"/>
    <s v="snack"/>
    <m/>
    <s v="Betaalautomaat 21:00 pasnr. 022"/>
    <m/>
    <s v="bc"/>
    <m/>
    <m/>
    <m/>
    <m/>
    <m/>
    <s v="Betaalautomaat 17:19 pasnr. 011"/>
  </r>
  <r>
    <n v="2268"/>
    <x v="3"/>
    <m/>
    <x v="4"/>
    <x v="56"/>
    <d v="2020-07-28T00:00:00"/>
    <d v="2020-07-28T00:00:00"/>
    <n v="-2.2999999999999998"/>
    <n v="2.2999999999999998"/>
    <m/>
    <s v="CCV*Broeder en Zuster AALTEN"/>
    <s v="UIT"/>
    <s v="UITGAAN"/>
    <s v="uitgaan"/>
    <m/>
    <s v="Betaalautomaat 13:33 pasnr. 022"/>
    <m/>
    <s v="bc"/>
    <m/>
    <m/>
    <m/>
    <m/>
    <m/>
    <s v="Betaalautomaat 13:33 pasnr. 011"/>
  </r>
  <r>
    <n v="2271"/>
    <x v="3"/>
    <m/>
    <x v="4"/>
    <x v="56"/>
    <d v="2020-07-29T00:00:00"/>
    <d v="2020-07-29T00:00:00"/>
    <n v="-1.8"/>
    <n v="1.8"/>
    <m/>
    <s v="Supermarkt DTB WINTERSWIJK M"/>
    <s v="UIT"/>
    <s v="UITGAAN"/>
    <s v="espresso"/>
    <m/>
    <s v="Betaalautomaat 12:25 pasnr. 022"/>
    <m/>
    <s v="bc"/>
    <m/>
    <m/>
    <m/>
    <m/>
    <m/>
    <s v="Betaalautomaat 14:25 pasnr. 011"/>
  </r>
  <r>
    <n v="2273"/>
    <x v="3"/>
    <m/>
    <x v="4"/>
    <x v="56"/>
    <d v="2020-07-30T00:00:00"/>
    <d v="2020-07-30T00:00:00"/>
    <n v="-2.7"/>
    <n v="2.7"/>
    <m/>
    <s v="Pay.nl*VP De Twee B. WINTERSWIJK M"/>
    <s v="UIT"/>
    <s v="UITGAAN"/>
    <s v="snack"/>
    <m/>
    <s v="Betaalautomaat 18:41 pasnr. 022"/>
    <m/>
    <s v="bc"/>
    <m/>
    <m/>
    <m/>
    <m/>
    <m/>
    <s v="Betaalautomaat 21:00 pasnr. 022"/>
  </r>
  <r>
    <n v="2277"/>
    <x v="3"/>
    <m/>
    <x v="4"/>
    <x v="60"/>
    <d v="2020-08-01T00:00:00"/>
    <d v="2020-08-01T00:00:00"/>
    <n v="-1"/>
    <n v="1"/>
    <m/>
    <s v="Zwembad De Twee Brugge WINTERSWIJK M"/>
    <s v="UIT"/>
    <s v="UITGAAN"/>
    <s v="snack"/>
    <m/>
    <s v="Betaalautomaat 18:05 pasnr. 022"/>
    <m/>
    <s v="bc"/>
    <m/>
    <m/>
    <m/>
    <m/>
    <m/>
    <s v="Betaalautomaat 13:33 pasnr. 022"/>
  </r>
  <r>
    <n v="2289"/>
    <x v="3"/>
    <m/>
    <x v="4"/>
    <x v="60"/>
    <d v="2020-08-03T00:00:00"/>
    <d v="2020-08-03T00:00:00"/>
    <n v="-43.6"/>
    <n v="43.6"/>
    <m/>
    <s v="CCV*FACINT BV ARNHEM"/>
    <s v="UIT"/>
    <s v="UITGAAN"/>
    <s v="uitgaan"/>
    <m/>
    <s v="Betaalautomaat 22:18 pasnr. 022"/>
    <m/>
    <s v="bc"/>
    <m/>
    <m/>
    <m/>
    <m/>
    <m/>
    <s v="Betaalautomaat 16:06 pasnr. 022"/>
  </r>
  <r>
    <n v="2290"/>
    <x v="3"/>
    <m/>
    <x v="4"/>
    <x v="60"/>
    <d v="2020-08-04T00:00:00"/>
    <d v="2020-08-04T00:00:00"/>
    <n v="6.65"/>
    <n v="6.65"/>
    <m/>
    <s v="AAB RETAIL INZ TIKKIE"/>
    <s v="UIT"/>
    <s v="UITGAAN"/>
    <s v="uitgaan"/>
    <m/>
    <s v="Tikkie ID 000226537421, Rivella+ sauv. blanc, Van Mw RE Kuipers, NL83INGB0008576333"/>
    <s v="ABNANL2A"/>
    <s v="cb"/>
    <m/>
    <m/>
    <n v="3272007"/>
    <s v="NL21ZZZ330520730000"/>
    <m/>
    <s v="Debiteurnr. D05249128/ Verschuldigd per 1/08/2020"/>
  </r>
  <r>
    <n v="2292"/>
    <x v="3"/>
    <m/>
    <x v="4"/>
    <x v="60"/>
    <d v="2020-08-04T00:00:00"/>
    <d v="2020-08-04T00:00:00"/>
    <n v="-5.9"/>
    <n v="5.9"/>
    <m/>
    <s v="CCV*RIJNMOZAIK BV ARNHEM"/>
    <s v="UIT"/>
    <s v="UITGAAN"/>
    <s v="uitgaan"/>
    <m/>
    <s v="Betaalautomaat 15:49 pasnr. 022"/>
    <m/>
    <s v="bc"/>
    <m/>
    <m/>
    <m/>
    <m/>
    <m/>
    <s v="Betaalautomaat 17:12 pasnr. 022"/>
  </r>
  <r>
    <n v="2293"/>
    <x v="3"/>
    <m/>
    <x v="4"/>
    <x v="60"/>
    <d v="2020-08-05T00:00:00"/>
    <d v="2020-08-05T00:00:00"/>
    <n v="-1.8"/>
    <n v="1.8"/>
    <m/>
    <s v="Supermarkt DTB WINTERSWIJK M"/>
    <s v="UIT"/>
    <s v="UITGAAN"/>
    <s v="espresso"/>
    <m/>
    <s v="Betaalautomaat 11:18 pasnr. 022"/>
    <m/>
    <s v="bc"/>
    <m/>
    <m/>
    <m/>
    <m/>
    <m/>
    <s v="Betaalautomaat 18:05 pasnr. 022"/>
  </r>
  <r>
    <n v="2295"/>
    <x v="3"/>
    <m/>
    <x v="4"/>
    <x v="60"/>
    <d v="2020-08-05T00:00:00"/>
    <d v="2020-08-05T00:00:00"/>
    <n v="-1"/>
    <n v="1"/>
    <m/>
    <s v="Zwembad De Twee Brugge WINTERSWIJK M"/>
    <s v="UIT"/>
    <s v="UITGAAN"/>
    <s v="snack"/>
    <m/>
    <s v="Betaalautomaat 21:13 pasnr. 022"/>
    <m/>
    <s v="bc"/>
    <m/>
    <m/>
    <m/>
    <m/>
    <m/>
    <s v="Periode 01-07-2020 t/m 31-07-2020"/>
  </r>
  <r>
    <n v="2301"/>
    <x v="3"/>
    <m/>
    <x v="4"/>
    <x v="60"/>
    <d v="2020-08-08T00:00:00"/>
    <d v="2020-08-08T00:00:00"/>
    <n v="-2.6"/>
    <n v="2.6"/>
    <m/>
    <s v="Zwembad De Twee Brugge WINTERSWIJK M"/>
    <s v="UIT"/>
    <s v="UITGAAN"/>
    <s v="snack"/>
    <m/>
    <m/>
    <m/>
    <m/>
    <m/>
    <m/>
    <m/>
    <m/>
    <m/>
    <m/>
  </r>
  <r>
    <n v="2303"/>
    <x v="3"/>
    <m/>
    <x v="4"/>
    <x v="60"/>
    <d v="2020-08-09T00:00:00"/>
    <d v="2020-08-09T00:00:00"/>
    <n v="-1.5"/>
    <n v="1.5"/>
    <m/>
    <s v="IZ *Bar Times ZOETERMEER"/>
    <s v="UIT"/>
    <s v="UITGAAN"/>
    <s v="uitgaan"/>
    <m/>
    <m/>
    <m/>
    <m/>
    <m/>
    <m/>
    <m/>
    <m/>
    <m/>
    <m/>
  </r>
  <r>
    <n v="2306"/>
    <x v="3"/>
    <m/>
    <x v="4"/>
    <x v="60"/>
    <d v="2020-08-11T00:00:00"/>
    <d v="2020-08-11T00:00:00"/>
    <n v="-2.6"/>
    <n v="2.6"/>
    <m/>
    <s v="Zwembad De Twee Brugge WINTERSWIJK M"/>
    <s v="UIT"/>
    <s v="UITGAAN"/>
    <s v="snack"/>
    <m/>
    <m/>
    <m/>
    <m/>
    <m/>
    <m/>
    <m/>
    <m/>
    <m/>
    <m/>
  </r>
  <r>
    <n v="2307"/>
    <x v="3"/>
    <m/>
    <x v="4"/>
    <x v="60"/>
    <d v="2020-08-11T00:00:00"/>
    <d v="2020-08-11T00:00:00"/>
    <n v="-6.2"/>
    <n v="6.2"/>
    <m/>
    <s v="Drank- en Spijslokaal BORCULO"/>
    <s v="UIT"/>
    <s v="UITGAAN"/>
    <s v="espresso"/>
    <m/>
    <m/>
    <m/>
    <m/>
    <m/>
    <m/>
    <m/>
    <m/>
    <m/>
    <m/>
  </r>
  <r>
    <n v="2310"/>
    <x v="3"/>
    <m/>
    <x v="4"/>
    <x v="60"/>
    <d v="2020-08-11T00:00:00"/>
    <d v="2020-08-11T00:00:00"/>
    <n v="-2.5"/>
    <n v="2.5"/>
    <m/>
    <s v="IZ *Bar Times ZOETERMEER"/>
    <s v="UIT"/>
    <s v="UITGAAN"/>
    <s v="uitgaan"/>
    <m/>
    <m/>
    <m/>
    <m/>
    <m/>
    <m/>
    <m/>
    <m/>
    <m/>
    <m/>
  </r>
  <r>
    <n v="2312"/>
    <x v="3"/>
    <m/>
    <x v="4"/>
    <x v="60"/>
    <d v="2020-08-12T00:00:00"/>
    <d v="2020-08-12T00:00:00"/>
    <n v="-1.3"/>
    <n v="1.3"/>
    <m/>
    <s v="CCV*Trio IJssalon ARNHEM"/>
    <s v="UIT"/>
    <s v="UITGAAN"/>
    <s v="snack"/>
    <m/>
    <m/>
    <m/>
    <m/>
    <m/>
    <m/>
    <m/>
    <m/>
    <m/>
    <m/>
  </r>
  <r>
    <n v="2314"/>
    <x v="3"/>
    <m/>
    <x v="4"/>
    <x v="60"/>
    <d v="2020-08-12T00:00:00"/>
    <d v="2020-08-12T00:00:00"/>
    <n v="-2.4"/>
    <n v="2.4"/>
    <m/>
    <s v="IZ *ABC Libertas ARNHEM"/>
    <s v="UIT"/>
    <s v="UITGAAN"/>
    <s v="uitgaan"/>
    <m/>
    <m/>
    <m/>
    <m/>
    <m/>
    <m/>
    <m/>
    <m/>
    <m/>
    <m/>
  </r>
  <r>
    <n v="2315"/>
    <x v="3"/>
    <m/>
    <x v="4"/>
    <x v="60"/>
    <d v="2020-08-12T00:00:00"/>
    <d v="2020-08-12T00:00:00"/>
    <n v="-9"/>
    <n v="9"/>
    <m/>
    <s v="PYV*Green Food Truck ARNHEM"/>
    <s v="UIT"/>
    <s v="UITGAAN"/>
    <s v="uitgaan"/>
    <m/>
    <m/>
    <m/>
    <m/>
    <m/>
    <m/>
    <m/>
    <m/>
    <m/>
    <m/>
  </r>
  <r>
    <n v="2323"/>
    <x v="3"/>
    <m/>
    <x v="4"/>
    <x v="60"/>
    <d v="2020-08-16T00:00:00"/>
    <d v="2020-08-16T00:00:00"/>
    <n v="-1"/>
    <n v="1"/>
    <m/>
    <s v="Zwembad De Twee Brugge WINTERSWIJK M"/>
    <s v="UIT"/>
    <s v="UITGAAN"/>
    <s v="snack"/>
    <m/>
    <m/>
    <m/>
    <m/>
    <m/>
    <m/>
    <m/>
    <m/>
    <m/>
    <m/>
  </r>
  <r>
    <n v="2327"/>
    <x v="3"/>
    <m/>
    <x v="4"/>
    <x v="60"/>
    <d v="2020-08-18T00:00:00"/>
    <d v="2020-08-18T00:00:00"/>
    <n v="-9.6"/>
    <n v="9.6"/>
    <m/>
    <s v="CCV*STADSVILLA SONSBEE ARNHEM"/>
    <s v="UIT"/>
    <s v="UITGAAN"/>
    <s v="uitgaan"/>
    <m/>
    <m/>
    <m/>
    <m/>
    <m/>
    <m/>
    <m/>
    <m/>
    <m/>
    <m/>
  </r>
  <r>
    <n v="2332"/>
    <x v="3"/>
    <m/>
    <x v="4"/>
    <x v="60"/>
    <d v="2020-08-19T00:00:00"/>
    <d v="2020-08-19T00:00:00"/>
    <n v="-9.5"/>
    <n v="9.5"/>
    <m/>
    <s v="SumUp  *Bonnie Arnhem"/>
    <s v="UIT"/>
    <s v="UITGAAN"/>
    <s v="uitgaan"/>
    <m/>
    <m/>
    <m/>
    <m/>
    <m/>
    <m/>
    <m/>
    <m/>
    <m/>
    <m/>
  </r>
  <r>
    <n v="2337"/>
    <x v="3"/>
    <m/>
    <x v="4"/>
    <x v="60"/>
    <d v="2020-08-20T00:00:00"/>
    <d v="2020-08-20T00:00:00"/>
    <n v="-1"/>
    <n v="1"/>
    <m/>
    <s v="Zwembad De Twee Brugge WINTERSWIJK M"/>
    <s v="UIT"/>
    <s v="UITGAAN"/>
    <s v="snack"/>
    <m/>
    <m/>
    <m/>
    <m/>
    <m/>
    <m/>
    <m/>
    <m/>
    <m/>
    <m/>
  </r>
  <r>
    <n v="2338"/>
    <x v="3"/>
    <m/>
    <x v="4"/>
    <x v="60"/>
    <d v="2020-08-20T00:00:00"/>
    <d v="2020-08-20T00:00:00"/>
    <n v="23.1"/>
    <n v="23.1"/>
    <s v="NL13ABNA0506417344"/>
    <s v="AAB RETAIL INZ TIKKIE Vivienne"/>
    <s v="UIT"/>
    <s v="UITGAAN"/>
    <s v="uitgaan"/>
    <m/>
    <m/>
    <m/>
    <m/>
    <m/>
    <m/>
    <m/>
    <m/>
    <m/>
    <m/>
  </r>
  <r>
    <n v="2348"/>
    <x v="3"/>
    <m/>
    <x v="4"/>
    <x v="60"/>
    <d v="2020-08-23T00:00:00"/>
    <d v="2020-08-23T00:00:00"/>
    <n v="-1"/>
    <n v="1"/>
    <m/>
    <s v="Zwembad De Twee Brugge WINTERSWIJK M"/>
    <s v="UIT"/>
    <s v="UITGAAN"/>
    <s v="snack"/>
    <m/>
    <m/>
    <m/>
    <m/>
    <m/>
    <m/>
    <m/>
    <m/>
    <m/>
    <m/>
  </r>
  <r>
    <n v="2352"/>
    <x v="3"/>
    <m/>
    <x v="4"/>
    <x v="60"/>
    <d v="2020-08-25T00:00:00"/>
    <d v="2020-08-25T00:00:00"/>
    <n v="-6.4"/>
    <n v="6.4"/>
    <m/>
    <s v="CCV*ANNE EN MAX ARNHEM ARNHEM"/>
    <s v="UIT"/>
    <s v="UITGAAN"/>
    <s v="uitgaan"/>
    <m/>
    <m/>
    <m/>
    <m/>
    <m/>
    <m/>
    <m/>
    <m/>
    <m/>
    <m/>
  </r>
  <r>
    <n v="2355"/>
    <x v="3"/>
    <m/>
    <x v="4"/>
    <x v="60"/>
    <d v="2020-08-26T00:00:00"/>
    <d v="2020-08-26T00:00:00"/>
    <n v="-11.85"/>
    <n v="11.85"/>
    <m/>
    <s v="SumUp  *Bonnie Arnhem"/>
    <s v="UIT"/>
    <s v="UITGAAN"/>
    <s v="uitgaan"/>
    <m/>
    <m/>
    <m/>
    <m/>
    <m/>
    <m/>
    <m/>
    <m/>
    <m/>
    <m/>
  </r>
  <r>
    <n v="2366"/>
    <x v="3"/>
    <m/>
    <x v="4"/>
    <x v="60"/>
    <d v="2020-08-29T00:00:00"/>
    <d v="2020-08-29T00:00:00"/>
    <n v="-2.5"/>
    <n v="2.5"/>
    <m/>
    <s v="LEO restaurant &amp; to go LICHTENVOORDE"/>
    <s v="UIT"/>
    <s v="UITGAAN"/>
    <s v="uitgaan"/>
    <m/>
    <m/>
    <m/>
    <m/>
    <m/>
    <m/>
    <m/>
    <m/>
    <m/>
    <m/>
  </r>
  <r>
    <n v="2367"/>
    <x v="3"/>
    <m/>
    <x v="4"/>
    <x v="60"/>
    <d v="2020-08-30T00:00:00"/>
    <d v="2020-08-30T00:00:00"/>
    <n v="-1"/>
    <n v="1"/>
    <m/>
    <s v="Zwembad De Twee Brugge WINTERSWIJK M"/>
    <s v="UIT"/>
    <s v="UITGAAN"/>
    <s v="snack"/>
    <m/>
    <m/>
    <m/>
    <m/>
    <m/>
    <m/>
    <m/>
    <m/>
    <m/>
    <m/>
  </r>
  <r>
    <n v="2377"/>
    <x v="3"/>
    <m/>
    <x v="4"/>
    <x v="61"/>
    <d v="2020-09-02T00:00:00"/>
    <d v="2020-09-02T00:00:00"/>
    <n v="-2.5"/>
    <n v="2.5"/>
    <m/>
    <s v="Snackbar Bebo SEVENUM"/>
    <s v="UIT"/>
    <s v="UITGAAN"/>
    <s v="snack"/>
    <m/>
    <m/>
    <m/>
    <m/>
    <m/>
    <m/>
    <m/>
    <m/>
    <m/>
    <m/>
  </r>
  <r>
    <n v="2382"/>
    <x v="3"/>
    <m/>
    <x v="4"/>
    <x v="61"/>
    <d v="2020-09-05T00:00:00"/>
    <d v="2020-09-05T00:00:00"/>
    <n v="-2.35"/>
    <n v="2.35"/>
    <m/>
    <s v="SumUp  *Smitje  Snippi Venlo"/>
    <s v="UIT"/>
    <s v="UITGAAN"/>
    <s v="espresso"/>
    <m/>
    <m/>
    <m/>
    <m/>
    <m/>
    <m/>
    <m/>
    <m/>
    <m/>
    <m/>
  </r>
  <r>
    <n v="2383"/>
    <x v="3"/>
    <m/>
    <x v="4"/>
    <x v="61"/>
    <d v="2020-09-05T00:00:00"/>
    <d v="2020-09-05T00:00:00"/>
    <n v="-6"/>
    <n v="6"/>
    <m/>
    <s v="Nena Venlo"/>
    <s v="UIT"/>
    <s v="UITGAAN"/>
    <s v="uitgaan"/>
    <m/>
    <m/>
    <m/>
    <m/>
    <m/>
    <m/>
    <m/>
    <m/>
    <m/>
    <m/>
  </r>
  <r>
    <n v="2393"/>
    <x v="3"/>
    <m/>
    <x v="4"/>
    <x v="61"/>
    <d v="2020-09-12T00:00:00"/>
    <d v="2020-09-12T00:00:00"/>
    <n v="-2.5"/>
    <n v="2.5"/>
    <m/>
    <s v="Snackbar Bebo SEVENUM"/>
    <s v="UIT"/>
    <s v="UITGAAN"/>
    <s v="snack"/>
    <m/>
    <m/>
    <m/>
    <m/>
    <m/>
    <m/>
    <m/>
    <m/>
    <m/>
    <m/>
  </r>
  <r>
    <n v="2398"/>
    <x v="3"/>
    <m/>
    <x v="4"/>
    <x v="61"/>
    <d v="2020-09-15T00:00:00"/>
    <d v="2020-09-15T00:00:00"/>
    <n v="-3.4"/>
    <n v="3.4"/>
    <m/>
    <s v="STEK VENLO"/>
    <s v="UIT"/>
    <s v="UITGAAN"/>
    <s v="espresso"/>
    <m/>
    <m/>
    <m/>
    <m/>
    <m/>
    <m/>
    <m/>
    <m/>
    <m/>
    <m/>
  </r>
  <r>
    <n v="2399"/>
    <x v="3"/>
    <m/>
    <x v="4"/>
    <x v="61"/>
    <d v="2020-09-15T00:00:00"/>
    <d v="2020-09-15T00:00:00"/>
    <n v="-1"/>
    <n v="1"/>
    <m/>
    <s v="STEK VENLO"/>
    <s v="UIT"/>
    <s v="UITGAAN"/>
    <s v="snack"/>
    <m/>
    <m/>
    <m/>
    <m/>
    <m/>
    <m/>
    <m/>
    <m/>
    <m/>
    <m/>
  </r>
  <r>
    <n v="2411"/>
    <x v="3"/>
    <m/>
    <x v="4"/>
    <x v="61"/>
    <d v="2020-09-23T00:00:00"/>
    <d v="2020-09-23T00:00:00"/>
    <n v="-12.8"/>
    <n v="12.8"/>
    <m/>
    <s v="CASPAR ARNHEM"/>
    <s v="UIT"/>
    <s v="UITGAAN"/>
    <s v="uitgaan"/>
    <m/>
    <m/>
    <m/>
    <m/>
    <m/>
    <m/>
    <m/>
    <m/>
    <m/>
    <m/>
  </r>
  <r>
    <n v="2413"/>
    <x v="3"/>
    <m/>
    <x v="4"/>
    <x v="61"/>
    <d v="2020-09-24T00:00:00"/>
    <d v="2020-09-24T00:00:00"/>
    <n v="-2.75"/>
    <n v="2.75"/>
    <m/>
    <s v="SumUp  *Bonnie Arnhem"/>
    <s v="UIT"/>
    <s v="UITGAAN"/>
    <s v="uitgaan"/>
    <m/>
    <m/>
    <m/>
    <m/>
    <m/>
    <m/>
    <m/>
    <m/>
    <m/>
    <m/>
  </r>
  <r>
    <n v="2419"/>
    <x v="3"/>
    <m/>
    <x v="4"/>
    <x v="61"/>
    <d v="2020-09-27T00:00:00"/>
    <d v="2020-09-27T00:00:00"/>
    <n v="-6.4"/>
    <n v="6.4"/>
    <m/>
    <s v="La Place Sevenum SEVENUM"/>
    <s v="UIT"/>
    <s v="UITGAAN"/>
    <s v="uitgaan"/>
    <m/>
    <m/>
    <m/>
    <m/>
    <m/>
    <m/>
    <m/>
    <m/>
    <m/>
    <m/>
  </r>
  <r>
    <n v="2425"/>
    <x v="3"/>
    <m/>
    <x v="4"/>
    <x v="57"/>
    <d v="2020-10-01T00:00:00"/>
    <d v="2020-10-01T00:00:00"/>
    <n v="-2.2999999999999998"/>
    <n v="2.2999999999999998"/>
    <m/>
    <s v="DAILY DEURNE DEURNE"/>
    <s v="UIT"/>
    <s v="UITGAAN"/>
    <s v="espresso"/>
    <m/>
    <m/>
    <m/>
    <m/>
    <m/>
    <m/>
    <m/>
    <m/>
    <m/>
    <m/>
  </r>
  <r>
    <n v="2432"/>
    <x v="3"/>
    <m/>
    <x v="4"/>
    <x v="57"/>
    <d v="2020-10-04T00:00:00"/>
    <d v="2020-10-04T00:00:00"/>
    <n v="-1.95"/>
    <n v="1.95"/>
    <m/>
    <s v="Eetcounter Hagendoorn MUSSELKANAAL"/>
    <s v="UIT"/>
    <s v="UITGAAN"/>
    <s v="snack"/>
    <m/>
    <m/>
    <m/>
    <m/>
    <m/>
    <m/>
    <m/>
    <m/>
    <m/>
    <m/>
  </r>
  <r>
    <n v="2436"/>
    <x v="3"/>
    <m/>
    <x v="4"/>
    <x v="57"/>
    <d v="2020-10-10T00:00:00"/>
    <d v="2020-10-10T00:00:00"/>
    <n v="-5.8"/>
    <n v="5.8"/>
    <m/>
    <s v="SumUp  *Bonnie Arnhem"/>
    <s v="UIT"/>
    <s v="UITGAAN"/>
    <s v="uitgaan"/>
    <m/>
    <m/>
    <m/>
    <m/>
    <m/>
    <m/>
    <m/>
    <m/>
    <m/>
    <m/>
  </r>
  <r>
    <n v="2438"/>
    <x v="3"/>
    <m/>
    <x v="4"/>
    <x v="57"/>
    <d v="2020-10-10T00:00:00"/>
    <d v="2020-10-10T00:00:00"/>
    <n v="20.2"/>
    <n v="20.2"/>
    <s v="NL13ABNA0506417344"/>
    <s v="AAB RETAIL INZ TIKKIE"/>
    <s v="UIT"/>
    <s v="UITGAAN"/>
    <s v="uitgaan"/>
    <m/>
    <m/>
    <m/>
    <m/>
    <m/>
    <m/>
    <m/>
    <m/>
    <m/>
    <m/>
  </r>
  <r>
    <n v="2439"/>
    <x v="3"/>
    <m/>
    <x v="4"/>
    <x v="57"/>
    <d v="2020-10-10T00:00:00"/>
    <d v="2020-10-10T00:00:00"/>
    <n v="15.2"/>
    <n v="15.2"/>
    <s v="NL13ABNA0506417344"/>
    <s v="AAB RETAIL INZ TIKKIE"/>
    <s v="UIT"/>
    <s v="UITGAAN"/>
    <s v="uitgaan"/>
    <m/>
    <m/>
    <m/>
    <m/>
    <m/>
    <m/>
    <m/>
    <m/>
    <m/>
    <m/>
  </r>
  <r>
    <n v="2440"/>
    <x v="3"/>
    <m/>
    <x v="4"/>
    <x v="57"/>
    <d v="2020-10-10T00:00:00"/>
    <d v="2020-10-10T00:00:00"/>
    <n v="10.65"/>
    <n v="10.65"/>
    <s v="NL61ABNA0811086593"/>
    <s v="AAB RETAIL INZ TIKKIE"/>
    <s v="UIT"/>
    <s v="UITGAAN"/>
    <s v="uitgaan"/>
    <m/>
    <m/>
    <m/>
    <m/>
    <m/>
    <m/>
    <m/>
    <m/>
    <m/>
    <m/>
  </r>
  <r>
    <n v="2446"/>
    <x v="3"/>
    <m/>
    <x v="4"/>
    <x v="57"/>
    <d v="2020-10-13T00:00:00"/>
    <d v="2020-10-13T00:00:00"/>
    <n v="-5"/>
    <n v="5"/>
    <m/>
    <s v="Walt ARNHEM"/>
    <s v="UIT"/>
    <s v="UITGAAN"/>
    <s v="espresso"/>
    <m/>
    <m/>
    <m/>
    <m/>
    <m/>
    <m/>
    <m/>
    <m/>
    <m/>
    <m/>
  </r>
  <r>
    <n v="2448"/>
    <x v="3"/>
    <m/>
    <x v="4"/>
    <x v="57"/>
    <d v="2020-10-13T00:00:00"/>
    <d v="2020-10-13T00:00:00"/>
    <n v="-25"/>
    <n v="25"/>
    <s v="NL70RABO0115600000"/>
    <s v="Bonnie Arnhem via Mollie"/>
    <s v="UIT"/>
    <s v="UITGAAN"/>
    <s v="espresso"/>
    <m/>
    <m/>
    <m/>
    <m/>
    <m/>
    <m/>
    <m/>
    <m/>
    <m/>
    <m/>
  </r>
  <r>
    <n v="2449"/>
    <x v="3"/>
    <m/>
    <x v="4"/>
    <x v="57"/>
    <d v="2020-10-14T00:00:00"/>
    <d v="2020-10-14T00:00:00"/>
    <n v="-10.7"/>
    <n v="10.7"/>
    <m/>
    <s v="SumUp  *Bonnie Arnhem"/>
    <s v="UIT"/>
    <s v="UITGAAN"/>
    <s v="uitgaan"/>
    <m/>
    <m/>
    <m/>
    <m/>
    <m/>
    <m/>
    <m/>
    <m/>
    <m/>
    <m/>
  </r>
  <r>
    <n v="2477"/>
    <x v="3"/>
    <m/>
    <x v="4"/>
    <x v="57"/>
    <d v="2020-10-24T00:00:00"/>
    <d v="2020-10-24T00:00:00"/>
    <n v="-2.75"/>
    <n v="2.75"/>
    <m/>
    <s v="SumUp  *Bonnie Arnhem"/>
    <s v="UIT"/>
    <s v="UITGAAN"/>
    <s v="espresso"/>
    <s v="NIEUW"/>
    <m/>
    <m/>
    <m/>
    <m/>
    <m/>
    <m/>
    <m/>
    <m/>
    <m/>
  </r>
  <r>
    <n v="2509"/>
    <x v="3"/>
    <m/>
    <x v="4"/>
    <x v="59"/>
    <d v="2020-11-14T00:00:00"/>
    <d v="2020-11-14T00:00:00"/>
    <n v="-5.4"/>
    <n v="5.4"/>
    <m/>
    <s v="SumUp  *Bonnie Arnhem"/>
    <s v="UIT"/>
    <s v="UITGAAN"/>
    <s v="espresso"/>
    <s v="NIEUW"/>
    <m/>
    <m/>
    <m/>
    <m/>
    <m/>
    <m/>
    <m/>
    <m/>
    <m/>
  </r>
  <r>
    <n v="2548"/>
    <x v="3"/>
    <m/>
    <x v="4"/>
    <x v="58"/>
    <d v="2020-12-10T00:00:00"/>
    <d v="2020-12-10T00:00:00"/>
    <n v="-5"/>
    <n v="5"/>
    <m/>
    <s v="SumUp  *Konijnenvoer Arnhem"/>
    <s v="UIT"/>
    <s v="UITGAAN"/>
    <s v="snack"/>
    <s v="NIEUW"/>
    <m/>
    <m/>
    <m/>
    <m/>
    <m/>
    <m/>
    <m/>
    <m/>
    <m/>
  </r>
  <r>
    <n v="2565"/>
    <x v="3"/>
    <m/>
    <x v="4"/>
    <x v="58"/>
    <d v="2020-12-18T00:00:00"/>
    <d v="2020-12-18T00:00:00"/>
    <n v="-5.18"/>
    <n v="5.18"/>
    <m/>
    <s v="SumUp  *Bonnie Arnhem"/>
    <s v="UIT"/>
    <s v="UITGAAN"/>
    <s v="espresso"/>
    <s v="NIEUW"/>
    <m/>
    <m/>
    <m/>
    <m/>
    <m/>
    <m/>
    <m/>
    <m/>
    <m/>
  </r>
  <r>
    <n v="2566"/>
    <x v="3"/>
    <m/>
    <x v="4"/>
    <x v="58"/>
    <d v="2020-12-19T00:00:00"/>
    <d v="2020-12-19T00:00:00"/>
    <n v="-10"/>
    <n v="10"/>
    <m/>
    <s v="SumUp  *Konijnenvoer Arnhem"/>
    <s v="UIT"/>
    <s v="UITGAAN"/>
    <s v="snack"/>
    <s v="NIEUW"/>
    <m/>
    <m/>
    <m/>
    <m/>
    <m/>
    <m/>
    <m/>
    <m/>
    <m/>
  </r>
  <r>
    <n v="2584"/>
    <x v="4"/>
    <m/>
    <x v="4"/>
    <x v="57"/>
    <d v="2020-09-23T00:00:00"/>
    <d v="2020-09-23T00:00:00"/>
    <n v="-54.45"/>
    <n v="54.45"/>
    <m/>
    <s v="dadawan"/>
    <s v="UIT"/>
    <s v="UITGAAN"/>
    <s v="uitgaan"/>
    <m/>
    <m/>
    <m/>
    <m/>
    <m/>
    <m/>
    <m/>
    <m/>
    <m/>
    <m/>
  </r>
  <r>
    <n v="2649"/>
    <x v="2"/>
    <m/>
    <x v="5"/>
    <x v="64"/>
    <d v="2021-09-18T00:00:00"/>
    <d v="2021-09-18T00:00:00"/>
    <n v="10"/>
    <n v="10"/>
    <m/>
    <s v="horeca naar Joost"/>
    <s v="UIT"/>
    <s v="UITGAAN"/>
    <s v="uitgaan"/>
    <m/>
    <m/>
    <m/>
    <m/>
    <m/>
    <m/>
    <m/>
    <m/>
    <m/>
    <m/>
  </r>
  <r>
    <n v="2655"/>
    <x v="2"/>
    <m/>
    <x v="5"/>
    <x v="25"/>
    <d v="2021-10-24T00:00:00"/>
    <m/>
    <n v="10.38"/>
    <n v="10.38"/>
    <m/>
    <s v="uitgaan joost"/>
    <s v="UIT"/>
    <s v="UITGAAN"/>
    <s v="espresso"/>
    <m/>
    <m/>
    <m/>
    <m/>
    <m/>
    <m/>
    <m/>
    <m/>
    <m/>
    <m/>
  </r>
  <r>
    <n v="2767"/>
    <x v="3"/>
    <m/>
    <x v="5"/>
    <x v="67"/>
    <d v="2021-05-01T00:00:00"/>
    <d v="2021-05-01T00:00:00"/>
    <n v="-2"/>
    <n v="2"/>
    <m/>
    <s v="Partycentrum SEVENUM"/>
    <s v="UIT"/>
    <s v="UITGAAN"/>
    <s v="snack"/>
    <m/>
    <m/>
    <m/>
    <m/>
    <m/>
    <m/>
    <m/>
    <m/>
    <m/>
    <m/>
  </r>
  <r>
    <n v="2781"/>
    <x v="3"/>
    <m/>
    <x v="5"/>
    <x v="67"/>
    <d v="2021-05-14T00:00:00"/>
    <d v="2021-05-14T00:00:00"/>
    <n v="-2"/>
    <n v="2"/>
    <m/>
    <s v="Partycentrum SEVENUM"/>
    <s v="UIT"/>
    <s v="UITGAAN"/>
    <s v="snack"/>
    <m/>
    <s v="bc"/>
    <m/>
    <m/>
    <m/>
    <m/>
    <m/>
    <m/>
    <m/>
    <m/>
  </r>
  <r>
    <n v="2792"/>
    <x v="3"/>
    <m/>
    <x v="5"/>
    <x v="67"/>
    <d v="2021-05-20T00:00:00"/>
    <d v="2021-05-20T00:00:00"/>
    <n v="-2.2999999999999998"/>
    <n v="2.2999999999999998"/>
    <m/>
    <s v="C&amp;M*ANYTYME ROYAAL PANNINGEN"/>
    <s v="UIT"/>
    <s v="UITGAAN"/>
    <s v="snack"/>
    <m/>
    <s v="bc"/>
    <m/>
    <m/>
    <m/>
    <m/>
    <m/>
    <m/>
    <m/>
    <m/>
  </r>
  <r>
    <n v="2806"/>
    <x v="3"/>
    <m/>
    <x v="5"/>
    <x v="67"/>
    <d v="2021-05-30T00:00:00"/>
    <d v="2021-05-30T00:00:00"/>
    <n v="-11.3"/>
    <n v="11.3"/>
    <m/>
    <s v="IZ *PUCK specialty cof NIJMEGEN"/>
    <s v="UIT"/>
    <s v="UITGAAN"/>
    <s v="espresso"/>
    <m/>
    <s v="bc"/>
    <m/>
    <m/>
    <m/>
    <m/>
    <m/>
    <m/>
    <m/>
    <m/>
  </r>
  <r>
    <n v="2814"/>
    <x v="3"/>
    <m/>
    <x v="5"/>
    <x v="67"/>
    <d v="2021-05-31T00:00:00"/>
    <d v="2021-05-31T00:00:00"/>
    <n v="-1.3"/>
    <n v="1.3"/>
    <m/>
    <s v="CCV*Trio IJssalon ARNHEM"/>
    <s v="UIT"/>
    <s v="UITGAAN"/>
    <s v="snack"/>
    <m/>
    <s v="bc"/>
    <m/>
    <m/>
    <m/>
    <m/>
    <m/>
    <m/>
    <m/>
    <m/>
  </r>
  <r>
    <n v="2816"/>
    <x v="3"/>
    <m/>
    <x v="5"/>
    <x v="67"/>
    <d v="2021-05-31T00:00:00"/>
    <d v="2021-05-31T00:00:00"/>
    <n v="-7.5"/>
    <n v="7.5"/>
    <m/>
    <s v="CCV*ANNE EN MAX ARNHEM ARNHEM"/>
    <s v="UIT"/>
    <s v="UITGAAN"/>
    <s v="uitgaan"/>
    <m/>
    <s v="bc"/>
    <m/>
    <m/>
    <m/>
    <m/>
    <m/>
    <m/>
    <m/>
    <m/>
  </r>
  <r>
    <n v="2832"/>
    <x v="3"/>
    <m/>
    <x v="5"/>
    <x v="68"/>
    <d v="2021-06-09T00:00:00"/>
    <d v="2021-06-09T00:00:00"/>
    <n v="-6.5"/>
    <n v="6.5"/>
    <m/>
    <s v="CCV*ANNE EN MAX ARNHEM ARNHEM"/>
    <s v="UIT"/>
    <s v="UITGAAN"/>
    <s v="uitgaan"/>
    <m/>
    <s v="bc"/>
    <m/>
    <m/>
    <m/>
    <m/>
    <m/>
    <s v="Betaalautomaat 16:31 pasnr. 022"/>
    <s v=" "/>
    <m/>
  </r>
  <r>
    <n v="2836"/>
    <x v="3"/>
    <m/>
    <x v="5"/>
    <x v="68"/>
    <d v="2021-06-10T00:00:00"/>
    <d v="2021-06-10T00:00:00"/>
    <n v="-7.3"/>
    <n v="7.3"/>
    <m/>
    <s v="CCV*ANNE EN MAX ARNHEM ARNHEM"/>
    <s v="UIT"/>
    <s v="UITGAAN"/>
    <s v="uitgaan"/>
    <m/>
    <s v="bc"/>
    <m/>
    <m/>
    <m/>
    <m/>
    <m/>
    <s v="Betaalautomaat 11:31 pasnr. 022"/>
    <s v=" "/>
    <m/>
  </r>
  <r>
    <n v="2837"/>
    <x v="3"/>
    <m/>
    <x v="5"/>
    <x v="68"/>
    <d v="2021-06-10T00:00:00"/>
    <d v="2021-06-10T00:00:00"/>
    <n v="-5"/>
    <n v="5"/>
    <m/>
    <s v="Bakkerij Bart VENLO"/>
    <s v="UIT"/>
    <s v="UITGAAN"/>
    <s v="snack"/>
    <m/>
    <s v="bc"/>
    <m/>
    <m/>
    <m/>
    <m/>
    <m/>
    <s v="Betaalautomaat 14:10 pasnr. 022"/>
    <s v=" "/>
    <m/>
  </r>
  <r>
    <n v="2840"/>
    <x v="3"/>
    <m/>
    <x v="5"/>
    <x v="68"/>
    <d v="2021-06-10T00:00:00"/>
    <d v="2021-06-10T00:00:00"/>
    <n v="-15"/>
    <n v="15"/>
    <m/>
    <s v="Nena Venlo"/>
    <s v="UIT"/>
    <s v="UITGAAN"/>
    <s v="uitgaan"/>
    <m/>
    <s v="bc"/>
    <m/>
    <m/>
    <m/>
    <m/>
    <m/>
    <s v="Betaalautomaat 19:35 pasnr. 022"/>
    <s v=" "/>
    <m/>
  </r>
  <r>
    <n v="2841"/>
    <x v="3"/>
    <m/>
    <x v="5"/>
    <x v="68"/>
    <d v="2021-06-10T00:00:00"/>
    <d v="2021-06-10T00:00:00"/>
    <n v="-1.25"/>
    <n v="1.25"/>
    <m/>
    <s v="IJssalon en Lunchroom SEVENUM"/>
    <s v="UIT"/>
    <s v="UITGAAN"/>
    <s v="snack"/>
    <m/>
    <s v="bc"/>
    <m/>
    <m/>
    <m/>
    <m/>
    <m/>
    <s v="Betaalautomaat 20:32 pasnr. 022"/>
    <s v=" "/>
    <m/>
  </r>
  <r>
    <n v="2842"/>
    <x v="3"/>
    <m/>
    <x v="5"/>
    <x v="68"/>
    <d v="2021-06-12T00:00:00"/>
    <d v="2021-06-12T00:00:00"/>
    <n v="-3.1"/>
    <n v="3.1"/>
    <m/>
    <s v="McDonald's Maasbree MAASBREE"/>
    <s v="UIT"/>
    <s v="UITGAAN"/>
    <s v="uitgaan"/>
    <m/>
    <s v="bc"/>
    <m/>
    <m/>
    <m/>
    <m/>
    <m/>
    <s v="Betaalautomaat 17:49 pasnr. 022"/>
    <s v=" "/>
    <m/>
  </r>
  <r>
    <n v="2843"/>
    <x v="3"/>
    <m/>
    <x v="5"/>
    <x v="68"/>
    <d v="2021-06-13T00:00:00"/>
    <d v="2021-06-13T00:00:00"/>
    <n v="-6.95"/>
    <n v="6.95"/>
    <m/>
    <s v="Snackbar Bebo SEVENUM"/>
    <s v="UIT"/>
    <s v="UITGAAN"/>
    <s v="snack"/>
    <m/>
    <s v="bc"/>
    <m/>
    <m/>
    <m/>
    <m/>
    <m/>
    <s v="Betaalautomaat 19:03 pasnr. 022"/>
    <s v=" "/>
    <m/>
  </r>
  <r>
    <n v="2849"/>
    <x v="3"/>
    <m/>
    <x v="5"/>
    <x v="68"/>
    <d v="2021-06-15T00:00:00"/>
    <d v="2021-06-15T00:00:00"/>
    <n v="-2.2999999999999998"/>
    <n v="2.2999999999999998"/>
    <m/>
    <s v="CCV*HOEVE WILLEM III B HELENAVEEN"/>
    <s v="UIT"/>
    <s v="UITGAAN"/>
    <s v="snack"/>
    <m/>
    <s v="bc"/>
    <m/>
    <m/>
    <m/>
    <m/>
    <m/>
    <s v="Betaalautomaat 15:30 pasnr. 022"/>
    <s v=" "/>
    <m/>
  </r>
  <r>
    <n v="2880"/>
    <x v="3"/>
    <m/>
    <x v="5"/>
    <x v="69"/>
    <d v="2021-07-05T00:00:00"/>
    <d v="2021-07-05T00:00:00"/>
    <n v="-3.3"/>
    <n v="3.3"/>
    <m/>
    <s v="Q8 SPRIMONT FAST CAFE SPRIMONT BEL"/>
    <s v="UIT"/>
    <s v="UITGAAN"/>
    <s v="snack"/>
    <m/>
    <s v="bc"/>
    <m/>
    <m/>
    <m/>
    <m/>
    <m/>
    <s v="Betaalautomaat 15:29 pasnr. 022"/>
    <s v=" "/>
    <m/>
  </r>
  <r>
    <n v="2881"/>
    <x v="3"/>
    <m/>
    <x v="5"/>
    <x v="69"/>
    <d v="2021-07-05T00:00:00"/>
    <d v="2021-07-05T00:00:00"/>
    <n v="-2.1"/>
    <n v="2.1"/>
    <m/>
    <s v="Q8 SPRIMONT FAST CAFE SPRIMONT BEL"/>
    <s v="UIT"/>
    <s v="UITGAAN"/>
    <s v="snack"/>
    <m/>
    <s v="bc"/>
    <m/>
    <m/>
    <m/>
    <m/>
    <m/>
    <s v="Betaalautomaat 15:31 pasnr. 022"/>
    <s v=" "/>
    <m/>
  </r>
  <r>
    <n v="2882"/>
    <x v="3"/>
    <m/>
    <x v="5"/>
    <x v="69"/>
    <d v="2021-07-05T00:00:00"/>
    <d v="2021-07-05T00:00:00"/>
    <n v="-1"/>
    <n v="1"/>
    <m/>
    <s v="Q8 SPRIMONT EAST PTI SPRIMONT BEL"/>
    <s v="UIT"/>
    <s v="UITGAAN"/>
    <s v="snack"/>
    <m/>
    <s v="bc"/>
    <m/>
    <m/>
    <m/>
    <m/>
    <m/>
    <s v="Betaalautomaat 15:32 pasnr. 022"/>
    <s v=" "/>
    <m/>
  </r>
  <r>
    <n v="2884"/>
    <x v="3"/>
    <m/>
    <x v="5"/>
    <x v="69"/>
    <d v="2021-07-06T00:00:00"/>
    <d v="2021-07-06T00:00:00"/>
    <n v="-2"/>
    <n v="2"/>
    <m/>
    <s v="C&amp;M*ANYTYME ROYAAL PANNINGEN"/>
    <s v="UIT"/>
    <s v="UITGAAN"/>
    <s v="snack"/>
    <m/>
    <s v="bc"/>
    <m/>
    <m/>
    <m/>
    <m/>
    <m/>
    <s v="Betaalautomaat 15:46 pasnr. 022"/>
    <s v=" "/>
    <m/>
  </r>
  <r>
    <n v="2895"/>
    <x v="3"/>
    <m/>
    <x v="5"/>
    <x v="69"/>
    <d v="2021-07-15T00:00:00"/>
    <d v="2021-07-15T00:00:00"/>
    <n v="-9.9"/>
    <n v="9.9"/>
    <m/>
    <s v="Nena Venlo"/>
    <s v="UIT"/>
    <s v="UITGAAN"/>
    <s v="uitgaan"/>
    <m/>
    <s v="bc"/>
    <m/>
    <m/>
    <m/>
    <m/>
    <m/>
    <s v="Betaalautomaat 19:18 pasnr. 022"/>
    <s v=" "/>
    <m/>
  </r>
  <r>
    <n v="2922"/>
    <x v="3"/>
    <m/>
    <x v="5"/>
    <x v="70"/>
    <d v="2021-08-04T00:00:00"/>
    <d v="2021-08-04T00:00:00"/>
    <n v="-2.5"/>
    <n v="2.5"/>
    <m/>
    <s v="Partycentrum SEVENUM"/>
    <s v="UIT"/>
    <s v="UITGAAN"/>
    <s v="snack"/>
    <m/>
    <s v="bc"/>
    <m/>
    <m/>
    <m/>
    <m/>
    <m/>
    <s v="Betaalautomaat 22:01 pasnr. 022"/>
    <s v=" "/>
    <m/>
  </r>
  <r>
    <n v="2928"/>
    <x v="3"/>
    <m/>
    <x v="5"/>
    <x v="70"/>
    <d v="2021-08-12T00:00:00"/>
    <d v="2021-08-12T00:00:00"/>
    <n v="-2.4"/>
    <n v="2.4"/>
    <m/>
    <s v="SumUp  *Royal Donuts V Venlo"/>
    <s v="UIT"/>
    <s v="UITGAAN"/>
    <s v="snack"/>
    <m/>
    <s v="bc"/>
    <m/>
    <m/>
    <m/>
    <m/>
    <m/>
    <s v="Betaalautomaat 17:09 pasnr. 022"/>
    <s v=" "/>
    <m/>
  </r>
  <r>
    <n v="2931"/>
    <x v="3"/>
    <m/>
    <x v="5"/>
    <x v="70"/>
    <d v="2021-08-12T00:00:00"/>
    <d v="2021-08-12T00:00:00"/>
    <n v="-15"/>
    <n v="15"/>
    <m/>
    <s v="Nena Venlo"/>
    <s v="UIT"/>
    <s v="UITGAAN"/>
    <s v="uitgaan"/>
    <m/>
    <s v="bc"/>
    <m/>
    <m/>
    <m/>
    <m/>
    <m/>
    <s v="Betaalautomaat 19:42 pasnr. 022"/>
    <s v=" "/>
    <m/>
  </r>
  <r>
    <n v="2944"/>
    <x v="3"/>
    <m/>
    <x v="5"/>
    <x v="70"/>
    <d v="2021-08-25T00:00:00"/>
    <d v="2021-08-25T00:00:00"/>
    <n v="-2.5"/>
    <n v="2.5"/>
    <m/>
    <s v="Partycentrum SEVENUM"/>
    <s v="UIT"/>
    <s v="UITGAAN"/>
    <s v="snack"/>
    <m/>
    <s v="bc"/>
    <m/>
    <m/>
    <m/>
    <m/>
    <m/>
    <s v="Betaalautomaat 19:13 pasnr. 022"/>
    <s v=" "/>
    <m/>
  </r>
  <r>
    <n v="2957"/>
    <x v="3"/>
    <m/>
    <x v="5"/>
    <x v="64"/>
    <d v="2021-09-05T00:00:00"/>
    <d v="2021-09-05T00:00:00"/>
    <n v="-2.5"/>
    <n v="2.5"/>
    <m/>
    <s v="IZ *In d?Ouwe Peel V.O HELENAVEEN"/>
    <s v="UIT"/>
    <s v="UITGAAN"/>
    <s v="uitgaan"/>
    <m/>
    <s v="bc"/>
    <m/>
    <m/>
    <m/>
    <m/>
    <m/>
    <s v="Betaalautomaat 17:18 pasnr. 022"/>
    <s v=" "/>
    <m/>
  </r>
  <r>
    <n v="2959"/>
    <x v="3"/>
    <m/>
    <x v="5"/>
    <x v="64"/>
    <d v="2021-09-07T00:00:00"/>
    <d v="2021-09-07T00:00:00"/>
    <n v="-3.5"/>
    <n v="3.5"/>
    <m/>
    <s v="Partycentrum de Scha SEVENUM"/>
    <s v="UIT"/>
    <s v="UITGAAN"/>
    <s v="snack"/>
    <m/>
    <s v="bc"/>
    <m/>
    <m/>
    <m/>
    <m/>
    <m/>
    <s v="Betaalautomaat 18:32 pasnr. 022"/>
    <s v=" "/>
    <m/>
  </r>
  <r>
    <n v="2966"/>
    <x v="3"/>
    <m/>
    <x v="5"/>
    <x v="64"/>
    <d v="2021-09-15T00:00:00"/>
    <d v="2021-09-15T00:00:00"/>
    <n v="-30.75"/>
    <n v="30.75"/>
    <m/>
    <s v="CCV*DE PIZZABAKKERS AR ARNHEM"/>
    <s v="UIT"/>
    <s v="UITGAAN"/>
    <s v="uitgaan"/>
    <m/>
    <s v="bc"/>
    <m/>
    <m/>
    <m/>
    <m/>
    <m/>
    <s v="Betaalautomaat 19:45 pasnr. 022"/>
    <s v=" "/>
    <m/>
  </r>
  <r>
    <n v="2970"/>
    <x v="3"/>
    <m/>
    <x v="5"/>
    <x v="64"/>
    <d v="2021-09-16T00:00:00"/>
    <d v="2021-09-16T00:00:00"/>
    <n v="-7.65"/>
    <n v="7.65"/>
    <m/>
    <s v="CCV*ANNE EN MAX ARNHEM ARNHEM"/>
    <s v="UIT"/>
    <s v="UITGAAN"/>
    <s v="uitgaan"/>
    <m/>
    <s v="bc"/>
    <m/>
    <m/>
    <m/>
    <m/>
    <m/>
    <s v="Betaalautomaat 16:34 pasnr. 011"/>
    <s v=" "/>
    <m/>
  </r>
  <r>
    <n v="2979"/>
    <x v="3"/>
    <m/>
    <x v="5"/>
    <x v="64"/>
    <d v="2021-09-19T00:00:00"/>
    <d v="2021-09-19T00:00:00"/>
    <n v="-9.15"/>
    <n v="9.15"/>
    <m/>
    <s v="McDonald's Maasbree MAASBREE"/>
    <s v="UIT"/>
    <s v="UITGAAN"/>
    <s v="uitgaan"/>
    <m/>
    <s v="bc"/>
    <m/>
    <m/>
    <m/>
    <m/>
    <m/>
    <s v="Betaalautomaat 19:10 pasnr. 022"/>
    <s v=" "/>
    <m/>
  </r>
  <r>
    <n v="3006"/>
    <x v="3"/>
    <m/>
    <x v="5"/>
    <x v="25"/>
    <d v="2021-10-08T00:00:00"/>
    <d v="2021-10-08T00:00:00"/>
    <n v="-5.75"/>
    <n v="5.75"/>
    <m/>
    <s v="CCV*Sound &amp; Soul Foodb ARNHEM"/>
    <s v="UIT"/>
    <s v="UITGAAN"/>
    <s v="uitgaan"/>
    <m/>
    <m/>
    <m/>
    <m/>
    <m/>
    <m/>
    <s v="Betaalautomaat 18:51 pasnr. 022"/>
    <s v=" "/>
    <m/>
    <m/>
  </r>
  <r>
    <n v="3009"/>
    <x v="3"/>
    <m/>
    <x v="5"/>
    <x v="25"/>
    <d v="2021-10-09T00:00:00"/>
    <d v="2021-10-09T00:00:00"/>
    <n v="-2.95"/>
    <n v="2.95"/>
    <m/>
    <s v="CCV*Sound &amp; Soul Foodb ARNHEM"/>
    <s v="UIT"/>
    <s v="UITGAAN"/>
    <s v="uitgaan"/>
    <m/>
    <m/>
    <m/>
    <m/>
    <m/>
    <m/>
    <s v="Betaalautomaat 17:59 pasnr. 022"/>
    <s v=" "/>
    <m/>
    <m/>
  </r>
  <r>
    <n v="3010"/>
    <x v="3"/>
    <m/>
    <x v="5"/>
    <x v="25"/>
    <d v="2021-10-09T00:00:00"/>
    <d v="2021-10-09T00:00:00"/>
    <n v="-6.51"/>
    <n v="6.51"/>
    <m/>
    <s v="CCV*BioToko V.O.F. ZUTPHEN"/>
    <s v="UIT"/>
    <s v="UITGAAN"/>
    <s v="uitgaan"/>
    <m/>
    <m/>
    <m/>
    <m/>
    <m/>
    <m/>
    <s v="Betaalautomaat 20:26 pasnr. 022"/>
    <s v=" "/>
    <m/>
    <m/>
  </r>
  <r>
    <n v="3013"/>
    <x v="3"/>
    <m/>
    <x v="5"/>
    <x v="25"/>
    <d v="2021-10-10T00:00:00"/>
    <d v="2021-10-10T00:00:00"/>
    <n v="-3"/>
    <n v="3"/>
    <m/>
    <s v="Euro Snacks ARNHEM"/>
    <s v="UIT"/>
    <s v="UITGAAN"/>
    <s v="restaurant"/>
    <m/>
    <m/>
    <m/>
    <m/>
    <m/>
    <m/>
    <s v="Betaalautomaat 22:10 pasnr. 022"/>
    <s v=" "/>
    <m/>
    <m/>
  </r>
  <r>
    <n v="3015"/>
    <x v="3"/>
    <m/>
    <x v="5"/>
    <x v="25"/>
    <d v="2021-10-12T00:00:00"/>
    <d v="2021-10-12T00:00:00"/>
    <n v="-13.1"/>
    <n v="13.1"/>
    <m/>
    <s v="iZ *ABC Libertas ARNHEM"/>
    <s v="UIT"/>
    <s v="UITGAAN"/>
    <s v="uitgaan"/>
    <m/>
    <m/>
    <m/>
    <m/>
    <m/>
    <m/>
    <s v="Betaalautomaat 15:30 pasnr. 022"/>
    <s v=" "/>
    <m/>
    <m/>
  </r>
  <r>
    <n v="3019"/>
    <x v="3"/>
    <m/>
    <x v="5"/>
    <x v="25"/>
    <d v="2021-10-14T00:00:00"/>
    <d v="2021-10-14T00:00:00"/>
    <n v="-2.4"/>
    <n v="2.4"/>
    <m/>
    <s v="IZ *ABC Libertas ARNHEM"/>
    <s v="UIT"/>
    <s v="UITGAAN"/>
    <s v="espresso"/>
    <m/>
    <m/>
    <m/>
    <m/>
    <m/>
    <m/>
    <s v="Betaalautomaat 16:25 pasnr. 022"/>
    <s v=" "/>
    <m/>
    <m/>
  </r>
  <r>
    <n v="3023"/>
    <x v="3"/>
    <m/>
    <x v="5"/>
    <x v="25"/>
    <d v="2021-10-14T00:00:00"/>
    <d v="2021-10-14T00:00:00"/>
    <n v="-2.4"/>
    <n v="2.4"/>
    <m/>
    <s v="IZ *ABC Libertas ARNHEM"/>
    <s v="UIT"/>
    <s v="UITGAAN"/>
    <s v="espresso"/>
    <s v="bc"/>
    <m/>
    <m/>
    <m/>
    <m/>
    <m/>
    <s v="Betaalautomaat 16:25 pasnr. 022"/>
    <s v=" "/>
    <m/>
    <m/>
  </r>
  <r>
    <n v="3030"/>
    <x v="3"/>
    <m/>
    <x v="5"/>
    <x v="25"/>
    <d v="2021-10-15T00:00:00"/>
    <d v="2021-10-15T00:00:00"/>
    <n v="-1"/>
    <n v="1"/>
    <m/>
    <s v="MADAL BAL NATUURVOEDIN 'S-GRAVENHAGE"/>
    <s v="UIT"/>
    <s v="UITGAAN"/>
    <s v="snack"/>
    <s v="bc"/>
    <m/>
    <m/>
    <m/>
    <m/>
    <m/>
    <s v="Betaalautomaat 16:09 pasnr. 022"/>
    <s v=" "/>
    <m/>
    <m/>
  </r>
  <r>
    <n v="3033"/>
    <x v="3"/>
    <m/>
    <x v="5"/>
    <x v="25"/>
    <d v="2021-10-15T00:00:00"/>
    <d v="2021-10-15T00:00:00"/>
    <n v="-8.6999999999999993"/>
    <n v="8.6999999999999993"/>
    <m/>
    <s v="CCV*Eazie Den Haag B.V  S-GRAVENHAGE"/>
    <s v="UIT"/>
    <s v="UITGAAN"/>
    <s v="uitgaan"/>
    <s v="bc"/>
    <m/>
    <m/>
    <m/>
    <m/>
    <m/>
    <s v="Betaalautomaat 19:08 pasnr. 022"/>
    <s v=" "/>
    <m/>
    <m/>
  </r>
  <r>
    <n v="3037"/>
    <x v="3"/>
    <m/>
    <x v="5"/>
    <x v="25"/>
    <d v="2021-10-17T00:00:00"/>
    <d v="2021-10-17T00:00:00"/>
    <n v="-2.75"/>
    <n v="2.75"/>
    <m/>
    <s v="Dudok Arnhem BV Arnhem"/>
    <s v="UIT"/>
    <s v="UITGAAN"/>
    <s v="espresso"/>
    <s v="bc"/>
    <m/>
    <m/>
    <m/>
    <m/>
    <m/>
    <s v="Betaalautomaat 15:56 pasnr. 022"/>
    <s v=" "/>
    <m/>
    <m/>
  </r>
  <r>
    <n v="3042"/>
    <x v="3"/>
    <m/>
    <x v="5"/>
    <x v="25"/>
    <d v="2021-10-19T00:00:00"/>
    <d v="2021-10-19T00:00:00"/>
    <n v="-2.1"/>
    <n v="2.1"/>
    <m/>
    <s v="Kiosk UT 3220 UTRECHT"/>
    <s v="UIT"/>
    <s v="UITGAAN"/>
    <s v="snack"/>
    <s v="bc"/>
    <m/>
    <m/>
    <m/>
    <m/>
    <m/>
    <s v="Betaalautomaat 11:49 pasnr. 022"/>
    <s v=" "/>
    <m/>
    <m/>
  </r>
  <r>
    <n v="3043"/>
    <x v="3"/>
    <m/>
    <x v="5"/>
    <x v="25"/>
    <d v="2021-10-19T00:00:00"/>
    <d v="2021-10-19T00:00:00"/>
    <n v="-14.55"/>
    <n v="14.55"/>
    <m/>
    <s v="Foam Catering 'S-GRAVENHAGE"/>
    <s v="UIT"/>
    <s v="UITGAAN"/>
    <s v="restaurant"/>
    <s v="bc"/>
    <m/>
    <m/>
    <m/>
    <m/>
    <m/>
    <s v="Betaalautomaat 16:07 pasnr. 022"/>
    <s v=" "/>
    <m/>
    <m/>
  </r>
  <r>
    <n v="3044"/>
    <x v="3"/>
    <m/>
    <x v="5"/>
    <x v="25"/>
    <d v="2021-10-19T00:00:00"/>
    <d v="2021-10-19T00:00:00"/>
    <n v="-7.8"/>
    <n v="7.8"/>
    <m/>
    <s v="CCV*EAZIE DEN HAAG II S GRAVENHAGE"/>
    <s v="UIT"/>
    <s v="UITGAAN"/>
    <s v="uitgaan"/>
    <s v="bc"/>
    <m/>
    <m/>
    <m/>
    <m/>
    <m/>
    <s v="Betaalautomaat 17:48 pasnr. 022"/>
    <s v=" "/>
    <m/>
    <m/>
  </r>
  <r>
    <n v="3049"/>
    <x v="3"/>
    <m/>
    <x v="5"/>
    <x v="25"/>
    <d v="2021-10-20T00:00:00"/>
    <d v="2021-10-20T00:00:00"/>
    <n v="-2.4"/>
    <n v="2.4"/>
    <m/>
    <s v="IZ *ABC Libertas ARNHEM"/>
    <s v="UIT"/>
    <s v="UITGAAN"/>
    <s v="espresso"/>
    <s v="bc"/>
    <m/>
    <m/>
    <m/>
    <m/>
    <m/>
    <s v="Betaalautomaat 15:09 pasnr. 022"/>
    <s v=" "/>
    <m/>
    <m/>
  </r>
  <r>
    <n v="3057"/>
    <x v="3"/>
    <m/>
    <x v="5"/>
    <x v="25"/>
    <d v="2021-10-23T00:00:00"/>
    <d v="2021-10-23T00:00:00"/>
    <n v="-4.8"/>
    <n v="4.8"/>
    <m/>
    <s v="IZ *ABC Libertas ARNHEM"/>
    <s v="UIT"/>
    <s v="UITGAAN"/>
    <s v="espresso"/>
    <s v="bc"/>
    <m/>
    <m/>
    <m/>
    <m/>
    <m/>
    <s v="Betaalautomaat 13:52 pasnr. 022"/>
    <s v=" "/>
    <m/>
    <m/>
  </r>
  <r>
    <n v="3070"/>
    <x v="3"/>
    <m/>
    <x v="5"/>
    <x v="25"/>
    <d v="2021-10-27T00:00:00"/>
    <d v="2021-10-27T00:00:00"/>
    <n v="-1.8"/>
    <n v="1.8"/>
    <m/>
    <s v="Eetcounter Hagendoorn MUSSELKANAAL"/>
    <s v="UIT"/>
    <s v="UITGAAN"/>
    <s v="snack"/>
    <s v="bc"/>
    <m/>
    <m/>
    <m/>
    <m/>
    <m/>
    <s v="Betaalautomaat 17:07 pasnr. 022"/>
    <s v=" "/>
    <m/>
    <m/>
  </r>
  <r>
    <n v="3126"/>
    <x v="3"/>
    <m/>
    <x v="5"/>
    <x v="26"/>
    <d v="2021-11-14T00:00:00"/>
    <d v="2021-11-14T00:00:00"/>
    <n v="-10.5"/>
    <n v="10.5"/>
    <m/>
    <s v="SEP*Indonesia Indah Amsterdam"/>
    <s v="UIT"/>
    <s v="UITGAAN"/>
    <s v="restaurant"/>
    <s v="bc"/>
    <m/>
    <m/>
    <m/>
    <m/>
    <m/>
    <s v="Betaalautomaat 18:53 pasnr. 022"/>
    <s v=" "/>
    <m/>
    <m/>
  </r>
  <r>
    <n v="3128"/>
    <x v="3"/>
    <m/>
    <x v="5"/>
    <x v="26"/>
    <d v="2021-11-15T00:00:00"/>
    <d v="2021-11-15T00:00:00"/>
    <n v="-2.2999999999999998"/>
    <n v="2.2999999999999998"/>
    <m/>
    <s v="CCV*STAYOKAY ZEEBURG A AMSTERDAM"/>
    <s v="UIT"/>
    <s v="UITGAAN"/>
    <s v="espresso"/>
    <s v="bc"/>
    <m/>
    <m/>
    <m/>
    <m/>
    <m/>
    <s v="Betaalautomaat 09:44 pasnr. 022"/>
    <s v=" "/>
    <m/>
    <m/>
  </r>
  <r>
    <n v="3146"/>
    <x v="3"/>
    <m/>
    <x v="5"/>
    <x v="27"/>
    <d v="2021-12-21T00:00:00"/>
    <d v="2021-12-21T00:00:00"/>
    <n v="-21"/>
    <n v="21"/>
    <s v="NL10INGB0005300114"/>
    <s v="ING Bank NV Betaalverzoek"/>
    <s v="UIT"/>
    <s v="UITGAAN"/>
    <s v="uitgaan"/>
    <s v="id"/>
    <m/>
    <s v="21-12-2021 08:22 0051100045848346"/>
    <m/>
    <m/>
    <m/>
    <s v="CASPARNL90INGB0004259125 0051100045848346 Cadeaukaart ING Betaalverzoek x4934 pasnr.032"/>
    <s v=" "/>
    <m/>
    <m/>
  </r>
  <r>
    <n v="3322"/>
    <x v="3"/>
    <m/>
    <x v="6"/>
    <x v="32"/>
    <d v="2022-05-21T00:00:00"/>
    <d v="2022-05-21T00:00:00"/>
    <n v="-2"/>
    <n v="2"/>
    <m/>
    <s v="AH to go Zwolle 5828 ZWOLLE"/>
    <s v="UIT"/>
    <s v="UITGAAN"/>
    <s v="snack"/>
    <s v="bc"/>
    <m/>
    <m/>
    <m/>
    <m/>
    <m/>
    <s v="Betaalautomaat 12:12 pasnr. 032"/>
    <s v=" "/>
    <m/>
    <m/>
  </r>
  <r>
    <n v="202208019"/>
    <x v="3"/>
    <s v="EUR"/>
    <x v="6"/>
    <x v="71"/>
    <d v="2022-06-08T00:00:00"/>
    <d v="2022-06-08T00:00:00"/>
    <n v="-11.1"/>
    <n v="11.1"/>
    <m/>
    <s v="CCV*Sound &amp; Soul Foodb ARNHEM"/>
    <s v="UIT"/>
    <s v="UITGAAN"/>
    <s v="uitgaan"/>
    <s v="bc"/>
    <m/>
    <m/>
    <m/>
    <m/>
    <m/>
    <s v="Betaalautomaat 19:44 pasnr. 032"/>
    <s v=" "/>
    <m/>
    <m/>
  </r>
  <r>
    <n v="202208025"/>
    <x v="3"/>
    <s v="EUR"/>
    <x v="6"/>
    <x v="71"/>
    <d v="2022-06-12T00:00:00"/>
    <d v="2022-06-12T00:00:00"/>
    <n v="-11.2"/>
    <n v="11.2"/>
    <m/>
    <s v="Breurs Sevenum SEVENUM"/>
    <s v="UIT"/>
    <s v="UITGAAN"/>
    <s v="uitgaan"/>
    <s v="bc"/>
    <m/>
    <m/>
    <m/>
    <m/>
    <m/>
    <s v="Betaalautomaat 19:56 pasnr. 032"/>
    <s v=" "/>
    <m/>
    <m/>
  </r>
  <r>
    <n v="202208029"/>
    <x v="3"/>
    <s v="EUR"/>
    <x v="6"/>
    <x v="71"/>
    <d v="2022-06-14T00:00:00"/>
    <d v="2022-06-14T00:00:00"/>
    <n v="-3.9"/>
    <n v="3.9"/>
    <m/>
    <s v="Koala Express B.V. Venlo"/>
    <s v="UIT"/>
    <s v="UITGAAN"/>
    <s v="snack"/>
    <s v="bc"/>
    <m/>
    <m/>
    <m/>
    <m/>
    <m/>
    <s v="Betaalautomaat 17:34 pasnr. 032"/>
    <s v=" "/>
    <m/>
    <m/>
  </r>
  <r>
    <n v="202208030"/>
    <x v="3"/>
    <s v="EUR"/>
    <x v="6"/>
    <x v="71"/>
    <d v="2022-06-14T00:00:00"/>
    <d v="2022-06-14T00:00:00"/>
    <n v="-2"/>
    <n v="2"/>
    <m/>
    <s v="Koala Express B.V. Venlo"/>
    <s v="UIT"/>
    <s v="UITGAAN"/>
    <s v="snack"/>
    <s v="bc"/>
    <m/>
    <m/>
    <m/>
    <m/>
    <m/>
    <s v="Betaalautomaat 17:54 pasnr. 032"/>
    <s v=" "/>
    <m/>
    <m/>
  </r>
  <r>
    <n v="202208034"/>
    <x v="3"/>
    <s v="EUR"/>
    <x v="6"/>
    <x v="71"/>
    <d v="2022-06-18T00:00:00"/>
    <d v="2022-06-18T00:00:00"/>
    <n v="-1.3"/>
    <n v="1.3"/>
    <m/>
    <s v="CCV*HOEVE WILLEM III B HELENAVEEN"/>
    <s v="UIT"/>
    <s v="UITGAAN"/>
    <s v="snack"/>
    <s v="bc"/>
    <m/>
    <m/>
    <m/>
    <m/>
    <m/>
    <s v="Betaalautomaat 18:07 pasnr. 032"/>
    <s v=" "/>
    <m/>
    <m/>
  </r>
  <r>
    <n v="202208035"/>
    <x v="3"/>
    <s v="EUR"/>
    <x v="6"/>
    <x v="71"/>
    <d v="2022-06-18T00:00:00"/>
    <d v="2022-06-18T00:00:00"/>
    <n v="-1.3"/>
    <n v="1.3"/>
    <m/>
    <s v="CCV*HOEVE WILLEM III B HELENAVEEN"/>
    <s v="UIT"/>
    <s v="UITGAAN"/>
    <s v="snack"/>
    <s v="bc"/>
    <m/>
    <m/>
    <m/>
    <m/>
    <m/>
    <s v="Betaalautomaat 18:14 pasnr. 032"/>
    <s v=" "/>
    <m/>
    <m/>
  </r>
  <r>
    <n v="202208038"/>
    <x v="3"/>
    <s v="EUR"/>
    <x v="6"/>
    <x v="71"/>
    <d v="2022-06-20T00:00:00"/>
    <d v="2022-06-20T00:00:00"/>
    <n v="-2.25"/>
    <n v="2.25"/>
    <m/>
    <s v="Partycentrum SEVENUM"/>
    <s v="UIT"/>
    <s v="UITGAAN"/>
    <s v="snack"/>
    <s v="bc"/>
    <m/>
    <m/>
    <m/>
    <m/>
    <m/>
    <s v="Betaalautomaat 21:21 pasnr. 032"/>
    <s v=" "/>
    <m/>
    <m/>
  </r>
  <r>
    <n v="202208040"/>
    <x v="3"/>
    <s v="EUR"/>
    <x v="6"/>
    <x v="71"/>
    <d v="2022-06-22T00:00:00"/>
    <d v="2022-06-22T00:00:00"/>
    <n v="-4.2"/>
    <n v="4.2"/>
    <m/>
    <s v="Stek Venlo"/>
    <s v="UIT"/>
    <s v="UITGAAN"/>
    <s v="espresso"/>
    <s v="bc"/>
    <m/>
    <m/>
    <m/>
    <m/>
    <m/>
    <s v="Betaalautomaat 15:25 pasnr. 032"/>
    <s v=" "/>
    <m/>
    <m/>
  </r>
  <r>
    <n v="202208042"/>
    <x v="3"/>
    <s v="EUR"/>
    <x v="6"/>
    <x v="71"/>
    <d v="2022-06-22T00:00:00"/>
    <d v="2022-06-22T00:00:00"/>
    <n v="-12.55"/>
    <n v="12.55"/>
    <m/>
    <s v="Nena Pizza VENLO"/>
    <s v="UIT"/>
    <s v="UITGAAN"/>
    <s v="restaurant"/>
    <s v="bc"/>
    <m/>
    <m/>
    <m/>
    <m/>
    <m/>
    <s v="Betaalautomaat 18:35 pasnr. 032"/>
    <s v=" "/>
    <m/>
    <m/>
  </r>
  <r>
    <n v="202208050"/>
    <x v="3"/>
    <s v="EUR"/>
    <x v="6"/>
    <x v="71"/>
    <d v="2022-06-29T00:00:00"/>
    <d v="2022-06-29T00:00:00"/>
    <n v="-2.5"/>
    <n v="2.5"/>
    <m/>
    <s v="C&amp;M*ANYTYME ROYAAL PANNINGEN"/>
    <s v="UIT"/>
    <s v="UITGAAN"/>
    <s v="snack"/>
    <s v="bc"/>
    <m/>
    <m/>
    <m/>
    <m/>
    <m/>
    <s v="Betaalautomaat 17:54 pasnr. 032"/>
    <s v=" "/>
    <m/>
    <m/>
  </r>
  <r>
    <n v="202208057"/>
    <x v="3"/>
    <s v="EUR"/>
    <x v="6"/>
    <x v="72"/>
    <d v="2022-07-05T00:00:00"/>
    <d v="2022-07-05T00:00:00"/>
    <n v="-2.5"/>
    <n v="2.5"/>
    <m/>
    <s v="In d'Ouwe Peel HELENAVEEN"/>
    <s v="UIT"/>
    <s v="UITGAAN"/>
    <s v="uitgaan"/>
    <s v="bc"/>
    <m/>
    <m/>
    <m/>
    <m/>
    <m/>
    <s v="Betaalautomaat 17:53 pasnr. 032"/>
    <s v=" "/>
    <m/>
    <m/>
  </r>
  <r>
    <n v="202208059"/>
    <x v="3"/>
    <s v="EUR"/>
    <x v="6"/>
    <x v="72"/>
    <d v="2022-07-05T00:00:00"/>
    <d v="2022-07-05T00:00:00"/>
    <n v="-17.600000000000001"/>
    <n v="17.600000000000001"/>
    <m/>
    <s v="CCV*RS Chicken Sevenum SEVENUM KFC"/>
    <s v="UIT"/>
    <s v="UITGAAN"/>
    <s v="restaurant"/>
    <s v="bc"/>
    <m/>
    <m/>
    <m/>
    <m/>
    <m/>
    <s v="Betaalautomaat 19:24 pasnr. 032"/>
    <s v=" "/>
    <m/>
    <m/>
  </r>
  <r>
    <n v="202208059"/>
    <x v="3"/>
    <s v="EUR"/>
    <x v="6"/>
    <x v="72"/>
    <d v="2022-07-05T00:00:00"/>
    <d v="2022-07-05T00:00:00"/>
    <n v="9"/>
    <n v="9"/>
    <m/>
    <s v="CCV*RS Chicken Sevenum SEVENUM KFC correctie vegan kip"/>
    <s v="UIT"/>
    <s v="UITGAAN"/>
    <s v="restaurant"/>
    <s v="bc"/>
    <m/>
    <m/>
    <m/>
    <m/>
    <m/>
    <m/>
    <m/>
    <m/>
    <m/>
  </r>
  <r>
    <n v="202208067"/>
    <x v="3"/>
    <s v="EUR"/>
    <x v="6"/>
    <x v="72"/>
    <d v="2022-07-10T00:00:00"/>
    <d v="2022-07-10T00:00:00"/>
    <n v="-3.5"/>
    <n v="3.5"/>
    <m/>
    <s v="SWINKELS 2 HEERLEN"/>
    <s v="UIT"/>
    <s v="UITGAAN"/>
    <s v="snack"/>
    <s v="bc"/>
    <m/>
    <m/>
    <m/>
    <m/>
    <m/>
    <s v="Betaalautomaat 21:23 pasnr. 032"/>
    <s v=" "/>
    <m/>
    <m/>
  </r>
  <r>
    <n v="202208085"/>
    <x v="3"/>
    <s v="EUR"/>
    <x v="6"/>
    <x v="72"/>
    <d v="2022-07-20T00:00:00"/>
    <d v="2022-07-20T00:00:00"/>
    <n v="-5"/>
    <n v="5"/>
    <m/>
    <s v="Dominos Pizza Panninge Someren"/>
    <s v="UIT"/>
    <s v="UITGAAN"/>
    <s v="snack"/>
    <s v="bc"/>
    <m/>
    <m/>
    <m/>
    <m/>
    <m/>
    <s v="Betaalautomaat 14:52 pasnr. 032"/>
    <s v=" "/>
    <m/>
    <m/>
  </r>
  <r>
    <n v="202208095"/>
    <x v="3"/>
    <s v="EUR"/>
    <x v="6"/>
    <x v="72"/>
    <d v="2022-07-26T00:00:00"/>
    <d v="2022-07-26T00:00:00"/>
    <n v="-3.75"/>
    <n v="3.75"/>
    <m/>
    <s v="Allerhande Panningen PANNINGEN"/>
    <s v="UIT"/>
    <s v="UITGAAN"/>
    <s v="uitgaan"/>
    <s v="bc"/>
    <m/>
    <m/>
    <m/>
    <m/>
    <m/>
    <s v="Betaalautomaat 16:54 pasnr. 032"/>
    <s v=" "/>
    <m/>
    <m/>
  </r>
  <r>
    <n v="202208104"/>
    <x v="3"/>
    <s v="EUR"/>
    <x v="6"/>
    <x v="72"/>
    <d v="2022-07-28T00:00:00"/>
    <d v="2022-07-28T00:00:00"/>
    <n v="-6.6"/>
    <n v="6.6"/>
    <m/>
    <s v="Stek Venlo"/>
    <s v="UIT"/>
    <s v="UITGAAN"/>
    <s v="espresso"/>
    <s v="bc"/>
    <m/>
    <m/>
    <m/>
    <m/>
    <m/>
    <s v="Betaalautomaat 15:51 pasnr. 032"/>
    <s v=" "/>
    <m/>
    <m/>
  </r>
  <r>
    <n v="202208107"/>
    <x v="3"/>
    <s v="EUR"/>
    <x v="6"/>
    <x v="72"/>
    <d v="2022-07-28T00:00:00"/>
    <d v="2022-07-28T00:00:00"/>
    <n v="-15.05"/>
    <n v="15.05"/>
    <m/>
    <s v="Nena Pizza VENLO"/>
    <s v="UIT"/>
    <s v="UITGAAN"/>
    <s v="uitgaan"/>
    <s v="bc"/>
    <m/>
    <m/>
    <m/>
    <m/>
    <m/>
    <s v="Betaalautomaat 19:35 pasnr. 032"/>
    <s v=" "/>
    <m/>
    <m/>
  </r>
  <r>
    <n v="202208113"/>
    <x v="3"/>
    <s v="EUR"/>
    <x v="6"/>
    <x v="72"/>
    <d v="2022-07-30T00:00:00"/>
    <d v="2022-07-30T00:00:00"/>
    <n v="-6"/>
    <n v="6"/>
    <m/>
    <s v="SumUp  *Xzata Music Landgraaf"/>
    <s v="UIT"/>
    <s v="UITGAAN"/>
    <s v="uitgaan"/>
    <s v="ba"/>
    <m/>
    <m/>
    <m/>
    <m/>
    <m/>
    <s v="Betaalautomaat 18:21 pasnr. 032"/>
    <s v=" "/>
    <m/>
    <m/>
  </r>
  <r>
    <n v="202208128"/>
    <x v="3"/>
    <s v="EUR"/>
    <x v="6"/>
    <x v="40"/>
    <d v="2022-08-06T00:00:00"/>
    <d v="2022-08-06T00:00:00"/>
    <n v="-2.75"/>
    <n v="2.75"/>
    <m/>
    <s v="Partycentrum SEVENUM"/>
    <s v="UIT"/>
    <s v="UITGAAN"/>
    <s v="snack"/>
    <s v="bc"/>
    <m/>
    <m/>
    <m/>
    <m/>
    <m/>
    <s v="Betaalautomaat 22:09 pasnr. 032"/>
    <s v=" "/>
    <m/>
    <m/>
  </r>
  <r>
    <n v="202208130"/>
    <x v="3"/>
    <s v="EUR"/>
    <x v="6"/>
    <x v="40"/>
    <d v="2022-08-08T00:00:00"/>
    <d v="2022-08-08T00:00:00"/>
    <n v="-17.2"/>
    <n v="17.2"/>
    <m/>
    <s v="iZ *FLFL Arnhem BV Arnhem"/>
    <s v="UIT"/>
    <s v="UITGAAN"/>
    <s v="restaurant"/>
    <s v="bc"/>
    <m/>
    <m/>
    <m/>
    <m/>
    <m/>
    <s v="Betaalautomaat 19:30 pasnr. 032"/>
    <s v=" "/>
    <m/>
    <m/>
  </r>
  <r>
    <n v="202208132"/>
    <x v="3"/>
    <s v="EUR"/>
    <x v="6"/>
    <x v="40"/>
    <d v="2022-08-08T00:00:00"/>
    <d v="2022-08-08T00:00:00"/>
    <n v="-8.8000000000000007"/>
    <n v="8.8000000000000007"/>
    <m/>
    <s v="CCV*Focus Horeca BV ARNHEM"/>
    <s v="UIT"/>
    <s v="UITGAAN"/>
    <s v="uitgaan"/>
    <s v="bc"/>
    <m/>
    <m/>
    <m/>
    <m/>
    <m/>
    <s v="Betaalautomaat 21:34 pasnr. 032"/>
    <s v=" "/>
    <m/>
    <m/>
  </r>
  <r>
    <n v="202208138"/>
    <x v="3"/>
    <s v="EUR"/>
    <x v="6"/>
    <x v="40"/>
    <d v="2022-08-09T00:00:00"/>
    <d v="2022-08-09T00:00:00"/>
    <n v="-1.5"/>
    <n v="1.5"/>
    <m/>
    <s v="CCV*Trio IJssalon ARNHEM"/>
    <s v="UIT"/>
    <s v="UITGAAN"/>
    <s v="snack"/>
    <s v="bc"/>
    <m/>
    <m/>
    <m/>
    <m/>
    <m/>
    <s v="Betaalautomaat 17:17 pasnr. 032"/>
    <s v=" "/>
    <m/>
    <m/>
  </r>
  <r>
    <n v="202208139"/>
    <x v="3"/>
    <s v="EUR"/>
    <x v="6"/>
    <x v="40"/>
    <d v="2022-08-09T00:00:00"/>
    <d v="2022-08-09T00:00:00"/>
    <n v="-3"/>
    <n v="3"/>
    <m/>
    <s v="Grand Cafe Metropole ARNHEM"/>
    <s v="UIT"/>
    <s v="UITGAAN"/>
    <s v="uitgaan"/>
    <s v="bc"/>
    <m/>
    <m/>
    <m/>
    <m/>
    <m/>
    <s v="Betaalautomaat 18:15 pasnr. 032"/>
    <s v=" "/>
    <m/>
    <m/>
  </r>
  <r>
    <n v="202208146"/>
    <x v="3"/>
    <s v="EUR"/>
    <x v="6"/>
    <x v="40"/>
    <d v="2022-08-13T00:00:00"/>
    <d v="2022-08-13T00:00:00"/>
    <n v="-4"/>
    <n v="4"/>
    <m/>
    <s v="CCV*T Gemeintehoes aet MAASBREE"/>
    <s v="UIT"/>
    <s v="UITGAAN"/>
    <s v="uitgaan"/>
    <s v="bc"/>
    <m/>
    <m/>
    <m/>
    <m/>
    <m/>
    <s v="Betaalautomaat 19:18 pasnr. 032"/>
    <s v=" "/>
    <m/>
    <m/>
  </r>
  <r>
    <n v="202208148"/>
    <x v="3"/>
    <s v="EUR"/>
    <x v="6"/>
    <x v="40"/>
    <d v="2022-08-16T00:00:00"/>
    <d v="2022-08-16T00:00:00"/>
    <n v="-2.7"/>
    <n v="2.7"/>
    <m/>
    <s v="Cafetaria 't Veen HELENAVEEN"/>
    <s v="UIT"/>
    <s v="UITGAAN"/>
    <s v="snack"/>
    <s v="bc"/>
    <m/>
    <m/>
    <m/>
    <m/>
    <m/>
    <s v="Betaalautomaat 19:37 pasnr. 032"/>
    <s v=" "/>
    <m/>
    <m/>
  </r>
  <r>
    <n v="202208149"/>
    <x v="3"/>
    <s v="EUR"/>
    <x v="6"/>
    <x v="40"/>
    <d v="2022-08-16T00:00:00"/>
    <d v="2022-08-16T00:00:00"/>
    <n v="-2.2000000000000002"/>
    <n v="2.2000000000000002"/>
    <m/>
    <s v="Cafetaria 't Veen HELENAVEEN"/>
    <s v="UIT"/>
    <s v="UITGAAN"/>
    <s v="snack"/>
    <s v="bc"/>
    <m/>
    <m/>
    <m/>
    <m/>
    <m/>
    <s v="Betaalautomaat 19:47 pasnr. 032"/>
    <s v=" "/>
    <m/>
    <m/>
  </r>
  <r>
    <n v="202208163"/>
    <x v="3"/>
    <s v="EUR"/>
    <x v="6"/>
    <x v="40"/>
    <d v="2022-08-24T00:00:00"/>
    <d v="2022-08-24T00:00:00"/>
    <n v="-2.25"/>
    <n v="2.25"/>
    <m/>
    <s v="Partycentrum SEVENUM"/>
    <s v="UIT"/>
    <s v="UITGAAN"/>
    <s v="snack"/>
    <s v="bc"/>
    <m/>
    <m/>
    <m/>
    <m/>
    <m/>
    <s v="Betaalautomaat 20:51 pasnr. 032"/>
    <s v=" "/>
    <m/>
    <m/>
  </r>
  <r>
    <n v="202210003"/>
    <x v="3"/>
    <s v="EUR"/>
    <x v="6"/>
    <x v="40"/>
    <d v="2022-08-27T00:00:00"/>
    <d v="2022-08-28T00:00:00"/>
    <n v="-2.6"/>
    <n v="2.6"/>
    <m/>
    <s v="Partycentrum de Scha SEVENUM"/>
    <s v="UIT"/>
    <s v="UITGAAN"/>
    <s v="uitgaan"/>
    <s v="bc"/>
    <m/>
    <m/>
    <m/>
    <m/>
    <m/>
    <s v="Betaalautomaat 00:13 pasnr. 032"/>
    <s v=" "/>
    <m/>
    <m/>
  </r>
  <r>
    <n v="202210016"/>
    <x v="3"/>
    <s v="EUR"/>
    <x v="6"/>
    <x v="73"/>
    <d v="2022-09-04T00:00:00"/>
    <d v="2022-09-04T00:00:00"/>
    <n v="-2.75"/>
    <n v="2.75"/>
    <m/>
    <s v="ZTL*In d?Ouwe Peel V.O HELENAVEEN"/>
    <s v="UIT"/>
    <s v="UITGAAN"/>
    <s v="uitgaan"/>
    <s v="bc"/>
    <m/>
    <m/>
    <m/>
    <m/>
    <m/>
    <s v="Betaalautomaat 17:28 pasnr. 032"/>
    <s v=" "/>
    <m/>
    <m/>
  </r>
  <r>
    <n v="202210017"/>
    <x v="3"/>
    <s v="EUR"/>
    <x v="6"/>
    <x v="73"/>
    <d v="2022-09-05T00:00:00"/>
    <d v="2022-09-05T00:00:00"/>
    <n v="-176.5"/>
    <n v="176.5"/>
    <s v="NL48RABO0132394782"/>
    <s v="Payments via Adyen / EFTELING"/>
    <s v="UIT"/>
    <s v="UITGAAN"/>
    <s v="dagtrips"/>
    <s v="E"/>
    <m/>
    <s v="05-09-2022 11:13 0020007117468684"/>
    <m/>
    <m/>
    <m/>
    <s v="PK4JXTSXLCNSF232 0020007117468684 H004165586/1857459 x4934 pasnr.032"/>
    <s v=" "/>
    <m/>
    <m/>
  </r>
  <r>
    <n v="202210019"/>
    <x v="3"/>
    <s v="EUR"/>
    <x v="6"/>
    <x v="73"/>
    <d v="2022-09-06T00:00:00"/>
    <d v="2022-09-06T00:00:00"/>
    <n v="41"/>
    <n v="41"/>
    <s v="BE27652843579073"/>
    <s v="MEJ HANNE PEETERS"/>
    <s v="UIT"/>
    <s v="UITGAAN"/>
    <s v="dagtrips"/>
    <s v="cb"/>
    <m/>
    <m/>
    <m/>
    <m/>
    <m/>
    <s v="Efteling"/>
    <s v=" "/>
    <m/>
    <m/>
  </r>
  <r>
    <n v="202210020"/>
    <x v="3"/>
    <s v="EUR"/>
    <x v="6"/>
    <x v="73"/>
    <d v="2022-09-06T00:00:00"/>
    <d v="2022-09-06T00:00:00"/>
    <n v="-8.35"/>
    <n v="8.35"/>
    <m/>
    <s v="De Efteling B.V. Kaatsheuvel"/>
    <s v="UIT"/>
    <s v="UITGAAN"/>
    <s v="dagtrips"/>
    <s v="bc"/>
    <m/>
    <m/>
    <m/>
    <m/>
    <m/>
    <s v="Betaalautomaat 10:38 pasnr. 032"/>
    <s v=" "/>
    <m/>
    <m/>
  </r>
  <r>
    <n v="202210021"/>
    <x v="3"/>
    <s v="EUR"/>
    <x v="6"/>
    <x v="73"/>
    <d v="2022-09-06T00:00:00"/>
    <d v="2022-09-06T00:00:00"/>
    <n v="-2.95"/>
    <n v="2.95"/>
    <m/>
    <s v="De Efteling B.V. Kaatsheuvel"/>
    <s v="UIT"/>
    <s v="UITGAAN"/>
    <s v="dagtrips"/>
    <s v="bc"/>
    <m/>
    <m/>
    <m/>
    <m/>
    <m/>
    <s v="Betaalautomaat 11:08 pasnr. 032"/>
    <s v=" "/>
    <m/>
    <m/>
  </r>
  <r>
    <n v="202210022"/>
    <x v="3"/>
    <s v="EUR"/>
    <x v="6"/>
    <x v="73"/>
    <d v="2022-09-06T00:00:00"/>
    <d v="2022-09-06T00:00:00"/>
    <n v="-3.75"/>
    <n v="3.75"/>
    <m/>
    <s v="De Efteling B.V. Kaatsheuvel"/>
    <s v="UIT"/>
    <s v="UITGAAN"/>
    <s v="dagtrips"/>
    <s v="bc"/>
    <m/>
    <m/>
    <m/>
    <m/>
    <m/>
    <s v="Betaalautomaat 13:12 pasnr. 032"/>
    <s v=" "/>
    <m/>
    <m/>
  </r>
  <r>
    <n v="202210027"/>
    <x v="3"/>
    <s v="EUR"/>
    <x v="6"/>
    <x v="73"/>
    <d v="2022-09-11T00:00:00"/>
    <d v="2022-09-11T00:00:00"/>
    <n v="-2.75"/>
    <n v="2.75"/>
    <m/>
    <s v="Partycentrum SEVENUM"/>
    <s v="UIT"/>
    <s v="UITGAAN"/>
    <s v="snack"/>
    <s v="bc"/>
    <m/>
    <m/>
    <m/>
    <m/>
    <m/>
    <s v="Betaalautomaat 18:28 pasnr. 032"/>
    <s v=" "/>
    <m/>
    <m/>
  </r>
  <r>
    <n v="202210030"/>
    <x v="3"/>
    <s v="EUR"/>
    <x v="6"/>
    <x v="73"/>
    <d v="2022-09-15T00:00:00"/>
    <d v="2022-09-15T00:00:00"/>
    <n v="82"/>
    <n v="82"/>
    <s v="NL13ABNA0506417344"/>
    <s v="AAB INZ TIKKIE"/>
    <s v="UIT"/>
    <s v="UITGAAN"/>
    <s v="dagtrips"/>
    <s v="cb"/>
    <m/>
    <m/>
    <m/>
    <m/>
    <m/>
    <s v="Tikkie ID 000519084242, Efteling 2x, Van A.M.H. Pennings eo, NL08RABO0105021423"/>
    <s v=" "/>
    <m/>
    <m/>
  </r>
  <r>
    <n v="202301057"/>
    <x v="3"/>
    <s v="EUR"/>
    <x v="6"/>
    <x v="35"/>
    <d v="2022-11-06T00:00:00"/>
    <d v="2022-11-06T00:00:00"/>
    <n v="-6.95"/>
    <m/>
    <m/>
    <s v="CCV*YU FAMILY KITCHEN AMSTERDAM"/>
    <s v="UIT"/>
    <s v="UITGAAN"/>
    <s v="restaurant"/>
    <s v="bc"/>
    <m/>
    <m/>
    <m/>
    <m/>
    <m/>
    <s v="Betaalautomaat 16:37 pasnr. 032"/>
    <s v=" "/>
    <m/>
    <m/>
  </r>
  <r>
    <n v="202301058"/>
    <x v="3"/>
    <s v="EUR"/>
    <x v="6"/>
    <x v="35"/>
    <d v="2022-11-06T00:00:00"/>
    <d v="2022-11-06T00:00:00"/>
    <n v="-3.75"/>
    <m/>
    <m/>
    <s v="Smullers A'dam Sloterd AMSTERDAM"/>
    <s v="UIT"/>
    <s v="UITGAAN"/>
    <s v="snack"/>
    <s v="bc"/>
    <m/>
    <m/>
    <m/>
    <m/>
    <m/>
    <s v="Betaalautomaat 21:17 pasnr. 032"/>
    <s v=" "/>
    <m/>
    <m/>
  </r>
  <r>
    <n v="202301060"/>
    <x v="3"/>
    <s v="EUR"/>
    <x v="6"/>
    <x v="35"/>
    <d v="2022-11-07T00:00:00"/>
    <d v="2022-11-07T00:00:00"/>
    <n v="-3.75"/>
    <m/>
    <m/>
    <s v="HMS Host International Amsterdam"/>
    <s v="UIT"/>
    <s v="UITGAAN"/>
    <s v="espresso"/>
    <s v="bc"/>
    <m/>
    <m/>
    <m/>
    <m/>
    <m/>
    <s v="Betaalautomaat 10:21 pasnr. 032"/>
    <s v=" "/>
    <m/>
    <m/>
  </r>
  <r>
    <n v="202301149"/>
    <x v="5"/>
    <m/>
    <x v="6"/>
    <x v="34"/>
    <d v="2022-10-14T00:00:00"/>
    <m/>
    <n v="-12"/>
    <m/>
    <m/>
    <s v="Cafe meijers"/>
    <s v="UIT"/>
    <s v="UITGAAN"/>
    <s v="uitgaan"/>
    <m/>
    <m/>
    <m/>
    <m/>
    <m/>
    <m/>
    <m/>
    <m/>
    <m/>
    <m/>
  </r>
  <r>
    <n v="202301150"/>
    <x v="5"/>
    <m/>
    <x v="6"/>
    <x v="34"/>
    <d v="2022-10-14T00:00:00"/>
    <m/>
    <n v="-4.5"/>
    <m/>
    <m/>
    <s v="McDonalds"/>
    <s v="UIT"/>
    <s v="UITGAAN"/>
    <s v="uitgaan"/>
    <m/>
    <m/>
    <m/>
    <m/>
    <m/>
    <m/>
    <m/>
    <m/>
    <m/>
    <m/>
  </r>
  <r>
    <n v="202301156"/>
    <x v="5"/>
    <m/>
    <x v="6"/>
    <x v="34"/>
    <d v="2022-10-17T00:00:00"/>
    <m/>
    <n v="-7.1"/>
    <m/>
    <m/>
    <s v="Ann&amp;max met loek"/>
    <s v="UIT"/>
    <s v="UITGAAN"/>
    <s v="espresso"/>
    <m/>
    <m/>
    <m/>
    <m/>
    <m/>
    <m/>
    <m/>
    <m/>
    <m/>
    <m/>
  </r>
  <r>
    <n v="202301161"/>
    <x v="5"/>
    <m/>
    <x v="6"/>
    <x v="34"/>
    <d v="2022-10-18T00:00:00"/>
    <m/>
    <n v="-3.5"/>
    <m/>
    <m/>
    <s v="ABC libertas"/>
    <s v="UIT"/>
    <s v="UITGAAN"/>
    <s v="uitgaan"/>
    <m/>
    <m/>
    <m/>
    <m/>
    <m/>
    <m/>
    <m/>
    <m/>
    <m/>
    <m/>
  </r>
  <r>
    <n v="202301167"/>
    <x v="5"/>
    <m/>
    <x v="6"/>
    <x v="34"/>
    <d v="2022-10-21T00:00:00"/>
    <m/>
    <n v="-2.5"/>
    <m/>
    <m/>
    <s v="koffie Hengelo"/>
    <s v="UIT"/>
    <s v="UITGAAN"/>
    <s v="espresso"/>
    <m/>
    <m/>
    <m/>
    <m/>
    <m/>
    <m/>
    <m/>
    <m/>
    <m/>
    <m/>
  </r>
  <r>
    <n v="202305070"/>
    <x v="3"/>
    <s v="EUR"/>
    <x v="0"/>
    <x v="75"/>
    <d v="2023-04-07T00:00:00"/>
    <d v="2023-04-07T00:00:00"/>
    <n v="-2.5"/>
    <n v="70.45"/>
    <m/>
    <s v="Partycentrum SEVENUM"/>
    <s v="UIT"/>
    <s v="UITGAAN"/>
    <s v="snack"/>
    <n v="70.45"/>
    <m/>
    <m/>
    <m/>
    <m/>
    <m/>
    <s v="Betaalautomaat 19:04 pasnr. 032"/>
    <s v=" "/>
    <m/>
    <m/>
  </r>
  <r>
    <n v="202305072"/>
    <x v="3"/>
    <s v="EUR"/>
    <x v="0"/>
    <x v="75"/>
    <d v="2023-04-09T00:00:00"/>
    <d v="2023-04-09T00:00:00"/>
    <n v="-5.3"/>
    <n v="61.46"/>
    <m/>
    <s v="McDonald's Maasbree MAASBREE"/>
    <s v="UIT"/>
    <s v="UITGAAN"/>
    <s v="uitgaan"/>
    <n v="61.46"/>
    <m/>
    <m/>
    <m/>
    <m/>
    <m/>
    <s v="Betaalautomaat 17:29 pasnr. 032"/>
    <s v=" "/>
    <m/>
    <m/>
  </r>
  <r>
    <n v="202305080"/>
    <x v="3"/>
    <s v="EUR"/>
    <x v="0"/>
    <x v="75"/>
    <d v="2023-04-13T00:00:00"/>
    <d v="2023-04-13T00:00:00"/>
    <n v="-2.5"/>
    <n v="-6.38"/>
    <m/>
    <s v="Partycentrum SEVENUM"/>
    <s v="UIT"/>
    <s v="UITGAAN"/>
    <s v="snack"/>
    <n v="-6.38"/>
    <m/>
    <m/>
    <m/>
    <m/>
    <m/>
    <s v="Betaalautomaat 20:37 pasnr. 032"/>
    <s v=" "/>
    <m/>
    <m/>
  </r>
  <r>
    <n v="202305088"/>
    <x v="3"/>
    <s v="EUR"/>
    <x v="0"/>
    <x v="75"/>
    <d v="2023-04-19T00:00:00"/>
    <d v="2023-04-19T00:00:00"/>
    <n v="-7"/>
    <n v="99.41"/>
    <m/>
    <s v="Stek Venlo"/>
    <s v="UIT"/>
    <s v="UITGAAN"/>
    <s v="espresso"/>
    <n v="99.41"/>
    <m/>
    <m/>
    <m/>
    <m/>
    <m/>
    <s v="Betaalautomaat 15:07 pasnr. 032"/>
    <s v=" "/>
    <m/>
    <m/>
  </r>
  <r>
    <n v="202305092"/>
    <x v="3"/>
    <s v="EUR"/>
    <x v="0"/>
    <x v="75"/>
    <d v="2023-04-19T00:00:00"/>
    <d v="2023-04-19T00:00:00"/>
    <n v="-12.3"/>
    <n v="62.87"/>
    <m/>
    <s v="Nena Pizza VENLO"/>
    <s v="UIT"/>
    <s v="UITGAAN"/>
    <s v="uitgaan"/>
    <n v="62.87"/>
    <m/>
    <m/>
    <m/>
    <m/>
    <m/>
    <s v="Betaalautomaat 18:28 pasnr. 032"/>
    <s v=" "/>
    <m/>
    <m/>
  </r>
  <r>
    <n v="202305110"/>
    <x v="3"/>
    <s v="EUR"/>
    <x v="0"/>
    <x v="75"/>
    <d v="2023-04-27T00:00:00"/>
    <d v="2023-04-27T00:00:00"/>
    <n v="-2.4"/>
    <n v="515.15"/>
    <s v="NL35RABO0117713678"/>
    <s v="Partycentrum de Schatber via PAY.nl"/>
    <s v="UIT"/>
    <s v="UITGAAN"/>
    <s v="snack"/>
    <n v="515.15"/>
    <m/>
    <s v="27-04-2023 05:55 0370618120568139"/>
    <m/>
    <m/>
    <m/>
    <s v="2062726182Xd6ce7 0370618120568139 Order 5972  xui-80747085"/>
    <s v=" "/>
    <m/>
    <m/>
  </r>
  <r>
    <n v="202305116"/>
    <x v="3"/>
    <s v="EUR"/>
    <x v="0"/>
    <x v="76"/>
    <d v="2023-05-02T00:00:00"/>
    <d v="2023-05-02T00:00:00"/>
    <n v="-3"/>
    <n v="284.07"/>
    <m/>
    <s v="Partycentrum SEVENUM"/>
    <s v="UIT"/>
    <s v="UITGAAN"/>
    <s v="snack"/>
    <n v="284.07"/>
    <m/>
    <m/>
    <m/>
    <m/>
    <m/>
    <s v="Betaalautomaat 19:43 pasnr. 032"/>
    <s v=" "/>
    <m/>
    <m/>
  </r>
  <r>
    <n v="9"/>
    <x v="1"/>
    <m/>
    <x v="1"/>
    <x v="1"/>
    <d v="2017-01-06T00:00:00"/>
    <d v="2017-01-06T00:00:00"/>
    <n v="-10.9"/>
    <n v="10.9"/>
    <m/>
    <s v="PRLV SEPA CARDIF ASSURANCE VIE ECH/060317 ID EMETT"/>
    <s v="UIT_VL"/>
    <s v="VASTELASTEN"/>
    <s v="overlijdensverz"/>
    <m/>
    <m/>
    <m/>
    <m/>
    <m/>
    <m/>
    <m/>
    <m/>
    <m/>
    <m/>
  </r>
  <r>
    <n v="21"/>
    <x v="1"/>
    <m/>
    <x v="1"/>
    <x v="2"/>
    <d v="2017-02-06T00:00:00"/>
    <d v="2017-02-06T00:00:00"/>
    <n v="-10.9"/>
    <n v="10.9"/>
    <m/>
    <s v="PRLV SEPA CARDIF ASSURANCE VIE ECH/060317 ID EMETT"/>
    <s v="UIT_VL"/>
    <s v="VASTELASTEN"/>
    <s v="overlijdensverz"/>
    <m/>
    <m/>
    <m/>
    <m/>
    <m/>
    <m/>
    <m/>
    <m/>
    <m/>
    <m/>
  </r>
  <r>
    <n v="22"/>
    <x v="1"/>
    <m/>
    <x v="1"/>
    <x v="2"/>
    <d v="2017-02-24T00:00:00"/>
    <d v="2017-02-24T00:00:00"/>
    <n v="-20"/>
    <n v="20"/>
    <m/>
    <s v="vodafone beltegoed"/>
    <s v="UIT_VL"/>
    <s v="VASTELASTEN"/>
    <s v="internet_telefoon_nl"/>
    <m/>
    <m/>
    <m/>
    <m/>
    <m/>
    <m/>
    <m/>
    <m/>
    <m/>
    <m/>
  </r>
  <r>
    <n v="30"/>
    <x v="1"/>
    <m/>
    <x v="1"/>
    <x v="43"/>
    <d v="2017-03-06T00:00:00"/>
    <d v="2017-03-06T00:00:00"/>
    <n v="-10.9"/>
    <n v="10.9"/>
    <m/>
    <s v="PRLV SEPA CARDIF ASSURANCE VIE ECH/060317 ID EMETT"/>
    <s v="UIT_VL"/>
    <s v="VASTELASTEN"/>
    <s v="overlijdensverz"/>
    <m/>
    <m/>
    <m/>
    <m/>
    <m/>
    <m/>
    <m/>
    <m/>
    <m/>
    <m/>
  </r>
  <r>
    <n v="32"/>
    <x v="1"/>
    <m/>
    <x v="1"/>
    <x v="43"/>
    <d v="2017-03-20T00:00:00"/>
    <d v="2017-03-20T00:00:00"/>
    <n v="-4.68"/>
    <n v="4.68"/>
    <m/>
    <s v="FACTURE CARTE DU 180317 TUMMEE.COM MONT CARTE 4974XXXX"/>
    <s v="UIT_VL"/>
    <s v="VASTELASTEN"/>
    <s v="tummee"/>
    <m/>
    <m/>
    <m/>
    <m/>
    <m/>
    <m/>
    <m/>
    <m/>
    <m/>
    <m/>
  </r>
  <r>
    <n v="33"/>
    <x v="1"/>
    <m/>
    <x v="1"/>
    <x v="43"/>
    <d v="2017-03-22T00:00:00"/>
    <d v="2017-03-22T00:00:00"/>
    <n v="2.76"/>
    <n v="2.76"/>
    <m/>
    <s v=" REMBOURST CB DU 190317 TUMMEE.COM MONT C"/>
    <s v="UIT_VL"/>
    <s v="VASTELASTEN"/>
    <s v="tummee"/>
    <m/>
    <m/>
    <m/>
    <m/>
    <m/>
    <m/>
    <m/>
    <m/>
    <m/>
    <m/>
  </r>
  <r>
    <n v="34"/>
    <x v="1"/>
    <m/>
    <x v="1"/>
    <x v="1"/>
    <d v="2017-03-27T00:00:00"/>
    <d v="2017-03-27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35"/>
    <x v="1"/>
    <m/>
    <x v="1"/>
    <x v="2"/>
    <d v="2017-03-27T00:00:00"/>
    <d v="2017-03-27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36"/>
    <x v="1"/>
    <m/>
    <x v="1"/>
    <x v="43"/>
    <d v="2017-03-27T00:00:00"/>
    <d v="2017-03-27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37"/>
    <x v="1"/>
    <m/>
    <x v="1"/>
    <x v="1"/>
    <d v="2017-03-27T00:00:00"/>
    <d v="2017-03-27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38"/>
    <x v="1"/>
    <m/>
    <x v="1"/>
    <x v="2"/>
    <d v="2017-03-27T00:00:00"/>
    <d v="2017-03-27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39"/>
    <x v="1"/>
    <m/>
    <x v="1"/>
    <x v="43"/>
    <d v="2017-03-27T00:00:00"/>
    <d v="2017-03-27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42"/>
    <x v="1"/>
    <m/>
    <x v="1"/>
    <x v="44"/>
    <d v="2017-04-04T00:00:00"/>
    <d v="2017-04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43"/>
    <x v="1"/>
    <m/>
    <x v="1"/>
    <x v="44"/>
    <d v="2017-04-05T00:00:00"/>
    <d v="2017-04-05T00:00:00"/>
    <n v="-10.9"/>
    <n v="10.9"/>
    <m/>
    <s v="PRLV SEPA CARDIF ASSURANCE VIE ECH/050417 ID EMETT"/>
    <s v="UIT_VL"/>
    <s v="VASTELASTEN"/>
    <s v="overlijdensverz"/>
    <m/>
    <m/>
    <m/>
    <m/>
    <m/>
    <m/>
    <m/>
    <m/>
    <m/>
    <m/>
  </r>
  <r>
    <n v="44"/>
    <x v="1"/>
    <m/>
    <x v="1"/>
    <x v="44"/>
    <d v="2017-04-25T00:00:00"/>
    <d v="2017-04-25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45"/>
    <x v="1"/>
    <m/>
    <x v="1"/>
    <x v="44"/>
    <d v="2017-04-25T00:00:00"/>
    <d v="2017-04-25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46"/>
    <x v="1"/>
    <m/>
    <x v="1"/>
    <x v="45"/>
    <d v="2017-05-03T00:00:00"/>
    <d v="2017-05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48"/>
    <x v="1"/>
    <m/>
    <x v="1"/>
    <x v="45"/>
    <d v="2017-05-05T00:00:00"/>
    <d v="2017-05-05T00:00:00"/>
    <n v="-10.9"/>
    <n v="10.9"/>
    <m/>
    <s v="PRLV SEPA CARDIF ASSURANCE VIE ECH/050517 ID EMETT"/>
    <s v="UIT_VL"/>
    <s v="VASTELASTEN"/>
    <s v="overlijdensverz"/>
    <m/>
    <m/>
    <m/>
    <m/>
    <m/>
    <m/>
    <m/>
    <m/>
    <m/>
    <m/>
  </r>
  <r>
    <n v="49"/>
    <x v="1"/>
    <m/>
    <x v="1"/>
    <x v="45"/>
    <d v="2017-05-23T00:00:00"/>
    <d v="2017-05-23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50"/>
    <x v="1"/>
    <m/>
    <x v="1"/>
    <x v="45"/>
    <d v="2017-05-26T00:00:00"/>
    <d v="2017-05-26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51"/>
    <x v="1"/>
    <m/>
    <x v="1"/>
    <x v="46"/>
    <d v="2017-06-02T00:00:00"/>
    <d v="2017-06-02T00:00:00"/>
    <n v="-26"/>
    <n v="26"/>
    <m/>
    <s v="COMMISSIONS FORMULE BNP NET. CARTE N : 0004974014048"/>
    <s v="UIT_VL"/>
    <s v="VASTELASTEN"/>
    <s v="bankkosten"/>
    <m/>
    <m/>
    <m/>
    <m/>
    <m/>
    <m/>
    <m/>
    <m/>
    <m/>
    <m/>
  </r>
  <r>
    <n v="52"/>
    <x v="1"/>
    <m/>
    <x v="1"/>
    <x v="46"/>
    <d v="2017-06-02T00:00:00"/>
    <d v="2017-06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53"/>
    <x v="1"/>
    <m/>
    <x v="1"/>
    <x v="46"/>
    <d v="2017-06-06T00:00:00"/>
    <d v="2017-06-06T00:00:00"/>
    <n v="-10.9"/>
    <n v="10.9"/>
    <m/>
    <s v="PRLV SEPA CARDIF ASSURANCE VIE ECH/060617 ID EMETT"/>
    <s v="UIT_VL"/>
    <s v="VASTELASTEN"/>
    <s v="overlijdensverz"/>
    <m/>
    <m/>
    <m/>
    <m/>
    <m/>
    <m/>
    <m/>
    <m/>
    <m/>
    <m/>
  </r>
  <r>
    <n v="55"/>
    <x v="1"/>
    <m/>
    <x v="1"/>
    <x v="46"/>
    <d v="2017-06-20T00:00:00"/>
    <d v="2017-06-20T00:00:00"/>
    <n v="-4.55"/>
    <n v="4.55"/>
    <m/>
    <s v="FACTURE CARTE DU 180617 TUMMEE.COM MONT CARTE 4974XXXX"/>
    <s v="UIT_VL"/>
    <s v="VASTELASTEN"/>
    <s v="tummee"/>
    <m/>
    <m/>
    <m/>
    <m/>
    <m/>
    <m/>
    <m/>
    <m/>
    <m/>
    <m/>
  </r>
  <r>
    <n v="56"/>
    <x v="1"/>
    <m/>
    <x v="1"/>
    <x v="46"/>
    <d v="2017-06-23T00:00:00"/>
    <d v="2017-06-23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57"/>
    <x v="1"/>
    <m/>
    <x v="1"/>
    <x v="46"/>
    <d v="2017-06-27T00:00:00"/>
    <d v="2017-06-27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59"/>
    <x v="1"/>
    <m/>
    <x v="1"/>
    <x v="36"/>
    <d v="2017-07-04T00:00:00"/>
    <d v="2017-07-04T00:00:00"/>
    <n v="-14.44"/>
    <n v="14.44"/>
    <m/>
    <s v="FACTURE CARTE DU 020717 OMSTARS.COM OMS CARTE 4974XXXX"/>
    <s v="UIT_VL"/>
    <s v="VASTELASTEN"/>
    <s v="omstars"/>
    <m/>
    <m/>
    <m/>
    <m/>
    <m/>
    <m/>
    <m/>
    <m/>
    <m/>
    <m/>
  </r>
  <r>
    <n v="60"/>
    <x v="1"/>
    <m/>
    <x v="1"/>
    <x v="36"/>
    <d v="2017-07-04T00:00:00"/>
    <d v="2017-07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61"/>
    <x v="1"/>
    <m/>
    <x v="1"/>
    <x v="36"/>
    <d v="2017-07-05T00:00:00"/>
    <d v="2017-07-05T00:00:00"/>
    <n v="-10.9"/>
    <n v="10.9"/>
    <m/>
    <s v="PRLV SEPA CARDIF ASSURANCE VIE ECH/050717 ID EMETT"/>
    <s v="UIT_VL"/>
    <s v="VASTELASTEN"/>
    <s v="overlijdensverz"/>
    <m/>
    <m/>
    <m/>
    <m/>
    <m/>
    <m/>
    <m/>
    <m/>
    <m/>
    <m/>
  </r>
  <r>
    <n v="62"/>
    <x v="1"/>
    <m/>
    <x v="1"/>
    <x v="36"/>
    <d v="2017-07-20T00:00:00"/>
    <d v="2017-07-20T00:00:00"/>
    <n v="-42.38"/>
    <n v="42.38"/>
    <m/>
    <s v="PRLV SEPA PAYPAL EUROPE S.A.R.L. ET CIE S.C.A ECH/"/>
    <s v="UIT_VL"/>
    <s v="VASTELASTEN"/>
    <s v="tummee"/>
    <m/>
    <m/>
    <m/>
    <m/>
    <m/>
    <m/>
    <m/>
    <m/>
    <m/>
    <m/>
  </r>
  <r>
    <n v="63"/>
    <x v="1"/>
    <m/>
    <x v="1"/>
    <x v="36"/>
    <d v="2017-07-20T00:00:00"/>
    <d v="2017-07-20T00:00:00"/>
    <n v="-4.43"/>
    <n v="4.43"/>
    <m/>
    <s v="FACTURE CARTE DU 180717 TUMMEE.COM MONT CARTE 4974XXXX"/>
    <s v="UIT_VL"/>
    <s v="VASTELASTEN"/>
    <s v="tummee"/>
    <m/>
    <m/>
    <m/>
    <m/>
    <m/>
    <m/>
    <m/>
    <m/>
    <m/>
    <m/>
  </r>
  <r>
    <n v="64"/>
    <x v="1"/>
    <m/>
    <x v="1"/>
    <x v="36"/>
    <d v="2017-07-25T00:00:00"/>
    <d v="2017-07-25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65"/>
    <x v="1"/>
    <m/>
    <x v="1"/>
    <x v="36"/>
    <d v="2017-07-26T00:00:00"/>
    <d v="2017-07-26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66"/>
    <x v="1"/>
    <m/>
    <x v="1"/>
    <x v="47"/>
    <d v="2017-08-02T00:00:00"/>
    <d v="2017-08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68"/>
    <x v="1"/>
    <m/>
    <x v="1"/>
    <x v="47"/>
    <d v="2017-08-04T00:00:00"/>
    <d v="2017-08-04T00:00:00"/>
    <n v="-13.97"/>
    <n v="13.97"/>
    <m/>
    <s v="FACTURE CARTE DU 020817 OMSTARS SUBSCRI CARTE 4974XXXX"/>
    <s v="UIT_VL"/>
    <s v="VASTELASTEN"/>
    <s v="omstars"/>
    <m/>
    <m/>
    <m/>
    <m/>
    <m/>
    <m/>
    <m/>
    <m/>
    <m/>
    <m/>
  </r>
  <r>
    <n v="69"/>
    <x v="1"/>
    <m/>
    <x v="1"/>
    <x v="47"/>
    <d v="2017-08-07T00:00:00"/>
    <d v="2017-08-07T00:00:00"/>
    <n v="-10.9"/>
    <n v="10.9"/>
    <m/>
    <s v="PRLV SEPA CARDIF ASSURANCE VIE ECH/070817 ID EMETT"/>
    <s v="UIT_VL"/>
    <s v="VASTELASTEN"/>
    <s v="overlijdensverz"/>
    <m/>
    <m/>
    <m/>
    <m/>
    <m/>
    <m/>
    <m/>
    <m/>
    <m/>
    <m/>
  </r>
  <r>
    <n v="70"/>
    <x v="1"/>
    <m/>
    <x v="1"/>
    <x v="47"/>
    <d v="2017-08-23T00:00:00"/>
    <d v="2017-08-23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71"/>
    <x v="1"/>
    <m/>
    <x v="1"/>
    <x v="47"/>
    <d v="2017-08-29T00:00:00"/>
    <d v="2017-08-29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72"/>
    <x v="1"/>
    <m/>
    <x v="1"/>
    <x v="48"/>
    <d v="2017-09-04T00:00:00"/>
    <d v="2017-09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4"/>
    <x v="1"/>
    <m/>
    <x v="1"/>
    <x v="48"/>
    <d v="2017-09-05T00:00:00"/>
    <d v="2017-09-05T00:00:00"/>
    <n v="-10.9"/>
    <n v="10.9"/>
    <m/>
    <s v="PRLV SEPA CARDIF ASSURANCE VIE ECH/050917 ID EMETT"/>
    <s v="UIT_VL"/>
    <s v="VASTELASTEN"/>
    <s v="overlijdensverz"/>
    <m/>
    <m/>
    <m/>
    <m/>
    <m/>
    <m/>
    <m/>
    <m/>
    <m/>
    <m/>
  </r>
  <r>
    <n v="75"/>
    <x v="1"/>
    <m/>
    <x v="1"/>
    <x v="48"/>
    <d v="2017-09-25T00:00:00"/>
    <d v="2017-09-25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76"/>
    <x v="1"/>
    <m/>
    <x v="1"/>
    <x v="48"/>
    <d v="2017-09-28T00:00:00"/>
    <d v="2017-09-28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77"/>
    <x v="1"/>
    <m/>
    <x v="1"/>
    <x v="3"/>
    <d v="2017-10-03T00:00:00"/>
    <d v="2017-10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9"/>
    <x v="1"/>
    <m/>
    <x v="1"/>
    <x v="3"/>
    <d v="2017-10-05T00:00:00"/>
    <d v="2017-10-05T00:00:00"/>
    <n v="-10.9"/>
    <n v="10.9"/>
    <m/>
    <s v="PRLV SEPA CARDIF ASSURANCE VIE ECH/051017 ID EMETT"/>
    <s v="UIT_VL"/>
    <s v="VASTELASTEN"/>
    <s v="overlijdensverz"/>
    <m/>
    <m/>
    <m/>
    <m/>
    <m/>
    <m/>
    <m/>
    <m/>
    <m/>
    <m/>
  </r>
  <r>
    <n v="82"/>
    <x v="1"/>
    <m/>
    <x v="1"/>
    <x v="3"/>
    <d v="2017-10-24T00:00:00"/>
    <d v="2017-10-24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84"/>
    <x v="1"/>
    <m/>
    <x v="1"/>
    <x v="3"/>
    <d v="2017-10-31T00:00:00"/>
    <d v="2017-10-31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85"/>
    <x v="1"/>
    <m/>
    <x v="1"/>
    <x v="4"/>
    <d v="2017-11-03T00:00:00"/>
    <d v="2017-11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87"/>
    <x v="1"/>
    <m/>
    <x v="1"/>
    <x v="4"/>
    <d v="2017-11-06T00:00:00"/>
    <d v="2017-11-06T00:00:00"/>
    <n v="-10.9"/>
    <n v="10.9"/>
    <m/>
    <s v="PRLV SEPA CARDIF ASSURANCE VIE ECH/061117 ID EMETT"/>
    <s v="UIT_VL"/>
    <s v="VASTELASTEN"/>
    <s v="overlijdensverz"/>
    <m/>
    <m/>
    <m/>
    <m/>
    <m/>
    <m/>
    <m/>
    <m/>
    <m/>
    <m/>
  </r>
  <r>
    <n v="93"/>
    <x v="1"/>
    <m/>
    <x v="1"/>
    <x v="4"/>
    <d v="2017-11-23T00:00:00"/>
    <d v="2017-11-23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94"/>
    <x v="1"/>
    <m/>
    <x v="1"/>
    <x v="4"/>
    <d v="2017-11-30T00:00:00"/>
    <d v="2017-11-30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95"/>
    <x v="1"/>
    <m/>
    <x v="1"/>
    <x v="5"/>
    <d v="2017-12-04T00:00:00"/>
    <d v="2017-12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96"/>
    <x v="1"/>
    <m/>
    <x v="1"/>
    <x v="5"/>
    <d v="2017-12-05T00:00:00"/>
    <d v="2017-12-05T00:00:00"/>
    <n v="-10.9"/>
    <n v="10.9"/>
    <m/>
    <s v="PRLV SEPA CARDIF ASSURANCE VIE ECH/051217 ID EMETT"/>
    <s v="UIT_VL"/>
    <s v="VASTELASTEN"/>
    <s v="overlijdensverz"/>
    <m/>
    <m/>
    <m/>
    <m/>
    <m/>
    <m/>
    <m/>
    <m/>
    <m/>
    <m/>
  </r>
  <r>
    <n v="102"/>
    <x v="1"/>
    <m/>
    <x v="1"/>
    <x v="5"/>
    <d v="2017-12-28T00:00:00"/>
    <d v="2017-12-28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173"/>
    <x v="5"/>
    <m/>
    <x v="1"/>
    <x v="44"/>
    <d v="2017-04-17T00:00:00"/>
    <d v="2017-04-17T00:00:00"/>
    <n v="-10"/>
    <n v="10"/>
    <m/>
    <s v="beltegoed"/>
    <s v="UIT_VL"/>
    <s v="VASTELASTEN"/>
    <s v="internet_telefoon_it"/>
    <m/>
    <m/>
    <m/>
    <m/>
    <m/>
    <m/>
    <m/>
    <m/>
    <m/>
    <m/>
  </r>
  <r>
    <n v="250"/>
    <x v="5"/>
    <m/>
    <x v="1"/>
    <x v="45"/>
    <d v="2017-05-29T00:00:00"/>
    <d v="2017-05-29T00:00:00"/>
    <n v="-10"/>
    <n v="10"/>
    <m/>
    <s v="beltegoed kaart A"/>
    <s v="UIT_VL"/>
    <s v="VASTELASTEN"/>
    <s v="internet_telefoon_it"/>
    <m/>
    <m/>
    <m/>
    <m/>
    <m/>
    <m/>
    <m/>
    <m/>
    <m/>
    <m/>
  </r>
  <r>
    <n v="263"/>
    <x v="5"/>
    <m/>
    <x v="1"/>
    <x v="46"/>
    <d v="2017-06-10T00:00:00"/>
    <d v="2017-06-10T00:00:00"/>
    <n v="-10"/>
    <n v="10"/>
    <m/>
    <s v="beltegoed mobiel"/>
    <s v="UIT_VL"/>
    <s v="VASTELASTEN"/>
    <s v="internet_telefoon_it"/>
    <m/>
    <m/>
    <m/>
    <m/>
    <m/>
    <m/>
    <m/>
    <m/>
    <m/>
    <m/>
  </r>
  <r>
    <n v="283"/>
    <x v="5"/>
    <m/>
    <x v="1"/>
    <x v="46"/>
    <d v="2017-06-12T00:00:00"/>
    <d v="2017-06-12T00:00:00"/>
    <n v="-10"/>
    <n v="10"/>
    <m/>
    <s v="beltegoed19/6"/>
    <s v="UIT_VL"/>
    <s v="VASTELASTEN"/>
    <s v="internet_telefoon_it"/>
    <m/>
    <m/>
    <m/>
    <m/>
    <m/>
    <m/>
    <m/>
    <m/>
    <m/>
    <m/>
  </r>
  <r>
    <n v="296"/>
    <x v="5"/>
    <m/>
    <x v="1"/>
    <x v="46"/>
    <d v="2017-06-29T00:00:00"/>
    <d v="2017-06-29T00:00:00"/>
    <n v="-10"/>
    <n v="10"/>
    <m/>
    <s v="beltegoed"/>
    <s v="UIT_VL"/>
    <s v="VASTELASTEN"/>
    <s v="internet_telefoon_it"/>
    <m/>
    <m/>
    <m/>
    <m/>
    <m/>
    <m/>
    <m/>
    <m/>
    <m/>
    <m/>
  </r>
  <r>
    <n v="302"/>
    <x v="5"/>
    <m/>
    <x v="1"/>
    <x v="36"/>
    <d v="2017-07-05T00:00:00"/>
    <d v="2017-07-05T00:00:00"/>
    <n v="-10"/>
    <n v="10"/>
    <m/>
    <s v="beltegoed"/>
    <s v="UIT_VL"/>
    <s v="VASTELASTEN"/>
    <s v="internet_telefoon_it"/>
    <m/>
    <m/>
    <m/>
    <m/>
    <m/>
    <m/>
    <m/>
    <m/>
    <m/>
    <m/>
  </r>
  <r>
    <n v="313"/>
    <x v="5"/>
    <m/>
    <x v="1"/>
    <x v="36"/>
    <d v="2017-07-16T00:00:00"/>
    <d v="2017-07-16T00:00:00"/>
    <n v="-20"/>
    <n v="20"/>
    <m/>
    <s v="tre 25/7"/>
    <s v="UIT_VL"/>
    <s v="VASTELASTEN"/>
    <s v="internet_telefoon_it"/>
    <m/>
    <m/>
    <m/>
    <m/>
    <m/>
    <m/>
    <m/>
    <m/>
    <m/>
    <m/>
  </r>
  <r>
    <n v="338"/>
    <x v="5"/>
    <m/>
    <x v="1"/>
    <x v="47"/>
    <d v="2017-08-02T00:00:00"/>
    <d v="2017-08-02T00:00:00"/>
    <n v="-10"/>
    <n v="10"/>
    <m/>
    <s v="tre"/>
    <s v="UIT_VL"/>
    <s v="VASTELASTEN"/>
    <s v="internet_telefoon_it"/>
    <m/>
    <m/>
    <m/>
    <m/>
    <m/>
    <m/>
    <m/>
    <m/>
    <m/>
    <m/>
  </r>
  <r>
    <n v="346"/>
    <x v="5"/>
    <m/>
    <x v="1"/>
    <x v="47"/>
    <d v="2017-08-08T00:00:00"/>
    <d v="2017-08-08T00:00:00"/>
    <n v="-10"/>
    <n v="10"/>
    <m/>
    <s v="beltegoed"/>
    <s v="UIT_VL"/>
    <s v="VASTELASTEN"/>
    <s v="internet_telefoon_it"/>
    <m/>
    <m/>
    <m/>
    <m/>
    <m/>
    <m/>
    <m/>
    <m/>
    <m/>
    <m/>
  </r>
  <r>
    <n v="362"/>
    <x v="5"/>
    <m/>
    <x v="1"/>
    <x v="47"/>
    <d v="2017-08-21T00:00:00"/>
    <d v="2017-08-21T00:00:00"/>
    <n v="-30"/>
    <n v="30"/>
    <m/>
    <s v="beltegoed (10 set voor rob)"/>
    <s v="UIT_VL"/>
    <s v="VASTELASTEN"/>
    <s v="internet_telefoon_it"/>
    <m/>
    <m/>
    <m/>
    <m/>
    <m/>
    <m/>
    <m/>
    <m/>
    <m/>
    <m/>
  </r>
  <r>
    <n v="423"/>
    <x v="3"/>
    <m/>
    <x v="1"/>
    <x v="1"/>
    <d v="2017-01-04T00:00:00"/>
    <d v="2017-01-04T00:00:00"/>
    <n v="-4.5"/>
    <n v="4.5"/>
    <m/>
    <s v="Kosten"/>
    <s v="UIT_VL"/>
    <s v="VASTELASTEN"/>
    <s v="bankkosten"/>
    <m/>
    <m/>
    <m/>
    <m/>
    <m/>
    <m/>
    <m/>
    <m/>
    <m/>
    <m/>
  </r>
  <r>
    <n v="425"/>
    <x v="3"/>
    <m/>
    <x v="1"/>
    <x v="1"/>
    <d v="2017-01-23T00:00:00"/>
    <d v="2017-01-23T00:00:00"/>
    <n v="-62.9"/>
    <n v="62.9"/>
    <m/>
    <s v="NS GROEP IZ NS REIZIGERS"/>
    <s v="UIT_VL"/>
    <s v="VASTELASTEN"/>
    <s v="ovchipabo"/>
    <m/>
    <m/>
    <m/>
    <m/>
    <m/>
    <m/>
    <m/>
    <m/>
    <m/>
    <m/>
  </r>
  <r>
    <n v="426"/>
    <x v="3"/>
    <m/>
    <x v="1"/>
    <x v="1"/>
    <d v="2017-01-25T00:00:00"/>
    <d v="2017-01-25T00:00:00"/>
    <n v="-97.88"/>
    <n v="97.88"/>
    <m/>
    <s v="DUO Hoofdrekening"/>
    <s v="UIT_VL"/>
    <s v="VASTELASTEN"/>
    <s v="studieschuld"/>
    <m/>
    <m/>
    <m/>
    <m/>
    <m/>
    <m/>
    <m/>
    <m/>
    <m/>
    <m/>
  </r>
  <r>
    <n v="429"/>
    <x v="3"/>
    <m/>
    <x v="1"/>
    <x v="2"/>
    <d v="2017-02-03T00:00:00"/>
    <d v="2017-02-03T00:00:00"/>
    <n v="-4.5"/>
    <n v="4.5"/>
    <m/>
    <s v="Kosten"/>
    <s v="UIT_VL"/>
    <s v="VASTELASTEN"/>
    <s v="bankkosten"/>
    <m/>
    <m/>
    <m/>
    <m/>
    <m/>
    <m/>
    <m/>
    <m/>
    <m/>
    <m/>
  </r>
  <r>
    <n v="430"/>
    <x v="3"/>
    <m/>
    <x v="1"/>
    <x v="2"/>
    <d v="2017-02-07T00:00:00"/>
    <d v="2017-02-07T00:00:00"/>
    <n v="-16.5"/>
    <n v="16.5"/>
    <m/>
    <s v="Starthosting"/>
    <s v="UIT_VL"/>
    <s v="VASTELASTEN"/>
    <s v="internetsites"/>
    <m/>
    <m/>
    <m/>
    <m/>
    <m/>
    <m/>
    <m/>
    <m/>
    <m/>
    <m/>
  </r>
  <r>
    <n v="431"/>
    <x v="3"/>
    <m/>
    <x v="1"/>
    <x v="2"/>
    <d v="2017-02-22T00:00:00"/>
    <d v="2017-02-22T00:00:00"/>
    <n v="-16.5"/>
    <n v="16.5"/>
    <m/>
    <s v="Starthosting"/>
    <s v="UIT_VL"/>
    <s v="VASTELASTEN"/>
    <s v="internetsites"/>
    <m/>
    <m/>
    <m/>
    <m/>
    <m/>
    <m/>
    <m/>
    <m/>
    <m/>
    <m/>
  </r>
  <r>
    <n v="439"/>
    <x v="3"/>
    <m/>
    <x v="1"/>
    <x v="2"/>
    <d v="2017-02-27T00:00:00"/>
    <d v="2017-02-27T00:00:00"/>
    <n v="-97.88"/>
    <n v="97.88"/>
    <m/>
    <s v="DUO Hoofdrekening"/>
    <s v="UIT_VL"/>
    <s v="VASTELASTEN"/>
    <s v="studieschuld"/>
    <m/>
    <m/>
    <m/>
    <m/>
    <m/>
    <m/>
    <m/>
    <m/>
    <m/>
    <m/>
  </r>
  <r>
    <n v="450"/>
    <x v="3"/>
    <m/>
    <x v="1"/>
    <x v="43"/>
    <d v="2017-03-04T00:00:00"/>
    <d v="2017-03-04T00:00:00"/>
    <n v="-9"/>
    <n v="9"/>
    <m/>
    <s v="Kosten"/>
    <s v="UIT_VL"/>
    <s v="VASTELASTEN"/>
    <s v="bankkosten"/>
    <m/>
    <m/>
    <m/>
    <m/>
    <m/>
    <m/>
    <m/>
    <m/>
    <m/>
    <m/>
  </r>
  <r>
    <n v="456"/>
    <x v="3"/>
    <m/>
    <x v="1"/>
    <x v="43"/>
    <d v="2017-03-07T00:00:00"/>
    <d v="2017-03-07T00:00:00"/>
    <n v="4.5"/>
    <n v="4.5"/>
    <m/>
    <s v="Kosten"/>
    <s v="UIT_VL"/>
    <s v="VASTELASTEN"/>
    <s v="bankkosten"/>
    <m/>
    <m/>
    <m/>
    <m/>
    <m/>
    <m/>
    <m/>
    <m/>
    <m/>
    <m/>
  </r>
  <r>
    <n v="478"/>
    <x v="3"/>
    <m/>
    <x v="1"/>
    <x v="43"/>
    <d v="2017-03-14T00:00:00"/>
    <d v="2017-03-14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14"/>
    <x v="3"/>
    <m/>
    <x v="1"/>
    <x v="43"/>
    <d v="2017-03-23T00:00:00"/>
    <d v="2017-03-23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16"/>
    <x v="3"/>
    <m/>
    <x v="1"/>
    <x v="43"/>
    <d v="2017-03-27T00:00:00"/>
    <d v="2017-03-27T00:00:00"/>
    <n v="-97.88"/>
    <n v="97.88"/>
    <m/>
    <s v="DUO Hoofdrekening"/>
    <s v="UIT_VL"/>
    <s v="VASTELASTEN"/>
    <s v="studieschuld"/>
    <m/>
    <m/>
    <m/>
    <m/>
    <m/>
    <m/>
    <m/>
    <m/>
    <m/>
    <m/>
  </r>
  <r>
    <n v="523"/>
    <x v="3"/>
    <m/>
    <x v="1"/>
    <x v="43"/>
    <d v="2017-03-30T00:00:00"/>
    <d v="2017-03-30T00:00:00"/>
    <n v="-20"/>
    <n v="20"/>
    <m/>
    <s v="TRE                   \ROMA         \"/>
    <s v="UIT_VL"/>
    <s v="VASTELASTEN"/>
    <s v="internet_telefoon_it"/>
    <m/>
    <m/>
    <m/>
    <m/>
    <m/>
    <m/>
    <m/>
    <m/>
    <m/>
    <m/>
  </r>
  <r>
    <n v="524"/>
    <x v="3"/>
    <m/>
    <x v="1"/>
    <x v="43"/>
    <d v="2017-03-30T00:00:00"/>
    <d v="2017-03-30T00:00:00"/>
    <n v="-20"/>
    <n v="20"/>
    <m/>
    <s v="TRE                   \ROMA         \"/>
    <s v="UIT_VL"/>
    <s v="VASTELASTEN"/>
    <s v="internet_telefoon_it"/>
    <m/>
    <m/>
    <m/>
    <m/>
    <m/>
    <m/>
    <m/>
    <m/>
    <m/>
    <m/>
  </r>
  <r>
    <n v="525"/>
    <x v="3"/>
    <m/>
    <x v="1"/>
    <x v="43"/>
    <d v="2017-03-30T00:00:00"/>
    <d v="2017-03-30T00:00:00"/>
    <n v="-30"/>
    <n v="30"/>
    <m/>
    <s v="TRE                   \ROMA         \"/>
    <s v="UIT_VL"/>
    <s v="VASTELASTEN"/>
    <s v="internet_telefoon_it"/>
    <m/>
    <m/>
    <m/>
    <m/>
    <m/>
    <m/>
    <m/>
    <m/>
    <m/>
    <m/>
  </r>
  <r>
    <n v="531"/>
    <x v="3"/>
    <m/>
    <x v="1"/>
    <x v="44"/>
    <d v="2017-04-08T00:00:00"/>
    <d v="2017-04-08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536"/>
    <x v="3"/>
    <m/>
    <x v="1"/>
    <x v="44"/>
    <d v="2017-04-12T00:00:00"/>
    <d v="2017-04-12T00:00:00"/>
    <n v="-25"/>
    <n v="25"/>
    <m/>
    <s v="RET ONE SRL           \ROMA         \"/>
    <s v="UIT_VL"/>
    <s v="VASTELASTEN"/>
    <s v="internet_telefoon_it"/>
    <m/>
    <m/>
    <m/>
    <m/>
    <m/>
    <m/>
    <m/>
    <m/>
    <m/>
    <m/>
  </r>
  <r>
    <n v="540"/>
    <x v="3"/>
    <m/>
    <x v="1"/>
    <x v="44"/>
    <d v="2017-04-19T00:00:00"/>
    <d v="2017-04-19T00:00:00"/>
    <n v="-30"/>
    <n v="30"/>
    <m/>
    <s v="TRE                   \ROMA         \"/>
    <s v="UIT_VL"/>
    <s v="VASTELASTEN"/>
    <s v="internet_telefoon_it"/>
    <m/>
    <m/>
    <m/>
    <m/>
    <m/>
    <m/>
    <m/>
    <m/>
    <m/>
    <m/>
  </r>
  <r>
    <n v="543"/>
    <x v="3"/>
    <m/>
    <x v="1"/>
    <x v="44"/>
    <d v="2017-04-25T00:00:00"/>
    <d v="2017-04-25T00:00:00"/>
    <n v="-97.88"/>
    <n v="97.88"/>
    <m/>
    <s v="DUO Hoofdrekening"/>
    <s v="UIT_VL"/>
    <s v="VASTELASTEN"/>
    <s v="studieschuld"/>
    <m/>
    <m/>
    <m/>
    <m/>
    <m/>
    <m/>
    <m/>
    <m/>
    <m/>
    <m/>
  </r>
  <r>
    <n v="545"/>
    <x v="3"/>
    <m/>
    <x v="1"/>
    <x v="44"/>
    <d v="2017-04-27T00:00:00"/>
    <d v="2017-04-27T00:00:00"/>
    <n v="-327.37"/>
    <n v="327.37"/>
    <m/>
    <s v="NV UNIVE ZORG"/>
    <s v="UIT_VL"/>
    <s v="VASTELASTEN"/>
    <s v="zorgverzekering"/>
    <m/>
    <m/>
    <m/>
    <m/>
    <m/>
    <m/>
    <m/>
    <m/>
    <m/>
    <m/>
  </r>
  <r>
    <n v="546"/>
    <x v="3"/>
    <m/>
    <x v="1"/>
    <x v="44"/>
    <d v="2017-04-27T00:00:00"/>
    <d v="2017-04-27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53"/>
    <x v="3"/>
    <m/>
    <x v="1"/>
    <x v="45"/>
    <d v="2017-05-04T00:00:00"/>
    <d v="2017-05-04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554"/>
    <x v="3"/>
    <m/>
    <x v="1"/>
    <x v="45"/>
    <d v="2017-05-05T00:00:00"/>
    <d v="2017-05-05T00:00:00"/>
    <n v="-30"/>
    <n v="30"/>
    <m/>
    <s v="TRE                   \ROMA         \"/>
    <s v="UIT_VL"/>
    <s v="VASTELASTEN"/>
    <s v="internet_telefoon_it"/>
    <m/>
    <m/>
    <m/>
    <m/>
    <m/>
    <m/>
    <m/>
    <m/>
    <m/>
    <m/>
  </r>
  <r>
    <n v="555"/>
    <x v="3"/>
    <m/>
    <x v="1"/>
    <x v="45"/>
    <d v="2017-05-10T00:00:00"/>
    <d v="2017-05-10T00:00:00"/>
    <n v="-49.5"/>
    <n v="49.5"/>
    <m/>
    <s v="Starthosting"/>
    <s v="UIT_VL"/>
    <s v="VASTELASTEN"/>
    <s v="internetsites"/>
    <m/>
    <m/>
    <m/>
    <m/>
    <m/>
    <m/>
    <m/>
    <m/>
    <m/>
    <m/>
  </r>
  <r>
    <n v="562"/>
    <x v="3"/>
    <m/>
    <x v="1"/>
    <x v="45"/>
    <d v="2017-05-25T00:00:00"/>
    <d v="2017-05-25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63"/>
    <x v="3"/>
    <m/>
    <x v="1"/>
    <x v="45"/>
    <d v="2017-05-25T00:00:00"/>
    <d v="2017-05-25T00:00:00"/>
    <n v="-97.88"/>
    <n v="97.88"/>
    <m/>
    <s v="DUO Hoofdrekening"/>
    <s v="UIT_VL"/>
    <s v="VASTELASTEN"/>
    <s v="studieschuld"/>
    <m/>
    <m/>
    <m/>
    <m/>
    <m/>
    <m/>
    <m/>
    <m/>
    <m/>
    <m/>
  </r>
  <r>
    <n v="565"/>
    <x v="3"/>
    <m/>
    <x v="1"/>
    <x v="45"/>
    <d v="2017-05-29T00:00:00"/>
    <d v="2017-05-29T00:00:00"/>
    <n v="-101.25"/>
    <n v="101.25"/>
    <m/>
    <s v="NV UNIVE ZORG"/>
    <s v="UIT_VL"/>
    <s v="VASTELASTEN"/>
    <s v="zorgverzekering"/>
    <m/>
    <m/>
    <m/>
    <m/>
    <m/>
    <m/>
    <m/>
    <m/>
    <m/>
    <m/>
  </r>
  <r>
    <n v="567"/>
    <x v="3"/>
    <m/>
    <x v="1"/>
    <x v="46"/>
    <d v="2017-06-03T00:00:00"/>
    <d v="2017-06-03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574"/>
    <x v="3"/>
    <m/>
    <x v="1"/>
    <x v="46"/>
    <d v="2017-06-23T00:00:00"/>
    <d v="2017-06-23T00:00:00"/>
    <n v="-23"/>
    <n v="23"/>
    <m/>
    <s v="Starthosting"/>
    <s v="UIT_VL"/>
    <s v="VASTELASTEN"/>
    <s v="internetsites"/>
    <m/>
    <m/>
    <m/>
    <m/>
    <m/>
    <m/>
    <m/>
    <m/>
    <m/>
    <m/>
  </r>
  <r>
    <n v="575"/>
    <x v="3"/>
    <m/>
    <x v="1"/>
    <x v="46"/>
    <d v="2017-06-26T00:00:00"/>
    <d v="2017-06-26T00:00:00"/>
    <n v="-97.88"/>
    <n v="97.88"/>
    <m/>
    <s v="DUO Hoofdrekening"/>
    <s v="UIT_VL"/>
    <s v="VASTELASTEN"/>
    <s v="studieschuld"/>
    <m/>
    <m/>
    <m/>
    <m/>
    <m/>
    <m/>
    <m/>
    <m/>
    <m/>
    <m/>
  </r>
  <r>
    <n v="578"/>
    <x v="3"/>
    <m/>
    <x v="1"/>
    <x v="46"/>
    <d v="2017-06-27T00:00:00"/>
    <d v="2017-06-27T00:00:00"/>
    <n v="-101.25"/>
    <n v="101.25"/>
    <m/>
    <s v="NV UNIVE ZORG"/>
    <s v="UIT_VL"/>
    <s v="VASTELASTEN"/>
    <s v="zorgverzekering"/>
    <m/>
    <m/>
    <m/>
    <m/>
    <m/>
    <m/>
    <m/>
    <m/>
    <m/>
    <m/>
  </r>
  <r>
    <n v="579"/>
    <x v="3"/>
    <m/>
    <x v="1"/>
    <x v="46"/>
    <d v="2017-06-29T00:00:00"/>
    <d v="2017-06-29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83"/>
    <x v="3"/>
    <m/>
    <x v="1"/>
    <x v="36"/>
    <d v="2017-07-06T00:00:00"/>
    <d v="2017-07-06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586"/>
    <x v="3"/>
    <m/>
    <x v="1"/>
    <x v="36"/>
    <d v="2017-07-20T00:00:00"/>
    <d v="2017-07-20T00:00:00"/>
    <n v="532"/>
    <n v="532"/>
    <m/>
    <s v="BELASTINGDIENST"/>
    <s v="UIT_VL"/>
    <s v="VASTELASTEN"/>
    <s v="zorgtoeslag"/>
    <m/>
    <m/>
    <m/>
    <m/>
    <m/>
    <m/>
    <m/>
    <m/>
    <m/>
    <m/>
  </r>
  <r>
    <n v="588"/>
    <x v="3"/>
    <m/>
    <x v="1"/>
    <x v="36"/>
    <d v="2017-07-25T00:00:00"/>
    <d v="2017-07-25T00:00:00"/>
    <n v="-97.88"/>
    <n v="97.88"/>
    <m/>
    <s v="DUO Hoofdrekening"/>
    <s v="UIT_VL"/>
    <s v="VASTELASTEN"/>
    <s v="studieschuld"/>
    <m/>
    <m/>
    <m/>
    <m/>
    <m/>
    <m/>
    <m/>
    <m/>
    <m/>
    <m/>
  </r>
  <r>
    <n v="592"/>
    <x v="3"/>
    <m/>
    <x v="1"/>
    <x v="36"/>
    <d v="2017-07-27T00:00:00"/>
    <d v="2017-07-27T00:00:00"/>
    <n v="-3.7"/>
    <n v="3.7"/>
    <m/>
    <s v="UNIVE STAD EN LAND BV"/>
    <s v="UIT_VL"/>
    <s v="VASTELASTEN"/>
    <s v="avp verzekering"/>
    <m/>
    <m/>
    <m/>
    <m/>
    <m/>
    <m/>
    <m/>
    <m/>
    <m/>
    <m/>
  </r>
  <r>
    <n v="593"/>
    <x v="3"/>
    <m/>
    <x v="1"/>
    <x v="36"/>
    <d v="2017-07-27T00:00:00"/>
    <d v="2017-07-27T00:00:00"/>
    <n v="-101.25"/>
    <n v="101.25"/>
    <m/>
    <s v="NV UNIVE ZORG"/>
    <s v="UIT_VL"/>
    <s v="VASTELASTEN"/>
    <s v="zorgverzekering"/>
    <m/>
    <m/>
    <m/>
    <m/>
    <m/>
    <m/>
    <m/>
    <m/>
    <m/>
    <m/>
  </r>
  <r>
    <n v="596"/>
    <x v="3"/>
    <m/>
    <x v="1"/>
    <x v="47"/>
    <d v="2017-08-04T00:00:00"/>
    <d v="2017-08-04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603"/>
    <x v="3"/>
    <m/>
    <x v="1"/>
    <x v="47"/>
    <d v="2017-08-21T00:00:00"/>
    <d v="2017-08-21T00:00:00"/>
    <n v="89"/>
    <n v="89"/>
    <m/>
    <s v="BELASTINGDIENST"/>
    <s v="UIT_VL"/>
    <s v="VASTELASTEN"/>
    <s v="zorgtoeslag"/>
    <m/>
    <m/>
    <m/>
    <m/>
    <m/>
    <m/>
    <m/>
    <m/>
    <m/>
    <m/>
  </r>
  <r>
    <n v="605"/>
    <x v="3"/>
    <m/>
    <x v="1"/>
    <x v="47"/>
    <d v="2017-08-24T00:00:00"/>
    <d v="2017-08-24T00:00:00"/>
    <n v="-3.7"/>
    <n v="3.7"/>
    <m/>
    <s v="UNIVE STAD EN LAND BV"/>
    <s v="UIT_VL"/>
    <s v="VASTELASTEN"/>
    <s v="avp verzekering"/>
    <m/>
    <m/>
    <m/>
    <m/>
    <m/>
    <m/>
    <m/>
    <m/>
    <m/>
    <m/>
  </r>
  <r>
    <n v="608"/>
    <x v="3"/>
    <m/>
    <x v="1"/>
    <x v="47"/>
    <d v="2017-08-25T00:00:00"/>
    <d v="2017-08-25T00:00:00"/>
    <n v="-97.88"/>
    <n v="97.88"/>
    <m/>
    <s v="DUO Hoofdrekening"/>
    <s v="UIT_VL"/>
    <s v="VASTELASTEN"/>
    <s v="studieschuld"/>
    <m/>
    <m/>
    <m/>
    <m/>
    <m/>
    <m/>
    <m/>
    <m/>
    <m/>
    <m/>
  </r>
  <r>
    <n v="610"/>
    <x v="3"/>
    <m/>
    <x v="1"/>
    <x v="47"/>
    <d v="2017-08-28T00:00:00"/>
    <d v="2017-08-28T00:00:00"/>
    <n v="-101.25"/>
    <n v="101.25"/>
    <m/>
    <s v="NV UNIVE ZORG"/>
    <s v="UIT_VL"/>
    <s v="VASTELASTEN"/>
    <s v="zorgverzekering"/>
    <m/>
    <m/>
    <m/>
    <m/>
    <m/>
    <m/>
    <m/>
    <m/>
    <m/>
    <m/>
  </r>
  <r>
    <n v="612"/>
    <x v="3"/>
    <m/>
    <x v="1"/>
    <x v="48"/>
    <d v="2017-09-05T00:00:00"/>
    <d v="2017-09-05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620"/>
    <x v="3"/>
    <m/>
    <x v="1"/>
    <x v="48"/>
    <d v="2017-09-20T00:00:00"/>
    <d v="2017-09-20T00:00:00"/>
    <n v="89"/>
    <n v="89"/>
    <m/>
    <s v="BELASTINGDIENST"/>
    <s v="UIT_VL"/>
    <s v="VASTELASTEN"/>
    <s v="zorgtoeslag"/>
    <m/>
    <m/>
    <m/>
    <m/>
    <m/>
    <m/>
    <m/>
    <m/>
    <m/>
    <m/>
  </r>
  <r>
    <n v="623"/>
    <x v="3"/>
    <m/>
    <x v="1"/>
    <x v="48"/>
    <d v="2017-09-25T00:00:00"/>
    <d v="2017-09-25T00:00:00"/>
    <n v="-97.88"/>
    <n v="97.88"/>
    <m/>
    <s v="DUO Hoofdrekening"/>
    <s v="UIT_VL"/>
    <s v="VASTELASTEN"/>
    <s v="studieschuld"/>
    <m/>
    <m/>
    <m/>
    <m/>
    <m/>
    <m/>
    <m/>
    <m/>
    <m/>
    <m/>
  </r>
  <r>
    <n v="625"/>
    <x v="3"/>
    <m/>
    <x v="1"/>
    <x v="48"/>
    <d v="2017-09-27T00:00:00"/>
    <d v="2017-09-27T00:00:00"/>
    <n v="-3.7"/>
    <n v="3.7"/>
    <m/>
    <s v="UNIVE STAD EN LAND BV"/>
    <s v="UIT_VL"/>
    <s v="VASTELASTEN"/>
    <s v="avp verzekering"/>
    <m/>
    <m/>
    <m/>
    <m/>
    <m/>
    <m/>
    <m/>
    <m/>
    <m/>
    <m/>
  </r>
  <r>
    <n v="626"/>
    <x v="3"/>
    <m/>
    <x v="1"/>
    <x v="48"/>
    <d v="2017-09-27T00:00:00"/>
    <d v="2017-09-27T00:00:00"/>
    <n v="-101.25"/>
    <n v="101.25"/>
    <m/>
    <s v="NV UNIVE ZORG"/>
    <s v="UIT_VL"/>
    <s v="VASTELASTEN"/>
    <s v="zorgverzekering"/>
    <m/>
    <m/>
    <m/>
    <m/>
    <m/>
    <m/>
    <m/>
    <m/>
    <m/>
    <m/>
  </r>
  <r>
    <n v="629"/>
    <x v="3"/>
    <m/>
    <x v="1"/>
    <x v="3"/>
    <d v="2017-10-03T00:00:00"/>
    <d v="2017-10-03T00:00:00"/>
    <n v="-20"/>
    <n v="20"/>
    <m/>
    <s v="Belcompany Stadskana STADSKANAAL"/>
    <s v="UIT_VL"/>
    <s v="VASTELASTEN"/>
    <s v="internet_telefoon_nl"/>
    <m/>
    <m/>
    <m/>
    <m/>
    <m/>
    <m/>
    <m/>
    <m/>
    <m/>
    <m/>
  </r>
  <r>
    <n v="630"/>
    <x v="3"/>
    <m/>
    <x v="1"/>
    <x v="3"/>
    <d v="2017-10-05T00:00:00"/>
    <d v="2017-10-05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634"/>
    <x v="3"/>
    <m/>
    <x v="1"/>
    <x v="3"/>
    <d v="2017-10-09T00:00:00"/>
    <d v="2017-10-09T00:00:00"/>
    <n v="-72.599999999999994"/>
    <n v="72.599999999999994"/>
    <m/>
    <s v="VEVIDA BV"/>
    <s v="UIT_VL"/>
    <s v="VASTELASTEN"/>
    <s v="internetsites"/>
    <m/>
    <m/>
    <m/>
    <m/>
    <m/>
    <m/>
    <m/>
    <m/>
    <m/>
    <m/>
  </r>
  <r>
    <n v="664"/>
    <x v="3"/>
    <m/>
    <x v="1"/>
    <x v="3"/>
    <d v="2017-10-20T00:00:00"/>
    <d v="2017-10-20T00:00:00"/>
    <n v="89"/>
    <n v="89"/>
    <m/>
    <s v="BELASTINGDIENST"/>
    <s v="UIT_VL"/>
    <s v="VASTELASTEN"/>
    <s v="zorgtoeslag"/>
    <m/>
    <m/>
    <m/>
    <m/>
    <m/>
    <m/>
    <m/>
    <m/>
    <m/>
    <m/>
  </r>
  <r>
    <n v="680"/>
    <x v="3"/>
    <m/>
    <x v="1"/>
    <x v="3"/>
    <d v="2017-10-25T00:00:00"/>
    <d v="2017-10-25T00:00:00"/>
    <n v="-97.88"/>
    <n v="97.88"/>
    <m/>
    <s v="DUO Hoofdrekening"/>
    <s v="UIT_VL"/>
    <s v="VASTELASTEN"/>
    <s v="studieschuld"/>
    <m/>
    <m/>
    <m/>
    <m/>
    <m/>
    <m/>
    <m/>
    <m/>
    <m/>
    <m/>
  </r>
  <r>
    <n v="683"/>
    <x v="3"/>
    <m/>
    <x v="1"/>
    <x v="3"/>
    <d v="2017-10-27T00:00:00"/>
    <d v="2017-10-27T00:00:00"/>
    <n v="-101.25"/>
    <n v="101.25"/>
    <m/>
    <s v="NV UNIVE ZORG"/>
    <s v="UIT_VL"/>
    <s v="VASTELASTEN"/>
    <s v="zorgverzekering"/>
    <m/>
    <m/>
    <m/>
    <m/>
    <m/>
    <m/>
    <m/>
    <m/>
    <m/>
    <m/>
  </r>
  <r>
    <n v="701"/>
    <x v="3"/>
    <m/>
    <x v="1"/>
    <x v="4"/>
    <d v="2017-11-03T00:00:00"/>
    <d v="2017-11-03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703"/>
    <x v="3"/>
    <m/>
    <x v="1"/>
    <x v="4"/>
    <d v="2017-11-17T00:00:00"/>
    <d v="2017-11-17T00:00:00"/>
    <n v="-49.5"/>
    <n v="49.5"/>
    <m/>
    <s v="Starthosting"/>
    <s v="UIT_VL"/>
    <s v="VASTELASTEN"/>
    <s v="internetsites"/>
    <m/>
    <m/>
    <m/>
    <m/>
    <m/>
    <m/>
    <m/>
    <m/>
    <m/>
    <m/>
  </r>
  <r>
    <n v="704"/>
    <x v="3"/>
    <m/>
    <x v="1"/>
    <x v="4"/>
    <d v="2017-11-20T00:00:00"/>
    <d v="2017-11-20T00:00:00"/>
    <n v="89"/>
    <n v="89"/>
    <m/>
    <s v="BELASTINGDIENST"/>
    <s v="UIT_VL"/>
    <s v="VASTELASTEN"/>
    <s v="zorgtoeslag"/>
    <m/>
    <m/>
    <m/>
    <m/>
    <m/>
    <m/>
    <m/>
    <m/>
    <m/>
    <m/>
  </r>
  <r>
    <n v="706"/>
    <x v="3"/>
    <m/>
    <x v="1"/>
    <x v="4"/>
    <d v="2017-11-27T00:00:00"/>
    <d v="2017-11-27T00:00:00"/>
    <n v="-97.88"/>
    <n v="97.88"/>
    <m/>
    <s v="DUO Hoofdrekening"/>
    <s v="UIT_VL"/>
    <s v="VASTELASTEN"/>
    <s v="studieschuld"/>
    <m/>
    <m/>
    <m/>
    <m/>
    <m/>
    <m/>
    <m/>
    <m/>
    <m/>
    <m/>
  </r>
  <r>
    <n v="707"/>
    <x v="3"/>
    <m/>
    <x v="1"/>
    <x v="4"/>
    <d v="2017-11-27T00:00:00"/>
    <d v="2017-11-27T00:00:00"/>
    <n v="-101.25"/>
    <n v="101.25"/>
    <m/>
    <s v="NV UNIVE ZORG"/>
    <s v="UIT_VL"/>
    <s v="VASTELASTEN"/>
    <s v="zorgverzekering"/>
    <m/>
    <m/>
    <m/>
    <m/>
    <m/>
    <m/>
    <m/>
    <m/>
    <m/>
    <m/>
  </r>
  <r>
    <n v="709"/>
    <x v="3"/>
    <m/>
    <x v="1"/>
    <x v="5"/>
    <d v="2017-12-05T00:00:00"/>
    <d v="2017-12-05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712"/>
    <x v="3"/>
    <m/>
    <x v="1"/>
    <x v="5"/>
    <d v="2017-12-20T00:00:00"/>
    <d v="2017-12-20T00:00:00"/>
    <n v="94"/>
    <n v="94"/>
    <m/>
    <s v="BELASTINGDIENST"/>
    <s v="UIT_VL"/>
    <s v="VASTELASTEN"/>
    <s v="zorgtoeslag"/>
    <m/>
    <m/>
    <m/>
    <m/>
    <m/>
    <m/>
    <m/>
    <m/>
    <m/>
    <m/>
  </r>
  <r>
    <n v="714"/>
    <x v="3"/>
    <m/>
    <x v="1"/>
    <x v="5"/>
    <d v="2017-12-22T00:00:00"/>
    <d v="2017-12-22T00:00:00"/>
    <n v="-97.88"/>
    <n v="97.88"/>
    <m/>
    <s v="DUO Hoofdrekening"/>
    <s v="UIT_VL"/>
    <s v="VASTELASTEN"/>
    <s v="studieschuld"/>
    <m/>
    <m/>
    <m/>
    <m/>
    <m/>
    <m/>
    <m/>
    <m/>
    <m/>
    <m/>
  </r>
  <r>
    <n v="715"/>
    <x v="3"/>
    <m/>
    <x v="1"/>
    <x v="5"/>
    <d v="2017-12-27T00:00:00"/>
    <d v="2017-12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723"/>
    <x v="1"/>
    <m/>
    <x v="2"/>
    <x v="6"/>
    <d v="2018-01-03T00:00:00"/>
    <d v="2018-01-03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724"/>
    <x v="1"/>
    <m/>
    <x v="2"/>
    <x v="6"/>
    <d v="2018-01-03T00:00:00"/>
    <d v="2018-01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26"/>
    <x v="1"/>
    <m/>
    <x v="2"/>
    <x v="6"/>
    <d v="2018-01-05T00:00:00"/>
    <d v="2018-01-05T00:00:00"/>
    <n v="-10.9"/>
    <n v="10.9"/>
    <m/>
    <s v="PRLV SEPA CARDIF ASSURANCE VIE ECH/050118 ID EMETT"/>
    <s v="UIT_VL"/>
    <s v="VASTELASTEN"/>
    <s v="overlijdensverz"/>
    <m/>
    <m/>
    <m/>
    <m/>
    <m/>
    <m/>
    <m/>
    <m/>
    <m/>
    <m/>
  </r>
  <r>
    <n v="728"/>
    <x v="1"/>
    <m/>
    <x v="2"/>
    <x v="6"/>
    <d v="2018-01-22T00:00:00"/>
    <d v="2018-01-22T00:00:00"/>
    <n v="-7"/>
    <n v="7"/>
    <m/>
    <s v="FACTURE CARTE DU 210118 PAYPAL 0800 942 890 CARTE 4974"/>
    <s v="UIT_VL"/>
    <s v="VASTELASTEN"/>
    <s v="microsoft"/>
    <m/>
    <m/>
    <m/>
    <m/>
    <m/>
    <m/>
    <m/>
    <m/>
    <m/>
    <m/>
  </r>
  <r>
    <n v="729"/>
    <x v="1"/>
    <m/>
    <x v="2"/>
    <x v="9"/>
    <d v="2018-02-01T00:00:00"/>
    <d v="2018-02-01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730"/>
    <x v="1"/>
    <m/>
    <x v="2"/>
    <x v="9"/>
    <d v="2018-02-02T00:00:00"/>
    <d v="2018-02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31"/>
    <x v="1"/>
    <m/>
    <x v="2"/>
    <x v="9"/>
    <d v="2018-02-05T00:00:00"/>
    <d v="2018-02-05T00:00:00"/>
    <n v="-10.9"/>
    <n v="10.9"/>
    <m/>
    <s v="PRLV SEPA CARDIF ASSURANCE VIE ECH/050218 ID EMETT"/>
    <s v="UIT_VL"/>
    <s v="VASTELASTEN"/>
    <s v="overlijdensverz"/>
    <m/>
    <m/>
    <m/>
    <m/>
    <m/>
    <m/>
    <m/>
    <m/>
    <m/>
    <m/>
  </r>
  <r>
    <n v="733"/>
    <x v="1"/>
    <m/>
    <x v="2"/>
    <x v="9"/>
    <d v="2018-02-22T00:00:00"/>
    <d v="2018-02-22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734"/>
    <x v="1"/>
    <m/>
    <x v="2"/>
    <x v="10"/>
    <d v="2018-03-02T00:00:00"/>
    <d v="2018-03-02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735"/>
    <x v="1"/>
    <m/>
    <x v="2"/>
    <x v="6"/>
    <d v="2018-03-02T00:00:00"/>
    <d v="2018-03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36"/>
    <x v="1"/>
    <m/>
    <x v="2"/>
    <x v="10"/>
    <d v="2018-03-02T00:00:00"/>
    <d v="2018-03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37"/>
    <x v="1"/>
    <m/>
    <x v="2"/>
    <x v="10"/>
    <d v="2018-03-02T00:00:00"/>
    <d v="2018-03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738"/>
    <x v="1"/>
    <m/>
    <x v="2"/>
    <x v="10"/>
    <d v="2018-03-05T00:00:00"/>
    <d v="2018-03-05T00:00:00"/>
    <n v="-11.53"/>
    <n v="11.53"/>
    <m/>
    <s v="PRLV SEPA CARDIF ASSURANCE VIE ECH/050318 ID EMETT"/>
    <s v="UIT_VL"/>
    <s v="VASTELASTEN"/>
    <s v="overlijdensverz"/>
    <m/>
    <m/>
    <m/>
    <m/>
    <m/>
    <m/>
    <m/>
    <m/>
    <m/>
    <m/>
  </r>
  <r>
    <n v="741"/>
    <x v="1"/>
    <m/>
    <x v="2"/>
    <x v="10"/>
    <d v="2018-03-22T00:00:00"/>
    <d v="2018-03-22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742"/>
    <x v="1"/>
    <m/>
    <x v="2"/>
    <x v="49"/>
    <d v="2018-04-15T00:00:00"/>
    <d v="2018-04-15T00:00:00"/>
    <n v="-7"/>
    <n v="7"/>
    <m/>
    <s v="paypal"/>
    <s v="UIT_VL"/>
    <s v="VASTELASTEN"/>
    <s v="microsoft"/>
    <m/>
    <m/>
    <m/>
    <m/>
    <m/>
    <m/>
    <m/>
    <m/>
    <m/>
    <m/>
  </r>
  <r>
    <n v="743"/>
    <x v="1"/>
    <m/>
    <x v="2"/>
    <x v="49"/>
    <d v="2018-04-15T00:00:00"/>
    <d v="2018-04-15T00:00:00"/>
    <n v="-11.53"/>
    <n v="11.53"/>
    <m/>
    <s v="cardiff"/>
    <s v="UIT_VL"/>
    <s v="VASTELASTEN"/>
    <s v="overlijdensverz"/>
    <m/>
    <m/>
    <m/>
    <m/>
    <m/>
    <m/>
    <m/>
    <m/>
    <m/>
    <m/>
  </r>
  <r>
    <n v="744"/>
    <x v="1"/>
    <m/>
    <x v="2"/>
    <x v="49"/>
    <d v="2018-04-15T00:00:00"/>
    <d v="2018-04-15T00:00:00"/>
    <n v="-9.99"/>
    <n v="9.99"/>
    <m/>
    <s v="paypal"/>
    <s v="UIT_VL"/>
    <s v="VASTELASTEN"/>
    <s v="blendle"/>
    <m/>
    <m/>
    <m/>
    <m/>
    <m/>
    <m/>
    <m/>
    <m/>
    <m/>
    <m/>
  </r>
  <r>
    <n v="745"/>
    <x v="1"/>
    <m/>
    <x v="2"/>
    <x v="49"/>
    <d v="2018-04-15T00:00:00"/>
    <d v="2018-04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47"/>
    <x v="1"/>
    <m/>
    <x v="2"/>
    <x v="50"/>
    <d v="2018-05-15T00:00:00"/>
    <d v="2018-05-15T00:00:00"/>
    <n v="-7"/>
    <n v="7"/>
    <m/>
    <s v="paypal"/>
    <s v="UIT_VL"/>
    <s v="VASTELASTEN"/>
    <s v="microsoft"/>
    <m/>
    <m/>
    <m/>
    <m/>
    <m/>
    <m/>
    <m/>
    <m/>
    <m/>
    <m/>
  </r>
  <r>
    <n v="748"/>
    <x v="1"/>
    <m/>
    <x v="2"/>
    <x v="50"/>
    <d v="2018-05-15T00:00:00"/>
    <d v="2018-05-15T00:00:00"/>
    <n v="-11.53"/>
    <n v="11.53"/>
    <m/>
    <s v="cardiff"/>
    <s v="UIT_VL"/>
    <s v="VASTELASTEN"/>
    <s v="overlijdensverz"/>
    <m/>
    <m/>
    <m/>
    <m/>
    <m/>
    <m/>
    <m/>
    <m/>
    <m/>
    <m/>
  </r>
  <r>
    <n v="749"/>
    <x v="1"/>
    <m/>
    <x v="2"/>
    <x v="50"/>
    <d v="2018-05-15T00:00:00"/>
    <d v="2018-05-15T00:00:00"/>
    <n v="-9.99"/>
    <n v="9.99"/>
    <m/>
    <s v="paypal"/>
    <s v="UIT_VL"/>
    <s v="VASTELASTEN"/>
    <s v="blendle"/>
    <m/>
    <m/>
    <m/>
    <m/>
    <m/>
    <m/>
    <m/>
    <m/>
    <m/>
    <m/>
  </r>
  <r>
    <n v="750"/>
    <x v="1"/>
    <m/>
    <x v="2"/>
    <x v="50"/>
    <d v="2018-05-15T00:00:00"/>
    <d v="2018-05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52"/>
    <x v="1"/>
    <m/>
    <x v="2"/>
    <x v="51"/>
    <d v="2018-06-04T00:00:00"/>
    <d v="2018-06-04T00:00:00"/>
    <n v="26"/>
    <n v="26"/>
    <m/>
    <s v="bnp.net"/>
    <s v="UIT_VL"/>
    <s v="VASTELASTEN"/>
    <s v="bankkosten"/>
    <m/>
    <m/>
    <m/>
    <m/>
    <m/>
    <m/>
    <m/>
    <m/>
    <m/>
    <m/>
  </r>
  <r>
    <n v="753"/>
    <x v="1"/>
    <m/>
    <x v="2"/>
    <x v="51"/>
    <d v="2018-06-15T00:00:00"/>
    <d v="2018-06-15T00:00:00"/>
    <n v="-7"/>
    <n v="7"/>
    <m/>
    <s v="paypal"/>
    <s v="UIT_VL"/>
    <s v="VASTELASTEN"/>
    <s v="microsoft"/>
    <m/>
    <m/>
    <m/>
    <m/>
    <m/>
    <m/>
    <m/>
    <m/>
    <m/>
    <m/>
  </r>
  <r>
    <n v="754"/>
    <x v="1"/>
    <m/>
    <x v="2"/>
    <x v="51"/>
    <d v="2018-06-15T00:00:00"/>
    <d v="2018-06-15T00:00:00"/>
    <n v="-11.53"/>
    <n v="11.53"/>
    <m/>
    <s v="cardiff"/>
    <s v="UIT_VL"/>
    <s v="VASTELASTEN"/>
    <s v="overlijdensverz"/>
    <m/>
    <m/>
    <m/>
    <m/>
    <m/>
    <m/>
    <m/>
    <m/>
    <m/>
    <m/>
  </r>
  <r>
    <n v="755"/>
    <x v="1"/>
    <m/>
    <x v="2"/>
    <x v="51"/>
    <d v="2018-06-15T00:00:00"/>
    <d v="2018-06-15T00:00:00"/>
    <n v="-9.99"/>
    <n v="9.99"/>
    <m/>
    <s v="paypal"/>
    <s v="UIT_VL"/>
    <s v="VASTELASTEN"/>
    <s v="blendle"/>
    <m/>
    <m/>
    <m/>
    <m/>
    <m/>
    <m/>
    <m/>
    <m/>
    <m/>
    <m/>
  </r>
  <r>
    <n v="756"/>
    <x v="1"/>
    <m/>
    <x v="2"/>
    <x v="51"/>
    <d v="2018-06-15T00:00:00"/>
    <d v="2018-06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58"/>
    <x v="1"/>
    <m/>
    <x v="2"/>
    <x v="52"/>
    <d v="2018-07-15T00:00:00"/>
    <d v="2018-07-15T00:00:00"/>
    <n v="-7"/>
    <n v="7"/>
    <m/>
    <s v="paypal"/>
    <s v="UIT_VL"/>
    <s v="VASTELASTEN"/>
    <s v="microsoft"/>
    <m/>
    <m/>
    <m/>
    <m/>
    <m/>
    <m/>
    <m/>
    <m/>
    <m/>
    <m/>
  </r>
  <r>
    <n v="759"/>
    <x v="1"/>
    <m/>
    <x v="2"/>
    <x v="52"/>
    <d v="2018-07-15T00:00:00"/>
    <d v="2018-07-15T00:00:00"/>
    <n v="-11.53"/>
    <n v="11.53"/>
    <m/>
    <s v="cardiff"/>
    <s v="UIT_VL"/>
    <s v="VASTELASTEN"/>
    <s v="overlijdensverz"/>
    <m/>
    <m/>
    <m/>
    <m/>
    <m/>
    <m/>
    <m/>
    <m/>
    <m/>
    <m/>
  </r>
  <r>
    <n v="760"/>
    <x v="1"/>
    <m/>
    <x v="2"/>
    <x v="52"/>
    <d v="2018-07-15T00:00:00"/>
    <d v="2018-07-15T00:00:00"/>
    <n v="-9.99"/>
    <n v="9.99"/>
    <m/>
    <s v="paypal"/>
    <s v="UIT_VL"/>
    <s v="VASTELASTEN"/>
    <s v="blendle"/>
    <m/>
    <m/>
    <m/>
    <m/>
    <m/>
    <m/>
    <m/>
    <m/>
    <m/>
    <m/>
  </r>
  <r>
    <n v="761"/>
    <x v="1"/>
    <m/>
    <x v="2"/>
    <x v="52"/>
    <d v="2018-07-15T00:00:00"/>
    <d v="2018-07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63"/>
    <x v="1"/>
    <m/>
    <x v="2"/>
    <x v="52"/>
    <d v="2018-07-15T00:00:00"/>
    <d v="2018-07-15T00:00:00"/>
    <n v="10"/>
    <n v="10"/>
    <m/>
    <s v="paypal"/>
    <s v="UIT_VL"/>
    <s v="VASTELASTEN"/>
    <s v="internet_telefoon_it"/>
    <m/>
    <m/>
    <m/>
    <m/>
    <m/>
    <m/>
    <m/>
    <m/>
    <m/>
    <m/>
  </r>
  <r>
    <n v="764"/>
    <x v="1"/>
    <m/>
    <x v="2"/>
    <x v="52"/>
    <d v="2018-07-15T00:00:00"/>
    <d v="2018-07-15T00:00:00"/>
    <n v="5"/>
    <n v="5"/>
    <m/>
    <s v="paypal"/>
    <s v="UIT_VL"/>
    <s v="VASTELASTEN"/>
    <s v="internet_telefoon_it"/>
    <m/>
    <m/>
    <m/>
    <m/>
    <m/>
    <m/>
    <m/>
    <m/>
    <m/>
    <m/>
  </r>
  <r>
    <n v="765"/>
    <x v="1"/>
    <m/>
    <x v="2"/>
    <x v="37"/>
    <d v="2018-08-15T00:00:00"/>
    <d v="2018-08-15T00:00:00"/>
    <n v="-7"/>
    <n v="7"/>
    <m/>
    <s v="paypal"/>
    <s v="UIT_VL"/>
    <s v="VASTELASTEN"/>
    <s v="microsoft"/>
    <m/>
    <m/>
    <m/>
    <m/>
    <m/>
    <m/>
    <m/>
    <m/>
    <m/>
    <m/>
  </r>
  <r>
    <n v="766"/>
    <x v="1"/>
    <m/>
    <x v="2"/>
    <x v="37"/>
    <d v="2018-08-15T00:00:00"/>
    <d v="2018-08-15T00:00:00"/>
    <n v="-11.53"/>
    <n v="11.53"/>
    <m/>
    <s v="cardiff"/>
    <s v="UIT_VL"/>
    <s v="VASTELASTEN"/>
    <s v="overlijdensverz"/>
    <m/>
    <m/>
    <m/>
    <m/>
    <m/>
    <m/>
    <m/>
    <m/>
    <m/>
    <m/>
  </r>
  <r>
    <n v="767"/>
    <x v="1"/>
    <m/>
    <x v="2"/>
    <x v="37"/>
    <d v="2018-08-15T00:00:00"/>
    <d v="2018-08-15T00:00:00"/>
    <n v="-9.99"/>
    <n v="9.99"/>
    <m/>
    <s v="paypal"/>
    <s v="UIT_VL"/>
    <s v="VASTELASTEN"/>
    <s v="blendle"/>
    <m/>
    <m/>
    <m/>
    <m/>
    <m/>
    <m/>
    <m/>
    <m/>
    <m/>
    <m/>
  </r>
  <r>
    <n v="768"/>
    <x v="1"/>
    <m/>
    <x v="2"/>
    <x v="37"/>
    <d v="2018-08-15T00:00:00"/>
    <d v="2018-08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70"/>
    <x v="1"/>
    <m/>
    <x v="2"/>
    <x v="37"/>
    <d v="2018-08-15T00:00:00"/>
    <d v="2018-08-15T00:00:00"/>
    <n v="-1.99"/>
    <n v="1.99"/>
    <m/>
    <s v="paypal"/>
    <s v="UIT_VL"/>
    <s v="VASTELASTEN"/>
    <s v="google storage"/>
    <m/>
    <m/>
    <m/>
    <m/>
    <m/>
    <m/>
    <m/>
    <m/>
    <m/>
    <m/>
  </r>
  <r>
    <n v="771"/>
    <x v="1"/>
    <m/>
    <x v="2"/>
    <x v="37"/>
    <d v="2018-08-15T00:00:00"/>
    <d v="2018-08-15T00:00:00"/>
    <n v="10"/>
    <n v="10"/>
    <m/>
    <s v="paypal"/>
    <s v="UIT_VL"/>
    <s v="VASTELASTEN"/>
    <s v="internet_telefoon_it"/>
    <m/>
    <m/>
    <m/>
    <m/>
    <m/>
    <m/>
    <m/>
    <m/>
    <m/>
    <m/>
  </r>
  <r>
    <n v="772"/>
    <x v="1"/>
    <m/>
    <x v="2"/>
    <x v="12"/>
    <d v="2018-09-15T00:00:00"/>
    <d v="2018-09-15T00:00:00"/>
    <n v="-7"/>
    <n v="7"/>
    <m/>
    <s v="paypal"/>
    <s v="UIT_VL"/>
    <s v="VASTELASTEN"/>
    <s v="microsoft"/>
    <m/>
    <m/>
    <m/>
    <m/>
    <m/>
    <m/>
    <m/>
    <m/>
    <m/>
    <m/>
  </r>
  <r>
    <n v="773"/>
    <x v="1"/>
    <m/>
    <x v="2"/>
    <x v="12"/>
    <d v="2018-09-15T00:00:00"/>
    <d v="2018-09-15T00:00:00"/>
    <n v="-11.53"/>
    <n v="11.53"/>
    <m/>
    <s v="cardiff"/>
    <s v="UIT_VL"/>
    <s v="VASTELASTEN"/>
    <s v="overlijdensverz"/>
    <m/>
    <m/>
    <m/>
    <m/>
    <m/>
    <m/>
    <m/>
    <m/>
    <m/>
    <m/>
  </r>
  <r>
    <n v="774"/>
    <x v="1"/>
    <m/>
    <x v="2"/>
    <x v="12"/>
    <d v="2018-09-15T00:00:00"/>
    <d v="2018-09-15T00:00:00"/>
    <n v="-9.99"/>
    <n v="9.99"/>
    <m/>
    <s v="paypal"/>
    <s v="UIT_VL"/>
    <s v="VASTELASTEN"/>
    <s v="blendle"/>
    <m/>
    <m/>
    <m/>
    <m/>
    <m/>
    <m/>
    <m/>
    <m/>
    <m/>
    <m/>
  </r>
  <r>
    <n v="775"/>
    <x v="1"/>
    <m/>
    <x v="2"/>
    <x v="12"/>
    <d v="2018-09-15T00:00:00"/>
    <d v="2018-09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76"/>
    <x v="1"/>
    <m/>
    <x v="2"/>
    <x v="12"/>
    <d v="2018-09-15T00:00:00"/>
    <d v="2018-09-15T00:00:00"/>
    <n v="-1.99"/>
    <n v="1.99"/>
    <m/>
    <s v="paypal"/>
    <s v="UIT_VL"/>
    <s v="VASTELASTEN"/>
    <s v="google storage"/>
    <m/>
    <m/>
    <m/>
    <m/>
    <m/>
    <m/>
    <m/>
    <m/>
    <m/>
    <m/>
  </r>
  <r>
    <n v="777"/>
    <x v="1"/>
    <m/>
    <x v="2"/>
    <x v="12"/>
    <d v="2018-09-15T00:00:00"/>
    <d v="2018-09-15T00:00:00"/>
    <n v="-4.99"/>
    <n v="4.99"/>
    <m/>
    <s v="paypal"/>
    <s v="UIT_VL"/>
    <s v="VASTELASTEN"/>
    <s v="medium"/>
    <m/>
    <m/>
    <m/>
    <m/>
    <m/>
    <m/>
    <m/>
    <m/>
    <m/>
    <m/>
  </r>
  <r>
    <n v="779"/>
    <x v="1"/>
    <m/>
    <x v="2"/>
    <x v="11"/>
    <d v="2018-10-15T00:00:00"/>
    <d v="2018-10-15T00:00:00"/>
    <n v="-7"/>
    <n v="7"/>
    <m/>
    <s v="paypal"/>
    <s v="UIT_VL"/>
    <s v="VASTELASTEN"/>
    <s v="microsoft"/>
    <m/>
    <m/>
    <m/>
    <m/>
    <m/>
    <m/>
    <m/>
    <m/>
    <m/>
    <m/>
  </r>
  <r>
    <n v="780"/>
    <x v="1"/>
    <m/>
    <x v="2"/>
    <x v="11"/>
    <d v="2018-10-15T00:00:00"/>
    <d v="2018-10-15T00:00:00"/>
    <n v="-11.53"/>
    <n v="11.53"/>
    <m/>
    <s v="cardiff"/>
    <s v="UIT_VL"/>
    <s v="VASTELASTEN"/>
    <s v="overlijdensverz"/>
    <m/>
    <m/>
    <m/>
    <m/>
    <m/>
    <m/>
    <m/>
    <m/>
    <m/>
    <m/>
  </r>
  <r>
    <n v="781"/>
    <x v="1"/>
    <m/>
    <x v="2"/>
    <x v="11"/>
    <d v="2018-10-15T00:00:00"/>
    <d v="2018-10-15T00:00:00"/>
    <n v="-9.99"/>
    <n v="9.99"/>
    <m/>
    <s v="paypal"/>
    <s v="UIT_VL"/>
    <s v="VASTELASTEN"/>
    <s v="blendle"/>
    <m/>
    <m/>
    <m/>
    <m/>
    <m/>
    <m/>
    <m/>
    <m/>
    <m/>
    <m/>
  </r>
  <r>
    <n v="782"/>
    <x v="1"/>
    <m/>
    <x v="2"/>
    <x v="11"/>
    <d v="2018-10-15T00:00:00"/>
    <d v="2018-10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783"/>
    <x v="1"/>
    <m/>
    <x v="2"/>
    <x v="11"/>
    <d v="2018-10-15T00:00:00"/>
    <d v="2018-10-15T00:00:00"/>
    <n v="-39"/>
    <n v="39"/>
    <m/>
    <s v="gravit"/>
    <s v="UIT_VL"/>
    <s v="VASTELASTEN"/>
    <s v="gravit"/>
    <m/>
    <m/>
    <m/>
    <m/>
    <m/>
    <m/>
    <m/>
    <m/>
    <m/>
    <m/>
  </r>
  <r>
    <n v="784"/>
    <x v="1"/>
    <m/>
    <x v="2"/>
    <x v="11"/>
    <d v="2018-10-15T00:00:00"/>
    <d v="2018-10-15T00:00:00"/>
    <n v="-4.99"/>
    <n v="4.99"/>
    <m/>
    <s v="paypal"/>
    <s v="UIT_VL"/>
    <s v="VASTELASTEN"/>
    <s v="medium"/>
    <m/>
    <m/>
    <m/>
    <m/>
    <m/>
    <m/>
    <m/>
    <m/>
    <m/>
    <m/>
  </r>
  <r>
    <n v="800"/>
    <x v="1"/>
    <m/>
    <x v="2"/>
    <x v="7"/>
    <d v="2018-11-15T00:00:00"/>
    <d v="2018-11-15T00:00:00"/>
    <n v="-7"/>
    <n v="7"/>
    <m/>
    <s v="paypal"/>
    <s v="UIT_VL"/>
    <s v="VASTELASTEN"/>
    <s v="microsoft"/>
    <m/>
    <m/>
    <m/>
    <m/>
    <m/>
    <m/>
    <m/>
    <m/>
    <m/>
    <m/>
  </r>
  <r>
    <n v="801"/>
    <x v="1"/>
    <m/>
    <x v="2"/>
    <x v="7"/>
    <d v="2018-11-15T00:00:00"/>
    <d v="2018-11-15T00:00:00"/>
    <n v="-11.53"/>
    <n v="11.53"/>
    <m/>
    <s v="cardiff"/>
    <s v="UIT_VL"/>
    <s v="VASTELASTEN"/>
    <s v="overlijdensverz"/>
    <m/>
    <m/>
    <m/>
    <m/>
    <m/>
    <m/>
    <m/>
    <m/>
    <m/>
    <m/>
  </r>
  <r>
    <n v="802"/>
    <x v="1"/>
    <m/>
    <x v="2"/>
    <x v="7"/>
    <d v="2018-11-15T00:00:00"/>
    <d v="2018-11-15T00:00:00"/>
    <n v="-9.99"/>
    <n v="9.99"/>
    <m/>
    <s v="paypal"/>
    <s v="UIT_VL"/>
    <s v="VASTELASTEN"/>
    <s v="blendle"/>
    <m/>
    <m/>
    <m/>
    <m/>
    <m/>
    <m/>
    <m/>
    <m/>
    <m/>
    <m/>
  </r>
  <r>
    <n v="803"/>
    <x v="1"/>
    <m/>
    <x v="2"/>
    <x v="7"/>
    <d v="2018-11-15T00:00:00"/>
    <d v="2018-11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804"/>
    <x v="1"/>
    <m/>
    <x v="2"/>
    <x v="7"/>
    <d v="2018-11-15T00:00:00"/>
    <d v="2018-11-15T00:00:00"/>
    <n v="-4.99"/>
    <n v="4.99"/>
    <m/>
    <s v="paypal"/>
    <s v="UIT_VL"/>
    <s v="VASTELASTEN"/>
    <s v="medium"/>
    <m/>
    <m/>
    <m/>
    <m/>
    <m/>
    <m/>
    <m/>
    <m/>
    <m/>
    <m/>
  </r>
  <r>
    <n v="805"/>
    <x v="1"/>
    <m/>
    <x v="2"/>
    <x v="7"/>
    <d v="2018-11-15T00:00:00"/>
    <d v="2018-11-15T00:00:00"/>
    <n v="-1.99"/>
    <n v="1.99"/>
    <m/>
    <s v="paypal"/>
    <s v="UIT_VL"/>
    <s v="VASTELASTEN"/>
    <s v="google storage"/>
    <m/>
    <m/>
    <m/>
    <m/>
    <m/>
    <m/>
    <m/>
    <m/>
    <m/>
    <m/>
  </r>
  <r>
    <n v="808"/>
    <x v="1"/>
    <m/>
    <x v="2"/>
    <x v="8"/>
    <d v="2018-12-01T00:00:00"/>
    <d v="2018-12-01T00:00:00"/>
    <n v="39"/>
    <n v="39"/>
    <m/>
    <s v="paypall remboursement gravit"/>
    <s v="UIT_VL"/>
    <s v="VASTELASTEN"/>
    <s v="gravit"/>
    <m/>
    <m/>
    <m/>
    <m/>
    <m/>
    <m/>
    <m/>
    <m/>
    <m/>
    <m/>
  </r>
  <r>
    <n v="809"/>
    <x v="1"/>
    <m/>
    <x v="2"/>
    <x v="8"/>
    <d v="2018-12-01T00:00:00"/>
    <d v="2018-12-01T00:00:00"/>
    <n v="-17.420000000000002"/>
    <n v="17.420000000000002"/>
    <m/>
    <s v="gravit"/>
    <s v="UIT_VL"/>
    <s v="VASTELASTEN"/>
    <s v="gravit"/>
    <m/>
    <m/>
    <m/>
    <m/>
    <m/>
    <m/>
    <m/>
    <m/>
    <m/>
    <m/>
  </r>
  <r>
    <n v="810"/>
    <x v="1"/>
    <m/>
    <x v="2"/>
    <x v="8"/>
    <d v="2018-12-15T00:00:00"/>
    <d v="2018-12-15T00:00:00"/>
    <n v="-7"/>
    <n v="7"/>
    <m/>
    <s v="paypal"/>
    <s v="UIT_VL"/>
    <s v="VASTELASTEN"/>
    <s v="microsoft"/>
    <m/>
    <m/>
    <m/>
    <m/>
    <m/>
    <m/>
    <m/>
    <m/>
    <m/>
    <m/>
  </r>
  <r>
    <n v="811"/>
    <x v="1"/>
    <m/>
    <x v="2"/>
    <x v="8"/>
    <d v="2018-12-15T00:00:00"/>
    <d v="2018-12-15T00:00:00"/>
    <n v="-11.53"/>
    <n v="11.53"/>
    <m/>
    <s v="cardiff"/>
    <s v="UIT_VL"/>
    <s v="VASTELASTEN"/>
    <s v="overlijdensverz"/>
    <m/>
    <m/>
    <m/>
    <m/>
    <m/>
    <m/>
    <m/>
    <m/>
    <m/>
    <m/>
  </r>
  <r>
    <n v="812"/>
    <x v="1"/>
    <m/>
    <x v="2"/>
    <x v="8"/>
    <d v="2018-12-15T00:00:00"/>
    <d v="2018-12-15T00:00:00"/>
    <n v="-9.99"/>
    <n v="9.99"/>
    <m/>
    <s v="paypal"/>
    <s v="UIT_VL"/>
    <s v="VASTELASTEN"/>
    <s v="blendle"/>
    <m/>
    <m/>
    <m/>
    <m/>
    <m/>
    <m/>
    <m/>
    <m/>
    <m/>
    <m/>
  </r>
  <r>
    <n v="813"/>
    <x v="1"/>
    <m/>
    <x v="2"/>
    <x v="8"/>
    <d v="2018-12-15T00:00:00"/>
    <d v="2018-12-15T00:00:00"/>
    <n v="-8.7799999999999994"/>
    <n v="8.7799999999999994"/>
    <m/>
    <s v="esprit libre"/>
    <s v="UIT_VL"/>
    <s v="VASTELASTEN"/>
    <s v="bankkosten"/>
    <m/>
    <m/>
    <m/>
    <m/>
    <m/>
    <m/>
    <m/>
    <m/>
    <m/>
    <m/>
  </r>
  <r>
    <n v="814"/>
    <x v="1"/>
    <m/>
    <x v="2"/>
    <x v="8"/>
    <d v="2018-12-15T00:00:00"/>
    <d v="2018-12-15T00:00:00"/>
    <n v="-4.99"/>
    <n v="4.99"/>
    <m/>
    <s v="paypal"/>
    <s v="UIT_VL"/>
    <s v="VASTELASTEN"/>
    <s v="medium"/>
    <m/>
    <m/>
    <m/>
    <m/>
    <m/>
    <m/>
    <m/>
    <m/>
    <m/>
    <m/>
  </r>
  <r>
    <n v="815"/>
    <x v="1"/>
    <m/>
    <x v="2"/>
    <x v="8"/>
    <d v="2018-12-15T00:00:00"/>
    <d v="2018-12-15T00:00:00"/>
    <n v="-1.99"/>
    <n v="1.99"/>
    <m/>
    <s v="paypal"/>
    <s v="UIT_VL"/>
    <s v="VASTELASTEN"/>
    <s v="google storage"/>
    <m/>
    <m/>
    <m/>
    <m/>
    <m/>
    <m/>
    <m/>
    <m/>
    <m/>
    <m/>
  </r>
  <r>
    <n v="818"/>
    <x v="10"/>
    <m/>
    <x v="2"/>
    <x v="10"/>
    <d v="2018-03-29T00:00:00"/>
    <d v="2018-03-29T00:00:00"/>
    <n v="-10"/>
    <n v="10"/>
    <m/>
    <s v="CANONE ANNUO CONTESTUALE A VENDITA 29/03/2018 12.44 ROMA 183"/>
    <s v="UIT_VL"/>
    <s v="VASTELASTEN"/>
    <s v="bankkosten"/>
    <m/>
    <m/>
    <m/>
    <m/>
    <m/>
    <m/>
    <m/>
    <m/>
    <m/>
    <m/>
  </r>
  <r>
    <n v="819"/>
    <x v="10"/>
    <m/>
    <x v="2"/>
    <x v="52"/>
    <d v="2018-07-10T00:00:00"/>
    <d v="2018-07-10T00:00:00"/>
    <n v="-24.45"/>
    <n v="24.45"/>
    <m/>
    <s v="ADDEBITO DIRETTO PREAUTORIZZATO VODAFONE (CCB CID.IT200010000093026890017 100718 MAN.SMTRCN77M23Z217Q"/>
    <s v="UIT_VL"/>
    <s v="VASTELASTEN"/>
    <s v="internet_telefoon_it"/>
    <m/>
    <m/>
    <m/>
    <m/>
    <m/>
    <m/>
    <m/>
    <m/>
    <m/>
    <m/>
  </r>
  <r>
    <n v="820"/>
    <x v="10"/>
    <m/>
    <x v="2"/>
    <x v="12"/>
    <d v="2018-09-10T00:00:00"/>
    <d v="2018-09-10T00:00:00"/>
    <n v="-92.62"/>
    <n v="92.62"/>
    <m/>
    <s v="ADDEBITO DIRETTO PREAUTORIZZATO VODAFONE (CCB CID.IT200010000093026890017 100918 MAN.SMTRCN77M23Z217Q"/>
    <s v="UIT_VL"/>
    <s v="VASTELASTEN"/>
    <s v="internet_telefoon_it"/>
    <m/>
    <m/>
    <m/>
    <m/>
    <m/>
    <m/>
    <m/>
    <m/>
    <m/>
    <m/>
  </r>
  <r>
    <n v="821"/>
    <x v="10"/>
    <m/>
    <x v="2"/>
    <x v="7"/>
    <d v="2018-11-08T00:00:00"/>
    <d v="2018-11-08T00:00:00"/>
    <n v="-149.63"/>
    <n v="149.63"/>
    <m/>
    <s v="ADDEBITO DIRETTO PREAUTORIZZATO VODAFONE (CCB CID.IT200010000093026890017 081118 MAN.SMTRCN77M23Z217Q"/>
    <s v="UIT_VL"/>
    <s v="VASTELASTEN"/>
    <s v="internet_telefoon_it"/>
    <m/>
    <m/>
    <m/>
    <m/>
    <m/>
    <m/>
    <m/>
    <m/>
    <m/>
    <m/>
  </r>
  <r>
    <n v="839"/>
    <x v="5"/>
    <m/>
    <x v="2"/>
    <x v="10"/>
    <d v="2018-03-09T00:00:00"/>
    <d v="2018-03-09T00:00:00"/>
    <n v="-50"/>
    <n v="50"/>
    <m/>
    <s v="poste prepay"/>
    <s v="UIT_VL"/>
    <s v="VASTELASTEN"/>
    <s v="internet_telefoon_it"/>
    <m/>
    <m/>
    <m/>
    <m/>
    <m/>
    <m/>
    <m/>
    <m/>
    <m/>
    <m/>
  </r>
  <r>
    <n v="932"/>
    <x v="5"/>
    <m/>
    <x v="2"/>
    <x v="50"/>
    <d v="2018-05-15T00:00:00"/>
    <d v="2018-05-15T00:00:00"/>
    <n v="-10"/>
    <n v="10"/>
    <m/>
    <s v="beltegoed"/>
    <s v="UIT_VL"/>
    <s v="VASTELASTEN"/>
    <s v="internet_telefoon_it"/>
    <m/>
    <m/>
    <m/>
    <m/>
    <m/>
    <m/>
    <m/>
    <m/>
    <m/>
    <m/>
  </r>
  <r>
    <n v="1081"/>
    <x v="5"/>
    <m/>
    <x v="2"/>
    <x v="12"/>
    <d v="2018-09-01T00:00:00"/>
    <d v="2018-09-01T00:00:00"/>
    <n v="20"/>
    <n v="20"/>
    <m/>
    <s v="retour rob internet"/>
    <s v="UIT_VL"/>
    <s v="VASTELASTEN"/>
    <s v="internet_telefoon_it"/>
    <m/>
    <m/>
    <m/>
    <m/>
    <m/>
    <m/>
    <m/>
    <m/>
    <m/>
    <m/>
  </r>
  <r>
    <n v="1119"/>
    <x v="3"/>
    <m/>
    <x v="2"/>
    <x v="6"/>
    <d v="2018-01-04T00:00:00"/>
    <d v="2018-01-04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1120"/>
    <x v="3"/>
    <m/>
    <x v="2"/>
    <x v="6"/>
    <d v="2018-01-22T00:00:00"/>
    <d v="2018-01-22T00:00:00"/>
    <n v="-63.7"/>
    <n v="63.7"/>
    <m/>
    <s v="NS GROEP IZ NS REIZIGERS"/>
    <s v="UIT_VL"/>
    <s v="VASTELASTEN"/>
    <s v="ovchipabo"/>
    <m/>
    <m/>
    <m/>
    <m/>
    <m/>
    <m/>
    <m/>
    <m/>
    <m/>
    <m/>
  </r>
  <r>
    <n v="1121"/>
    <x v="3"/>
    <m/>
    <x v="2"/>
    <x v="6"/>
    <d v="2018-01-22T00:00:00"/>
    <d v="2018-01-22T00:00:00"/>
    <n v="95"/>
    <n v="95"/>
    <m/>
    <s v="BELASTINGDIENST"/>
    <s v="UIT_VL"/>
    <s v="VASTELASTEN"/>
    <s v="zorgtoeslag"/>
    <m/>
    <m/>
    <m/>
    <m/>
    <m/>
    <m/>
    <m/>
    <m/>
    <m/>
    <m/>
  </r>
  <r>
    <n v="1122"/>
    <x v="3"/>
    <m/>
    <x v="2"/>
    <x v="6"/>
    <d v="2018-01-25T00:00:00"/>
    <d v="2018-01-25T00:00:00"/>
    <n v="-97.87"/>
    <n v="97.87"/>
    <m/>
    <s v="DUO Hoofdrekening"/>
    <s v="UIT_VL"/>
    <s v="VASTELASTEN"/>
    <s v="studieschuld"/>
    <m/>
    <m/>
    <m/>
    <m/>
    <m/>
    <m/>
    <m/>
    <m/>
    <m/>
    <m/>
  </r>
  <r>
    <n v="1124"/>
    <x v="3"/>
    <m/>
    <x v="2"/>
    <x v="6"/>
    <d v="2018-01-29T00:00:00"/>
    <d v="2018-01-29T00:00:00"/>
    <n v="-103.45"/>
    <n v="103.45"/>
    <m/>
    <s v="NV UNIVE ZORG"/>
    <s v="UIT_VL"/>
    <s v="VASTELASTEN"/>
    <s v="zorgverzekering"/>
    <m/>
    <m/>
    <m/>
    <m/>
    <m/>
    <m/>
    <m/>
    <m/>
    <m/>
    <m/>
  </r>
  <r>
    <n v="1125"/>
    <x v="3"/>
    <m/>
    <x v="2"/>
    <x v="9"/>
    <d v="2018-02-04T00:00:00"/>
    <d v="2018-02-04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1126"/>
    <x v="3"/>
    <m/>
    <x v="2"/>
    <x v="9"/>
    <d v="2018-02-06T00:00:00"/>
    <d v="2018-02-06T00:00:00"/>
    <n v="-38.909999999999997"/>
    <n v="38.909999999999997"/>
    <m/>
    <s v="YOUR HOSTING B.V."/>
    <s v="UIT_VL"/>
    <s v="VASTELASTEN"/>
    <s v="internetsites"/>
    <m/>
    <m/>
    <m/>
    <m/>
    <m/>
    <m/>
    <m/>
    <m/>
    <m/>
    <m/>
  </r>
  <r>
    <n v="1129"/>
    <x v="3"/>
    <m/>
    <x v="2"/>
    <x v="9"/>
    <d v="2018-02-20T00:00:00"/>
    <d v="2018-02-20T00:00:00"/>
    <n v="-20"/>
    <n v="20"/>
    <m/>
    <s v="Vesta Payment Solutions"/>
    <s v="UIT_VL"/>
    <s v="VASTELASTEN"/>
    <s v="internet_telefoon_nl"/>
    <m/>
    <m/>
    <m/>
    <m/>
    <m/>
    <m/>
    <m/>
    <m/>
    <m/>
    <m/>
  </r>
  <r>
    <n v="1130"/>
    <x v="3"/>
    <m/>
    <x v="2"/>
    <x v="9"/>
    <d v="2018-02-20T00:00:00"/>
    <d v="2018-02-20T00:00:00"/>
    <n v="95"/>
    <n v="95"/>
    <m/>
    <s v="BELASTINGDIENST"/>
    <s v="UIT_VL"/>
    <s v="VASTELASTEN"/>
    <s v="zorgtoeslag"/>
    <m/>
    <m/>
    <m/>
    <m/>
    <m/>
    <m/>
    <m/>
    <m/>
    <m/>
    <m/>
  </r>
  <r>
    <n v="1133"/>
    <x v="3"/>
    <m/>
    <x v="2"/>
    <x v="9"/>
    <d v="2018-02-26T00:00:00"/>
    <d v="2018-02-26T00:00:00"/>
    <n v="-97.87"/>
    <n v="97.87"/>
    <m/>
    <s v="DUO Hoofdrekening"/>
    <s v="UIT_VL"/>
    <s v="VASTELASTEN"/>
    <s v="studieschuld"/>
    <m/>
    <m/>
    <m/>
    <m/>
    <m/>
    <m/>
    <m/>
    <m/>
    <m/>
    <m/>
  </r>
  <r>
    <n v="1134"/>
    <x v="3"/>
    <m/>
    <x v="2"/>
    <x v="9"/>
    <d v="2018-02-27T00:00:00"/>
    <d v="2018-02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143"/>
    <x v="3"/>
    <m/>
    <x v="2"/>
    <x v="10"/>
    <d v="2018-03-03T00:00:00"/>
    <d v="2018-03-03T00:00:00"/>
    <n v="-4.5999999999999996"/>
    <n v="4.5999999999999996"/>
    <m/>
    <s v="Kosten"/>
    <s v="UIT_VL"/>
    <s v="VASTELASTEN"/>
    <s v="bankkosten"/>
    <m/>
    <m/>
    <m/>
    <m/>
    <m/>
    <m/>
    <m/>
    <m/>
    <m/>
    <m/>
  </r>
  <r>
    <n v="1150"/>
    <x v="3"/>
    <m/>
    <x v="2"/>
    <x v="10"/>
    <d v="2018-03-07T00:00:00"/>
    <d v="2018-03-07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174"/>
    <x v="3"/>
    <m/>
    <x v="2"/>
    <x v="10"/>
    <d v="2018-03-19T00:00:00"/>
    <d v="2018-03-19T00:00:00"/>
    <n v="-10"/>
    <n v="10"/>
    <m/>
    <s v="Vesta Payment Solutions"/>
    <s v="UIT_VL"/>
    <s v="VASTELASTEN"/>
    <s v="internet_telefoon_nl"/>
    <m/>
    <m/>
    <m/>
    <m/>
    <m/>
    <m/>
    <m/>
    <m/>
    <m/>
    <m/>
  </r>
  <r>
    <n v="1175"/>
    <x v="3"/>
    <m/>
    <x v="2"/>
    <x v="10"/>
    <d v="2018-03-20T00:00:00"/>
    <d v="2018-03-20T00:00:00"/>
    <n v="95"/>
    <n v="95"/>
    <m/>
    <s v="BELASTINGDIENST"/>
    <s v="UIT_VL"/>
    <s v="VASTELASTEN"/>
    <s v="zorgtoeslag"/>
    <m/>
    <m/>
    <m/>
    <m/>
    <m/>
    <m/>
    <m/>
    <m/>
    <m/>
    <m/>
  </r>
  <r>
    <n v="1184"/>
    <x v="3"/>
    <m/>
    <x v="2"/>
    <x v="10"/>
    <d v="2018-03-26T00:00:00"/>
    <d v="2018-03-26T00:00:00"/>
    <n v="-97.87"/>
    <n v="97.87"/>
    <m/>
    <s v="DUO Hoofdrekening"/>
    <s v="UIT_VL"/>
    <s v="VASTELASTEN"/>
    <s v="studieschuld"/>
    <m/>
    <m/>
    <m/>
    <m/>
    <m/>
    <m/>
    <m/>
    <m/>
    <m/>
    <m/>
  </r>
  <r>
    <n v="1186"/>
    <x v="3"/>
    <m/>
    <x v="2"/>
    <x v="10"/>
    <d v="2018-03-27T00:00:00"/>
    <d v="2018-03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189"/>
    <x v="3"/>
    <m/>
    <x v="2"/>
    <x v="10"/>
    <d v="2018-03-28T00:00:00"/>
    <d v="2018-03-28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190"/>
    <x v="3"/>
    <m/>
    <x v="2"/>
    <x v="10"/>
    <d v="2018-03-28T00:00:00"/>
    <d v="2018-03-28T00:00:00"/>
    <n v="-30"/>
    <n v="30"/>
    <m/>
    <s v="VODAFONE STORE ROMA ITA"/>
    <s v="UIT_VL"/>
    <s v="VASTELASTEN"/>
    <s v="internet_telefoon_it"/>
    <m/>
    <m/>
    <m/>
    <m/>
    <m/>
    <m/>
    <m/>
    <m/>
    <m/>
    <m/>
  </r>
  <r>
    <n v="1195"/>
    <x v="3"/>
    <m/>
    <x v="2"/>
    <x v="49"/>
    <d v="2018-04-15T00:00:00"/>
    <d v="2018-04-15T00:00:00"/>
    <n v="-10"/>
    <n v="10"/>
    <m/>
    <s v="beltegoed"/>
    <s v="UIT_VL"/>
    <s v="VASTELASTEN"/>
    <s v="internet_telefoon_it"/>
    <m/>
    <m/>
    <m/>
    <m/>
    <m/>
    <m/>
    <m/>
    <m/>
    <m/>
    <m/>
  </r>
  <r>
    <n v="1196"/>
    <x v="3"/>
    <m/>
    <x v="2"/>
    <x v="49"/>
    <d v="2018-04-15T00:00:00"/>
    <d v="2018-04-15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197"/>
    <x v="3"/>
    <m/>
    <x v="2"/>
    <x v="49"/>
    <d v="2018-04-15T00:00:00"/>
    <d v="2018-04-15T00:00:00"/>
    <n v="-103.45"/>
    <n v="103.45"/>
    <m/>
    <s v="unive zorg"/>
    <s v="UIT_VL"/>
    <s v="VASTELASTEN"/>
    <s v="zorgverzekering"/>
    <m/>
    <m/>
    <m/>
    <m/>
    <m/>
    <m/>
    <m/>
    <m/>
    <m/>
    <m/>
  </r>
  <r>
    <n v="1198"/>
    <x v="3"/>
    <m/>
    <x v="2"/>
    <x v="49"/>
    <d v="2018-04-15T00:00:00"/>
    <d v="2018-04-15T00:00:00"/>
    <n v="-97.87"/>
    <n v="97.87"/>
    <m/>
    <s v="DUO Hoofdrekening"/>
    <s v="UIT_VL"/>
    <s v="VASTELASTEN"/>
    <s v="studieschuld"/>
    <m/>
    <m/>
    <m/>
    <m/>
    <m/>
    <m/>
    <m/>
    <m/>
    <m/>
    <m/>
  </r>
  <r>
    <n v="1200"/>
    <x v="3"/>
    <m/>
    <x v="2"/>
    <x v="49"/>
    <d v="2018-04-15T00:00:00"/>
    <d v="2018-04-15T00:00:00"/>
    <n v="95"/>
    <n v="95"/>
    <m/>
    <s v="BELASTINGDIENST"/>
    <s v="UIT_VL"/>
    <s v="VASTELASTEN"/>
    <s v="zorgtoeslag"/>
    <m/>
    <m/>
    <m/>
    <m/>
    <m/>
    <m/>
    <m/>
    <m/>
    <m/>
    <m/>
  </r>
  <r>
    <n v="1201"/>
    <x v="3"/>
    <m/>
    <x v="2"/>
    <x v="49"/>
    <d v="2018-04-15T00:00:00"/>
    <d v="2018-04-15T00:00:00"/>
    <n v="-4.7"/>
    <n v="4.7"/>
    <m/>
    <s v="kosten"/>
    <s v="UIT_VL"/>
    <s v="VASTELASTEN"/>
    <s v="bankkosten"/>
    <m/>
    <m/>
    <m/>
    <m/>
    <m/>
    <m/>
    <m/>
    <m/>
    <m/>
    <m/>
  </r>
  <r>
    <n v="1217"/>
    <x v="3"/>
    <m/>
    <x v="2"/>
    <x v="50"/>
    <d v="2018-05-15T00:00:00"/>
    <d v="2018-05-15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218"/>
    <x v="3"/>
    <m/>
    <x v="2"/>
    <x v="50"/>
    <d v="2018-05-15T00:00:00"/>
    <d v="2018-05-15T00:00:00"/>
    <n v="-103.45"/>
    <n v="103.45"/>
    <m/>
    <s v="unive zorg"/>
    <s v="UIT_VL"/>
    <s v="VASTELASTEN"/>
    <s v="zorgverzekering"/>
    <m/>
    <m/>
    <m/>
    <m/>
    <m/>
    <m/>
    <m/>
    <m/>
    <m/>
    <m/>
  </r>
  <r>
    <n v="1219"/>
    <x v="3"/>
    <m/>
    <x v="2"/>
    <x v="50"/>
    <d v="2018-05-15T00:00:00"/>
    <d v="2018-05-15T00:00:00"/>
    <n v="-97.87"/>
    <n v="97.87"/>
    <m/>
    <s v="DUO Hoofdrekening"/>
    <s v="UIT_VL"/>
    <s v="VASTELASTEN"/>
    <s v="studieschuld"/>
    <m/>
    <m/>
    <m/>
    <m/>
    <m/>
    <m/>
    <m/>
    <m/>
    <m/>
    <m/>
  </r>
  <r>
    <n v="1221"/>
    <x v="3"/>
    <m/>
    <x v="2"/>
    <x v="50"/>
    <d v="2018-05-15T00:00:00"/>
    <d v="2018-05-15T00:00:00"/>
    <n v="95"/>
    <n v="95"/>
    <m/>
    <s v="BELASTINGDIENST"/>
    <s v="UIT_VL"/>
    <s v="VASTELASTEN"/>
    <s v="zorgtoeslag"/>
    <m/>
    <m/>
    <m/>
    <m/>
    <m/>
    <m/>
    <m/>
    <m/>
    <m/>
    <m/>
  </r>
  <r>
    <n v="1223"/>
    <x v="3"/>
    <m/>
    <x v="2"/>
    <x v="50"/>
    <d v="2018-05-15T00:00:00"/>
    <d v="2018-05-15T00:00:00"/>
    <n v="-4.7"/>
    <n v="4.7"/>
    <m/>
    <s v="kosten"/>
    <s v="UIT_VL"/>
    <s v="VASTELASTEN"/>
    <s v="bankkosten"/>
    <m/>
    <m/>
    <m/>
    <m/>
    <m/>
    <m/>
    <m/>
    <m/>
    <m/>
    <m/>
  </r>
  <r>
    <n v="1225"/>
    <x v="3"/>
    <m/>
    <x v="2"/>
    <x v="50"/>
    <d v="2018-05-15T00:00:00"/>
    <d v="2018-05-15T00:00:00"/>
    <n v="-49.43"/>
    <n v="49.43"/>
    <m/>
    <s v="yourhosting"/>
    <s v="UIT_VL"/>
    <s v="VASTELASTEN"/>
    <s v="internetsites"/>
    <m/>
    <m/>
    <m/>
    <m/>
    <m/>
    <m/>
    <m/>
    <m/>
    <m/>
    <m/>
  </r>
  <r>
    <n v="1228"/>
    <x v="3"/>
    <m/>
    <x v="2"/>
    <x v="51"/>
    <d v="2018-06-05T00:00:00"/>
    <d v="2018-06-05T00:00:00"/>
    <n v="-4.7"/>
    <n v="4.7"/>
    <m/>
    <s v="Kosten"/>
    <s v="UIT_VL"/>
    <s v="VASTELASTEN"/>
    <s v="bankkosten"/>
    <m/>
    <m/>
    <m/>
    <m/>
    <m/>
    <m/>
    <m/>
    <m/>
    <m/>
    <m/>
  </r>
  <r>
    <n v="1233"/>
    <x v="3"/>
    <m/>
    <x v="2"/>
    <x v="51"/>
    <d v="2018-06-18T00:00:00"/>
    <d v="2018-06-18T00:00:00"/>
    <n v="-10"/>
    <n v="10"/>
    <m/>
    <s v="VODAFONE ONE ROMA ITA"/>
    <s v="UIT_VL"/>
    <s v="VASTELASTEN"/>
    <s v="internet_telefoon_it"/>
    <m/>
    <m/>
    <m/>
    <m/>
    <m/>
    <m/>
    <m/>
    <m/>
    <m/>
    <m/>
  </r>
  <r>
    <n v="1235"/>
    <x v="3"/>
    <m/>
    <x v="2"/>
    <x v="51"/>
    <d v="2018-06-20T00:00:00"/>
    <d v="2018-06-20T00:00:00"/>
    <n v="95"/>
    <n v="95"/>
    <m/>
    <s v="BELASTINGDIENST"/>
    <s v="UIT_VL"/>
    <s v="VASTELASTEN"/>
    <s v="zorgtoeslag"/>
    <m/>
    <m/>
    <m/>
    <m/>
    <m/>
    <m/>
    <m/>
    <m/>
    <m/>
    <m/>
  </r>
  <r>
    <n v="1238"/>
    <x v="3"/>
    <m/>
    <x v="2"/>
    <x v="51"/>
    <d v="2018-06-25T00:00:00"/>
    <d v="2018-06-25T00:00:00"/>
    <n v="-97.87"/>
    <n v="97.87"/>
    <m/>
    <s v="DUO Hoofdrekening"/>
    <s v="UIT_VL"/>
    <s v="VASTELASTEN"/>
    <s v="studieschuld"/>
    <m/>
    <m/>
    <m/>
    <m/>
    <m/>
    <m/>
    <m/>
    <m/>
    <m/>
    <m/>
  </r>
  <r>
    <n v="1240"/>
    <x v="3"/>
    <m/>
    <x v="2"/>
    <x v="51"/>
    <d v="2018-06-27T00:00:00"/>
    <d v="2018-06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241"/>
    <x v="3"/>
    <m/>
    <x v="2"/>
    <x v="51"/>
    <d v="2018-06-28T00:00:00"/>
    <d v="2018-06-28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244"/>
    <x v="3"/>
    <m/>
    <x v="2"/>
    <x v="52"/>
    <d v="2018-07-04T00:00:00"/>
    <d v="2018-07-04T00:00:00"/>
    <n v="-0.6"/>
    <n v="0.6"/>
    <m/>
    <s v="Kosten"/>
    <s v="UIT_VL"/>
    <s v="VASTELASTEN"/>
    <s v="bankkosten"/>
    <m/>
    <m/>
    <m/>
    <m/>
    <m/>
    <m/>
    <m/>
    <m/>
    <m/>
    <m/>
  </r>
  <r>
    <n v="1245"/>
    <x v="3"/>
    <m/>
    <x v="2"/>
    <x v="52"/>
    <d v="2018-07-04T00:00:00"/>
    <d v="2018-07-04T00:00:00"/>
    <n v="-4.7"/>
    <n v="4.7"/>
    <m/>
    <s v="Kosten"/>
    <s v="UIT_VL"/>
    <s v="VASTELASTEN"/>
    <s v="bankkosten"/>
    <m/>
    <m/>
    <m/>
    <m/>
    <m/>
    <m/>
    <m/>
    <m/>
    <m/>
    <m/>
  </r>
  <r>
    <n v="1246"/>
    <x v="3"/>
    <m/>
    <x v="2"/>
    <x v="52"/>
    <d v="2018-07-05T00:00:00"/>
    <d v="2018-07-05T00:00:00"/>
    <n v="-24.91"/>
    <n v="24.91"/>
    <m/>
    <s v="Your Hosting B.V."/>
    <s v="UIT_VL"/>
    <s v="VASTELASTEN"/>
    <s v="internetsites"/>
    <m/>
    <m/>
    <m/>
    <m/>
    <m/>
    <m/>
    <m/>
    <m/>
    <m/>
    <m/>
  </r>
  <r>
    <n v="1249"/>
    <x v="3"/>
    <m/>
    <x v="2"/>
    <x v="52"/>
    <d v="2018-07-20T00:00:00"/>
    <d v="2018-07-20T00:00:00"/>
    <n v="95"/>
    <n v="95"/>
    <m/>
    <s v="BELASTINGDIENST"/>
    <s v="UIT_VL"/>
    <s v="VASTELASTEN"/>
    <s v="zorgtoeslag"/>
    <m/>
    <m/>
    <m/>
    <m/>
    <m/>
    <m/>
    <m/>
    <m/>
    <m/>
    <m/>
  </r>
  <r>
    <n v="1251"/>
    <x v="3"/>
    <m/>
    <x v="2"/>
    <x v="52"/>
    <d v="2018-07-25T00:00:00"/>
    <d v="2018-07-25T00:00:00"/>
    <n v="-97.87"/>
    <n v="97.87"/>
    <m/>
    <s v="DUO Hoofdrekening"/>
    <s v="UIT_VL"/>
    <s v="VASTELASTEN"/>
    <s v="studieschuld"/>
    <m/>
    <m/>
    <m/>
    <m/>
    <m/>
    <m/>
    <m/>
    <m/>
    <m/>
    <m/>
  </r>
  <r>
    <n v="1252"/>
    <x v="3"/>
    <m/>
    <x v="2"/>
    <x v="52"/>
    <d v="2018-07-25T00:00:00"/>
    <d v="2018-07-25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255"/>
    <x v="3"/>
    <m/>
    <x v="2"/>
    <x v="52"/>
    <d v="2018-07-27T00:00:00"/>
    <d v="2018-07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258"/>
    <x v="3"/>
    <m/>
    <x v="2"/>
    <x v="37"/>
    <d v="2018-08-02T00:00:00"/>
    <d v="2018-08-02T00:00:00"/>
    <n v="1"/>
    <n v="1"/>
    <m/>
    <s v="BELASTINGDIENST"/>
    <s v="UIT_VL"/>
    <s v="VASTELASTEN"/>
    <s v="zorgtoeslag"/>
    <m/>
    <m/>
    <m/>
    <m/>
    <m/>
    <m/>
    <m/>
    <m/>
    <m/>
    <m/>
  </r>
  <r>
    <n v="1259"/>
    <x v="3"/>
    <m/>
    <x v="2"/>
    <x v="37"/>
    <d v="2018-08-03T00:00:00"/>
    <d v="2018-08-03T00:00:00"/>
    <n v="-0.6"/>
    <n v="0.6"/>
    <m/>
    <s v="Kosten"/>
    <s v="UIT_VL"/>
    <s v="VASTELASTEN"/>
    <s v="bankkosten"/>
    <m/>
    <m/>
    <m/>
    <m/>
    <m/>
    <m/>
    <m/>
    <m/>
    <m/>
    <m/>
  </r>
  <r>
    <n v="1260"/>
    <x v="3"/>
    <m/>
    <x v="2"/>
    <x v="37"/>
    <d v="2018-08-03T00:00:00"/>
    <d v="2018-08-03T00:00:00"/>
    <n v="-4.7"/>
    <n v="4.7"/>
    <m/>
    <s v="Kosten"/>
    <s v="UIT_VL"/>
    <s v="VASTELASTEN"/>
    <s v="bankkosten"/>
    <m/>
    <m/>
    <m/>
    <m/>
    <m/>
    <m/>
    <m/>
    <m/>
    <m/>
    <m/>
  </r>
  <r>
    <n v="1263"/>
    <x v="3"/>
    <m/>
    <x v="2"/>
    <x v="37"/>
    <d v="2018-08-20T00:00:00"/>
    <d v="2018-08-20T00:00:00"/>
    <n v="95"/>
    <n v="95"/>
    <m/>
    <s v="BELASTINGDIENST"/>
    <s v="UIT_VL"/>
    <s v="VASTELASTEN"/>
    <s v="zorgtoeslag"/>
    <m/>
    <m/>
    <m/>
    <m/>
    <m/>
    <m/>
    <m/>
    <m/>
    <m/>
    <m/>
  </r>
  <r>
    <n v="1264"/>
    <x v="3"/>
    <m/>
    <x v="2"/>
    <x v="37"/>
    <d v="2018-08-27T00:00:00"/>
    <d v="2018-08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265"/>
    <x v="3"/>
    <m/>
    <x v="2"/>
    <x v="37"/>
    <d v="2018-08-27T00:00:00"/>
    <d v="2018-08-27T00:00:00"/>
    <n v="-97.87"/>
    <n v="97.87"/>
    <m/>
    <s v="DUO Hoofdrekening"/>
    <s v="UIT_VL"/>
    <s v="VASTELASTEN"/>
    <s v="studieschuld"/>
    <m/>
    <m/>
    <m/>
    <m/>
    <m/>
    <m/>
    <m/>
    <m/>
    <m/>
    <m/>
  </r>
  <r>
    <n v="1268"/>
    <x v="3"/>
    <m/>
    <x v="2"/>
    <x v="37"/>
    <d v="2018-08-29T00:00:00"/>
    <d v="2018-08-29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269"/>
    <x v="3"/>
    <m/>
    <x v="2"/>
    <x v="12"/>
    <d v="2018-09-04T00:00:00"/>
    <d v="2018-09-04T00:00:00"/>
    <n v="-0.6"/>
    <n v="0.6"/>
    <m/>
    <s v="Kosten"/>
    <s v="UIT_VL"/>
    <s v="VASTELASTEN"/>
    <s v="bankkosten"/>
    <m/>
    <m/>
    <m/>
    <m/>
    <m/>
    <m/>
    <m/>
    <m/>
    <m/>
    <m/>
  </r>
  <r>
    <n v="1270"/>
    <x v="3"/>
    <m/>
    <x v="2"/>
    <x v="12"/>
    <d v="2018-09-04T00:00:00"/>
    <d v="2018-09-04T00:00:00"/>
    <n v="-4.7"/>
    <n v="4.7"/>
    <m/>
    <s v="Kosten"/>
    <s v="UIT_VL"/>
    <s v="VASTELASTEN"/>
    <s v="bankkosten"/>
    <m/>
    <m/>
    <m/>
    <m/>
    <m/>
    <m/>
    <m/>
    <m/>
    <m/>
    <m/>
  </r>
  <r>
    <n v="1275"/>
    <x v="3"/>
    <m/>
    <x v="2"/>
    <x v="12"/>
    <d v="2018-09-20T00:00:00"/>
    <d v="2018-09-20T00:00:00"/>
    <n v="95"/>
    <n v="95"/>
    <m/>
    <s v="BELASTINGDIENST"/>
    <s v="UIT_VL"/>
    <s v="VASTELASTEN"/>
    <s v="zorgtoeslag"/>
    <m/>
    <m/>
    <m/>
    <m/>
    <m/>
    <m/>
    <m/>
    <m/>
    <m/>
    <m/>
  </r>
  <r>
    <n v="1278"/>
    <x v="3"/>
    <m/>
    <x v="2"/>
    <x v="12"/>
    <d v="2018-09-25T00:00:00"/>
    <d v="2018-09-25T00:00:00"/>
    <n v="-97.87"/>
    <n v="97.87"/>
    <m/>
    <s v="DUO Hoofdrekening"/>
    <s v="UIT_VL"/>
    <s v="VASTELASTEN"/>
    <s v="studieschuld"/>
    <m/>
    <m/>
    <m/>
    <m/>
    <m/>
    <m/>
    <m/>
    <m/>
    <m/>
    <m/>
  </r>
  <r>
    <n v="1281"/>
    <x v="3"/>
    <m/>
    <x v="2"/>
    <x v="12"/>
    <d v="2018-09-26T00:00:00"/>
    <d v="2018-09-26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282"/>
    <x v="3"/>
    <m/>
    <x v="2"/>
    <x v="12"/>
    <d v="2018-09-27T00:00:00"/>
    <d v="2018-09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284"/>
    <x v="3"/>
    <m/>
    <x v="2"/>
    <x v="11"/>
    <d v="2018-10-01T00:00:00"/>
    <d v="2018-10-01T00:00:00"/>
    <n v="-10"/>
    <n v="10"/>
    <m/>
    <s v="Vesta Payment Solutions"/>
    <s v="UIT_VL"/>
    <s v="VASTELASTEN"/>
    <s v="internet_telefoon_nl"/>
    <m/>
    <m/>
    <m/>
    <m/>
    <m/>
    <m/>
    <m/>
    <m/>
    <m/>
    <m/>
  </r>
  <r>
    <n v="1285"/>
    <x v="3"/>
    <m/>
    <x v="2"/>
    <x v="11"/>
    <d v="2018-10-02T00:00:00"/>
    <d v="2018-10-02T00:00:00"/>
    <n v="-0.6"/>
    <n v="0.6"/>
    <m/>
    <s v="Kosten"/>
    <s v="UIT_VL"/>
    <s v="VASTELASTEN"/>
    <s v="bankkosten"/>
    <m/>
    <m/>
    <m/>
    <m/>
    <m/>
    <m/>
    <m/>
    <m/>
    <m/>
    <m/>
  </r>
  <r>
    <n v="1286"/>
    <x v="3"/>
    <m/>
    <x v="2"/>
    <x v="11"/>
    <d v="2018-10-02T00:00:00"/>
    <d v="2018-10-02T00:00:00"/>
    <n v="-4.7"/>
    <n v="4.7"/>
    <m/>
    <s v="Kosten"/>
    <s v="UIT_VL"/>
    <s v="VASTELASTEN"/>
    <s v="bankkosten"/>
    <m/>
    <m/>
    <m/>
    <m/>
    <m/>
    <m/>
    <m/>
    <m/>
    <m/>
    <m/>
  </r>
  <r>
    <n v="1292"/>
    <x v="3"/>
    <m/>
    <x v="2"/>
    <x v="11"/>
    <d v="2018-10-05T00:00:00"/>
    <d v="2018-10-05T00:00:00"/>
    <n v="-72.599999999999994"/>
    <n v="72.599999999999994"/>
    <m/>
    <s v="VEVIDA BV"/>
    <s v="UIT_VL"/>
    <s v="VASTELASTEN"/>
    <s v="internetsites"/>
    <m/>
    <m/>
    <m/>
    <m/>
    <m/>
    <m/>
    <m/>
    <m/>
    <m/>
    <m/>
  </r>
  <r>
    <n v="1324"/>
    <x v="3"/>
    <m/>
    <x v="2"/>
    <x v="11"/>
    <d v="2018-10-22T00:00:00"/>
    <d v="2018-10-22T00:00:00"/>
    <n v="95"/>
    <n v="95"/>
    <m/>
    <s v="BELASTINGDIENST"/>
    <s v="UIT_VL"/>
    <s v="VASTELASTEN"/>
    <s v="zorgtoeslag"/>
    <m/>
    <m/>
    <m/>
    <m/>
    <m/>
    <m/>
    <m/>
    <m/>
    <m/>
    <m/>
  </r>
  <r>
    <n v="1330"/>
    <x v="3"/>
    <m/>
    <x v="2"/>
    <x v="11"/>
    <d v="2018-10-24T00:00:00"/>
    <d v="2018-10-24T00:00:00"/>
    <n v="-295.93"/>
    <n v="295.93"/>
    <m/>
    <s v="DIENST UITVOERING ONDERWIJS"/>
    <s v="UIT_VL"/>
    <s v="VASTELASTEN"/>
    <s v="studieschuld"/>
    <m/>
    <m/>
    <m/>
    <m/>
    <m/>
    <m/>
    <m/>
    <m/>
    <m/>
    <m/>
  </r>
  <r>
    <n v="1333"/>
    <x v="3"/>
    <m/>
    <x v="2"/>
    <x v="11"/>
    <d v="2018-10-29T00:00:00"/>
    <d v="2018-10-29T00:00:00"/>
    <n v="-103.45"/>
    <n v="103.45"/>
    <m/>
    <s v="NV UNIVE ZORG"/>
    <s v="UIT_VL"/>
    <s v="VASTELASTEN"/>
    <s v="zorgverzekering"/>
    <m/>
    <m/>
    <m/>
    <m/>
    <m/>
    <m/>
    <m/>
    <m/>
    <m/>
    <m/>
  </r>
  <r>
    <n v="1334"/>
    <x v="3"/>
    <m/>
    <x v="2"/>
    <x v="11"/>
    <d v="2018-10-31T00:00:00"/>
    <d v="2018-10-31T00:00:00"/>
    <n v="-3.7"/>
    <n v="3.7"/>
    <m/>
    <s v="UNIVE STAD EN LAND BV"/>
    <s v="UIT_VL"/>
    <s v="VASTELASTEN"/>
    <s v="avp verzekering"/>
    <m/>
    <m/>
    <m/>
    <m/>
    <m/>
    <m/>
    <m/>
    <m/>
    <m/>
    <m/>
  </r>
  <r>
    <n v="1335"/>
    <x v="3"/>
    <m/>
    <x v="2"/>
    <x v="11"/>
    <d v="2018-10-31T00:00:00"/>
    <d v="2018-10-31T00:00:00"/>
    <n v="-25"/>
    <n v="25"/>
    <m/>
    <s v="K-Mobile Shop STADSKANAAL"/>
    <s v="UIT_VL"/>
    <s v="VASTELASTEN"/>
    <s v="internet_telefoon_nl"/>
    <m/>
    <m/>
    <m/>
    <m/>
    <m/>
    <m/>
    <m/>
    <m/>
    <m/>
    <m/>
  </r>
  <r>
    <n v="1336"/>
    <x v="3"/>
    <m/>
    <x v="2"/>
    <x v="11"/>
    <d v="2018-10-31T00:00:00"/>
    <d v="2018-10-31T00:00:00"/>
    <n v="-10"/>
    <n v="10"/>
    <m/>
    <s v="ACP*VFW 699 STADSKANAAL"/>
    <s v="UIT_VL"/>
    <s v="VASTELASTEN"/>
    <s v="internet_telefoon_nl"/>
    <m/>
    <m/>
    <m/>
    <m/>
    <m/>
    <m/>
    <m/>
    <m/>
    <m/>
    <m/>
  </r>
  <r>
    <n v="1338"/>
    <x v="3"/>
    <m/>
    <x v="2"/>
    <x v="7"/>
    <d v="2018-11-01T00:00:00"/>
    <d v="2018-11-01T00:00:00"/>
    <n v="3.2"/>
    <n v="3.2"/>
    <m/>
    <s v="UNIVE STAD EN LAND BV"/>
    <s v="UIT_VL"/>
    <s v="VASTELASTEN"/>
    <s v="avp verzekering"/>
    <m/>
    <m/>
    <m/>
    <m/>
    <m/>
    <m/>
    <m/>
    <m/>
    <m/>
    <m/>
  </r>
  <r>
    <n v="1339"/>
    <x v="3"/>
    <m/>
    <x v="2"/>
    <x v="7"/>
    <d v="2018-11-01T00:00:00"/>
    <d v="2018-11-01T00:00:00"/>
    <n v="60"/>
    <n v="60"/>
    <m/>
    <s v="AAB RETAIL INZ TIKKIE"/>
    <s v="UIT_VL"/>
    <s v="VASTELASTEN"/>
    <s v="internet_telefoon_it"/>
    <m/>
    <m/>
    <m/>
    <m/>
    <m/>
    <m/>
    <m/>
    <m/>
    <m/>
    <m/>
  </r>
  <r>
    <n v="1345"/>
    <x v="3"/>
    <m/>
    <x v="2"/>
    <x v="7"/>
    <d v="2018-11-02T00:00:00"/>
    <d v="2018-11-02T00:00:00"/>
    <n v="-0.6"/>
    <n v="0.6"/>
    <m/>
    <s v="Kosten"/>
    <s v="UIT_VL"/>
    <s v="VASTELASTEN"/>
    <s v="bankkosten"/>
    <m/>
    <m/>
    <m/>
    <m/>
    <m/>
    <m/>
    <m/>
    <m/>
    <m/>
    <m/>
  </r>
  <r>
    <n v="1346"/>
    <x v="3"/>
    <m/>
    <x v="2"/>
    <x v="7"/>
    <d v="2018-11-02T00:00:00"/>
    <d v="2018-11-02T00:00:00"/>
    <n v="-4.7"/>
    <n v="4.7"/>
    <m/>
    <s v="Kosten"/>
    <s v="UIT_VL"/>
    <s v="VASTELASTEN"/>
    <s v="bankkosten"/>
    <m/>
    <m/>
    <m/>
    <m/>
    <m/>
    <m/>
    <m/>
    <m/>
    <m/>
    <m/>
  </r>
  <r>
    <n v="1350"/>
    <x v="3"/>
    <m/>
    <x v="2"/>
    <x v="7"/>
    <d v="2018-11-06T00:00:00"/>
    <d v="2018-11-06T00:00:00"/>
    <n v="-50.6"/>
    <n v="50.6"/>
    <m/>
    <s v="Your Hosting B.V."/>
    <s v="UIT_VL"/>
    <s v="VASTELASTEN"/>
    <s v="internetsites"/>
    <m/>
    <m/>
    <m/>
    <m/>
    <m/>
    <m/>
    <m/>
    <m/>
    <m/>
    <m/>
  </r>
  <r>
    <n v="1354"/>
    <x v="3"/>
    <m/>
    <x v="2"/>
    <x v="7"/>
    <d v="2018-11-20T00:00:00"/>
    <d v="2018-11-20T00:00:00"/>
    <n v="95"/>
    <n v="95"/>
    <m/>
    <s v="BELASTINGDIENST"/>
    <s v="UIT_VL"/>
    <s v="VASTELASTEN"/>
    <s v="zorgtoeslag"/>
    <m/>
    <m/>
    <m/>
    <m/>
    <m/>
    <m/>
    <m/>
    <m/>
    <m/>
    <m/>
  </r>
  <r>
    <n v="1355"/>
    <x v="3"/>
    <m/>
    <x v="2"/>
    <x v="7"/>
    <d v="2018-11-27T00:00:00"/>
    <d v="2018-11-27T00:00:00"/>
    <n v="-103.45"/>
    <n v="103.45"/>
    <m/>
    <s v="NV UNIVE ZORG"/>
    <s v="UIT_VL"/>
    <s v="VASTELASTEN"/>
    <s v="zorgverzekering"/>
    <m/>
    <m/>
    <m/>
    <m/>
    <m/>
    <m/>
    <m/>
    <m/>
    <m/>
    <m/>
  </r>
  <r>
    <n v="1358"/>
    <x v="3"/>
    <m/>
    <x v="2"/>
    <x v="8"/>
    <d v="2018-12-04T00:00:00"/>
    <d v="2018-12-04T00:00:00"/>
    <n v="-0.6"/>
    <n v="0.6"/>
    <m/>
    <s v="Kosten"/>
    <s v="UIT_VL"/>
    <s v="VASTELASTEN"/>
    <s v="bankkosten"/>
    <m/>
    <m/>
    <m/>
    <m/>
    <m/>
    <m/>
    <m/>
    <m/>
    <m/>
    <m/>
  </r>
  <r>
    <n v="1359"/>
    <x v="3"/>
    <m/>
    <x v="2"/>
    <x v="8"/>
    <d v="2018-12-04T00:00:00"/>
    <d v="2018-12-04T00:00:00"/>
    <n v="-4.7"/>
    <n v="4.7"/>
    <m/>
    <s v="Kosten"/>
    <s v="UIT_VL"/>
    <s v="VASTELASTEN"/>
    <s v="bankkosten"/>
    <m/>
    <m/>
    <m/>
    <m/>
    <m/>
    <m/>
    <m/>
    <m/>
    <m/>
    <m/>
  </r>
  <r>
    <n v="1361"/>
    <x v="3"/>
    <m/>
    <x v="2"/>
    <x v="8"/>
    <d v="2018-12-20T00:00:00"/>
    <d v="2018-12-20T00:00:00"/>
    <n v="99"/>
    <n v="99"/>
    <m/>
    <s v="BELASTINGDIENST"/>
    <s v="UIT_VL"/>
    <s v="VASTELASTEN"/>
    <s v="zorgtoeslag"/>
    <m/>
    <m/>
    <m/>
    <m/>
    <m/>
    <m/>
    <m/>
    <m/>
    <m/>
    <m/>
  </r>
  <r>
    <n v="1364"/>
    <x v="3"/>
    <m/>
    <x v="2"/>
    <x v="8"/>
    <d v="2018-12-27T00:00:00"/>
    <d v="2018-12-27T00:00:00"/>
    <n v="-108.35"/>
    <n v="108.35"/>
    <m/>
    <s v="NV UNIVE ZORG"/>
    <s v="UIT_VL"/>
    <s v="VASTELASTEN"/>
    <s v="zorgverzekering"/>
    <m/>
    <m/>
    <m/>
    <m/>
    <m/>
    <m/>
    <m/>
    <m/>
    <m/>
    <m/>
  </r>
  <r>
    <n v="1382"/>
    <x v="1"/>
    <m/>
    <x v="3"/>
    <x v="13"/>
    <d v="2019-01-03T00:00:00"/>
    <d v="2019-01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383"/>
    <x v="1"/>
    <m/>
    <x v="3"/>
    <x v="13"/>
    <d v="2019-01-07T00:00:00"/>
    <d v="2019-01-07T00:00:00"/>
    <n v="-11.53"/>
    <n v="11.53"/>
    <m/>
    <s v="PRLV SEPA CARDIF ASSURANCE VIE ECH/070119 ID EMETT"/>
    <s v="UIT_VL"/>
    <s v="VASTELASTEN"/>
    <s v="overlijdensverz"/>
    <m/>
    <m/>
    <m/>
    <m/>
    <m/>
    <m/>
    <m/>
    <m/>
    <m/>
    <m/>
  </r>
  <r>
    <n v="1384"/>
    <x v="1"/>
    <m/>
    <x v="3"/>
    <x v="13"/>
    <d v="2019-01-08T00:00:00"/>
    <d v="2019-01-08T00:00:00"/>
    <n v="-4.99"/>
    <n v="4.99"/>
    <m/>
    <s v="PRLV SEPA PAYPAL EUROPE S.A.R.L. ET CIE S.C.A ECH/"/>
    <s v="UIT_VL"/>
    <s v="VASTELASTEN"/>
    <s v="medium"/>
    <m/>
    <m/>
    <m/>
    <m/>
    <m/>
    <m/>
    <m/>
    <m/>
    <m/>
    <m/>
  </r>
  <r>
    <n v="1386"/>
    <x v="1"/>
    <m/>
    <x v="3"/>
    <x v="13"/>
    <d v="2019-01-15T00:00:00"/>
    <d v="2019-01-15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1387"/>
    <x v="1"/>
    <m/>
    <x v="3"/>
    <x v="13"/>
    <d v="2019-01-22T00:00:00"/>
    <d v="2019-01-22T00:00:00"/>
    <n v="-1.99"/>
    <n v="1.99"/>
    <m/>
    <s v="PRLV SEPA PAYPAL EUROPE S.A.R.L. ET CIE S.C.A ECH/"/>
    <s v="UIT_VL"/>
    <s v="VASTELASTEN"/>
    <s v="google storage"/>
    <m/>
    <m/>
    <m/>
    <m/>
    <m/>
    <m/>
    <m/>
    <m/>
    <m/>
    <m/>
  </r>
  <r>
    <n v="1388"/>
    <x v="1"/>
    <m/>
    <x v="3"/>
    <x v="13"/>
    <d v="2019-01-23T00:00:00"/>
    <d v="2019-01-23T00:00:00"/>
    <n v="-7"/>
    <n v="7"/>
    <m/>
    <s v="PRLV SEPA PAYPAL EUROPE S.A.R.L. ET CIE S.C.A ECH/"/>
    <s v="UIT_VL"/>
    <s v="VASTELASTEN"/>
    <s v="microsoft"/>
    <m/>
    <m/>
    <m/>
    <m/>
    <m/>
    <m/>
    <m/>
    <m/>
    <m/>
    <m/>
  </r>
  <r>
    <n v="1390"/>
    <x v="1"/>
    <m/>
    <x v="3"/>
    <x v="15"/>
    <d v="2019-02-04T00:00:00"/>
    <d v="2019-02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391"/>
    <x v="1"/>
    <m/>
    <x v="3"/>
    <x v="15"/>
    <d v="2019-02-05T00:00:00"/>
    <d v="2019-02-05T00:00:00"/>
    <n v="-11.53"/>
    <n v="11.53"/>
    <m/>
    <s v="PRLV SEPA CARDIF ASSURANCE VIE ECH/050219 ID EMETTEUR/FR28ZZZ110086 MDT/++FR28ZZZ1100862013111800895153CDIF REF/BP008372063         050219108638 LIB/BP008372063         050219"/>
    <s v="UIT_VL"/>
    <s v="VASTELASTEN"/>
    <s v="overlijdensverz"/>
    <m/>
    <m/>
    <m/>
    <m/>
    <m/>
    <m/>
    <m/>
    <m/>
    <m/>
    <m/>
  </r>
  <r>
    <n v="1392"/>
    <x v="1"/>
    <m/>
    <x v="3"/>
    <x v="15"/>
    <d v="2019-02-07T00:00:00"/>
    <d v="2019-02-07T00:00:00"/>
    <n v="-4.99"/>
    <n v="4.99"/>
    <m/>
    <s v="PRLV SEPA PAYPAL EUROPE S.A.R.L. ET CIE S.C.A ECH/070219 ID EMETTEUR/LU96ZZZ0000000000000000058 MDT/5HBJ224MREGGA REF/1004887281353 PAYPAL VIREMENT LIB/1004887281353 PAYPAL"/>
    <s v="UIT_VL"/>
    <s v="VASTELASTEN"/>
    <s v="medium"/>
    <m/>
    <m/>
    <m/>
    <m/>
    <m/>
    <m/>
    <m/>
    <m/>
    <m/>
    <m/>
  </r>
  <r>
    <n v="1393"/>
    <x v="1"/>
    <m/>
    <x v="3"/>
    <x v="15"/>
    <d v="2019-02-14T00:00:00"/>
    <d v="2019-02-14T00:00:00"/>
    <n v="-9.99"/>
    <n v="9.99"/>
    <m/>
    <s v="PRLV SEPA PAYPAL EUROPE S.A.R.L. ET CIE S.C.A ECH/140219 ID EMETTEUR/LU96ZZZ0000000000000000058 MDT/5HBJ224MREGGA REF/1004935953865 PAYPAL VIREMENT LIB/1004935953865 PAYPAL"/>
    <s v="UIT_VL"/>
    <s v="VASTELASTEN"/>
    <s v="blendle"/>
    <m/>
    <m/>
    <m/>
    <m/>
    <m/>
    <m/>
    <m/>
    <m/>
    <m/>
    <m/>
  </r>
  <r>
    <n v="1394"/>
    <x v="1"/>
    <m/>
    <x v="3"/>
    <x v="15"/>
    <d v="2019-02-22T00:00:00"/>
    <d v="2019-02-22T00:00:00"/>
    <n v="-1.99"/>
    <n v="1.99"/>
    <m/>
    <s v="PRLV SEPA PAYPAL EUROPE S.A.R.L. ET CIE S.C.A ECH/220219 ID EMETTEUR/LU96ZZZ0000000000000000058 MDT/5HBJ224MREGGA REF/1004991692064 PAYPAL VIREMENT LIB/1004991692064 PAYPAL"/>
    <s v="UIT_VL"/>
    <s v="VASTELASTEN"/>
    <s v="google storage"/>
    <m/>
    <m/>
    <m/>
    <m/>
    <m/>
    <m/>
    <m/>
    <m/>
    <m/>
    <m/>
  </r>
  <r>
    <n v="1395"/>
    <x v="1"/>
    <m/>
    <x v="3"/>
    <x v="15"/>
    <d v="2019-02-25T00:00:00"/>
    <d v="2019-02-25T00:00:00"/>
    <n v="-7"/>
    <n v="7"/>
    <m/>
    <s v="PRLV SEPA PAYPAL EUROPE S.A.R.L. ET CIE S.C.A ECH/250219 ID EMETTEUR/LU96ZZZ0000000000000000058 MDT/5HBJ224MREGGA REF/1005003993735 PAYPAL VIREMENT LIB/1005003993735 PAYPAL"/>
    <s v="UIT_VL"/>
    <s v="VASTELASTEN"/>
    <s v="microsoft"/>
    <m/>
    <m/>
    <m/>
    <m/>
    <m/>
    <m/>
    <m/>
    <m/>
    <m/>
    <m/>
  </r>
  <r>
    <n v="1397"/>
    <x v="1"/>
    <m/>
    <x v="3"/>
    <x v="14"/>
    <d v="2019-03-04T00:00:00"/>
    <d v="2019-03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398"/>
    <x v="1"/>
    <m/>
    <x v="3"/>
    <x v="14"/>
    <d v="2019-03-05T00:00:00"/>
    <d v="2019-03-05T00:00:00"/>
    <n v="-12.32"/>
    <n v="12.32"/>
    <m/>
    <s v="PRLV SEPA CARDIF ASSURANCE VIE ECH/050319 ID EMETTEUR/FR28ZZZ110086 MDT/++FR28ZZZ1100862013111800895153CDIF REF/BP008372063 050319107889 LIB/BP008372063 050319"/>
    <s v="UIT_VL"/>
    <s v="VASTELASTEN"/>
    <s v="overlijdensverz"/>
    <m/>
    <m/>
    <m/>
    <m/>
    <m/>
    <m/>
    <m/>
    <m/>
    <m/>
    <m/>
  </r>
  <r>
    <n v="1399"/>
    <x v="1"/>
    <m/>
    <x v="3"/>
    <x v="14"/>
    <d v="2019-03-07T00:00:00"/>
    <d v="2019-03-07T00:00:00"/>
    <n v="-4.99"/>
    <n v="4.99"/>
    <m/>
    <s v="PRLV SEPA PAYPAL EUROPE S.A.R.L. ET CIE S.C.A ECH/"/>
    <s v="UIT_VL"/>
    <s v="VASTELASTEN"/>
    <s v="medium"/>
    <m/>
    <m/>
    <m/>
    <m/>
    <m/>
    <m/>
    <m/>
    <m/>
    <m/>
    <m/>
  </r>
  <r>
    <n v="1401"/>
    <x v="1"/>
    <m/>
    <x v="3"/>
    <x v="14"/>
    <d v="2019-03-15T00:00:00"/>
    <d v="2019-03-15T00:00:00"/>
    <n v="-9.99"/>
    <n v="9.99"/>
    <m/>
    <s v="PRLV SEPA PAYPAL EUROPE S.A.R.L. ET CIE S.C.A ECH/"/>
    <s v="UIT_VL"/>
    <s v="VASTELASTEN"/>
    <s v="blendle"/>
    <m/>
    <m/>
    <m/>
    <m/>
    <m/>
    <m/>
    <m/>
    <m/>
    <m/>
    <m/>
  </r>
  <r>
    <n v="1402"/>
    <x v="1"/>
    <m/>
    <x v="3"/>
    <x v="14"/>
    <d v="2019-03-22T00:00:00"/>
    <d v="2019-03-22T00:00:00"/>
    <n v="-1.99"/>
    <n v="1.99"/>
    <m/>
    <s v="PRLV SEPA PAYPAL EUROPE S.A.R.L. ET CIE S.C.A ECH/220319 ID EMETTEUR/LU96ZZZ0000000000000000058 MDT/5HBJ224MREGGA REF/1005205329850 PAYPAL VIREMENT LIB/1005205329850 PAYPAL"/>
    <s v="UIT_VL"/>
    <s v="VASTELASTEN"/>
    <s v="google storage"/>
    <m/>
    <m/>
    <m/>
    <m/>
    <m/>
    <m/>
    <m/>
    <m/>
    <m/>
    <m/>
  </r>
  <r>
    <n v="1403"/>
    <x v="1"/>
    <m/>
    <x v="3"/>
    <x v="14"/>
    <d v="2019-03-25T00:00:00"/>
    <d v="2019-03-25T00:00:00"/>
    <n v="-7"/>
    <n v="7"/>
    <m/>
    <s v="PRLV SEPA PAYPAL EUROPE S.A.R.L. ET CIE S.C.A ECH/250319 ID EMETTEUR/LU96ZZZ0000000000000000058 MDT/5HBJ224MREGGA REF/1005217579876 PAYPAL VIREMENT LIB/1005217579876 PAYPAL"/>
    <s v="UIT_VL"/>
    <s v="VASTELASTEN"/>
    <s v="microsoft"/>
    <m/>
    <m/>
    <m/>
    <m/>
    <m/>
    <m/>
    <m/>
    <m/>
    <m/>
    <m/>
  </r>
  <r>
    <n v="1404"/>
    <x v="1"/>
    <m/>
    <x v="3"/>
    <x v="53"/>
    <d v="2019-04-02T00:00:00"/>
    <d v="2019-04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406"/>
    <x v="1"/>
    <m/>
    <x v="3"/>
    <x v="53"/>
    <d v="2019-04-05T00:00:00"/>
    <d v="2019-04-05T00:00:00"/>
    <n v="-12.32"/>
    <n v="12.32"/>
    <m/>
    <s v="PRLV SEPA CARDIF ASSURANCE VIE ECH/050419 ID EMETTEUR/FR28ZZZ110086 MDT/++FR28ZZZ1100862013111800895153CDIF REF/BP008372063         050419105752 LIB/BP008372063         050419"/>
    <s v="UIT_VL"/>
    <s v="VASTELASTEN"/>
    <s v="overlijdensverz"/>
    <m/>
    <m/>
    <m/>
    <m/>
    <m/>
    <m/>
    <m/>
    <m/>
    <m/>
    <m/>
  </r>
  <r>
    <n v="1408"/>
    <x v="1"/>
    <m/>
    <x v="3"/>
    <x v="53"/>
    <d v="2019-04-09T00:00:00"/>
    <d v="2019-04-09T00:00:00"/>
    <n v="-4.99"/>
    <n v="4.99"/>
    <m/>
    <s v="PRLV SEPA PAYPAL EUROPE S.A.R.L. ET CIE S.C.A ECH/090419 ID EMETTEUR/LU96ZZZ0000000000000000058 MDT/5HBJ224MREGGA REF/1005334713224 PAYPAL VIREMENT LIB/1005334713224 PAYPAL"/>
    <s v="UIT_VL"/>
    <s v="VASTELASTEN"/>
    <s v="medium"/>
    <m/>
    <m/>
    <m/>
    <m/>
    <m/>
    <m/>
    <m/>
    <m/>
    <m/>
    <m/>
  </r>
  <r>
    <n v="1410"/>
    <x v="1"/>
    <m/>
    <x v="3"/>
    <x v="53"/>
    <d v="2019-04-16T00:00:00"/>
    <d v="2019-04-16T00:00:00"/>
    <n v="-9.99"/>
    <n v="9.99"/>
    <m/>
    <s v="PRLV SEPA PAYPAL EUROPE S.A.R.L. ET CIE S.C.A ECH/160419 ID EMETTEUR/LU96ZZZ0000000000000000058 MDT/5HBJ224MREGGA REF/1005399847706 PAYPAL VIREMENT LIB/1005399847706 PAYPAL"/>
    <s v="UIT_VL"/>
    <s v="VASTELASTEN"/>
    <s v="blendle"/>
    <m/>
    <m/>
    <m/>
    <m/>
    <m/>
    <m/>
    <m/>
    <m/>
    <m/>
    <m/>
  </r>
  <r>
    <n v="1411"/>
    <x v="1"/>
    <m/>
    <x v="3"/>
    <x v="53"/>
    <d v="2019-04-24T00:00:00"/>
    <d v="2019-04-24T00:00:00"/>
    <n v="-1.99"/>
    <n v="1.99"/>
    <m/>
    <s v="PRLV SEPA PAYPAL EUROPE S.A.R.L. ET CIE S.C.A ECH/240419 ID EMETTEUR/LU96ZZZ0000000000000000058 MDT/5HBJ224MREGGA REF/1005442534213 PAYPAL VIREMENT LIB/1005442534213 PAYPAL"/>
    <s v="UIT_VL"/>
    <s v="VASTELASTEN"/>
    <s v="google storage"/>
    <m/>
    <m/>
    <m/>
    <m/>
    <m/>
    <m/>
    <m/>
    <m/>
    <m/>
    <m/>
  </r>
  <r>
    <n v="1412"/>
    <x v="1"/>
    <m/>
    <x v="3"/>
    <x v="53"/>
    <d v="2019-04-24T00:00:00"/>
    <d v="2019-04-24T00:00:00"/>
    <n v="-7"/>
    <n v="7"/>
    <m/>
    <s v="PRLV SEPA PAYPAL EUROPE S.A.R.L. ET CIE S.C.A ECH/240419 ID EMETTEUR/LU96ZZZ0000000000000000058 MDT/5HBJ224MREGGA REF/1005456546937 PAYPAL VIREMENT LIB/1005456546937 PAYPAL"/>
    <s v="UIT_VL"/>
    <s v="VASTELASTEN"/>
    <s v="microsoft"/>
    <m/>
    <m/>
    <m/>
    <m/>
    <m/>
    <m/>
    <m/>
    <m/>
    <m/>
    <m/>
  </r>
  <r>
    <n v="1414"/>
    <x v="1"/>
    <m/>
    <x v="3"/>
    <x v="54"/>
    <d v="2019-05-03T00:00:00"/>
    <d v="2019-05-03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415"/>
    <x v="1"/>
    <m/>
    <x v="3"/>
    <x v="54"/>
    <d v="2019-05-06T00:00:00"/>
    <d v="2019-05-06T00:00:00"/>
    <n v="-12.32"/>
    <n v="12.32"/>
    <m/>
    <s v="PRLV SEPA CARDIF ASSURANCE VIE ECH/060519 ID EMETTEUR/FR28ZZZ110086 MDT/++FR28ZZZ1100862013111800895153CDIF REF/BP008372063         050519080134 LIB/BP008372063         050519"/>
    <s v="UIT_VL"/>
    <s v="VASTELASTEN"/>
    <s v="overlijdensverz"/>
    <m/>
    <m/>
    <m/>
    <m/>
    <m/>
    <m/>
    <m/>
    <m/>
    <m/>
    <m/>
  </r>
  <r>
    <n v="1416"/>
    <x v="1"/>
    <m/>
    <x v="3"/>
    <x v="54"/>
    <d v="2019-05-07T00:00:00"/>
    <d v="2019-05-07T00:00:00"/>
    <n v="-4.99"/>
    <n v="4.99"/>
    <m/>
    <s v="PRLV SEPA PAYPAL EUROPE S.A.R.L. ET CIE S.C.A ECH/070519 ID EMETTEUR/LU96ZZZ0000000000000000058 MDT/5HBJ224MREGGA REF/1005563502455 PAYPAL VIREMENT LIB/1005563502455 PAYPAL"/>
    <s v="UIT_VL"/>
    <s v="VASTELASTEN"/>
    <s v="medium"/>
    <m/>
    <m/>
    <m/>
    <m/>
    <m/>
    <m/>
    <m/>
    <m/>
    <m/>
    <m/>
  </r>
  <r>
    <n v="1417"/>
    <x v="1"/>
    <m/>
    <x v="3"/>
    <x v="54"/>
    <d v="2019-05-20T00:00:00"/>
    <d v="2019-05-20T00:00:00"/>
    <n v="-9.99"/>
    <n v="9.99"/>
    <m/>
    <s v="PRLV SEPA PAYPAL EUROPE S.A.R.L. ET CIE S.C.A ECH/200519 ID EMETTEUR/LU96ZZZ0000000000000000058 MDT/5HBJ224MREGGA REF/1005637736355 PAYPAL VIREMENT LIB/1005637736355 PAYPAL"/>
    <s v="UIT_VL"/>
    <s v="VASTELASTEN"/>
    <s v="blendle"/>
    <m/>
    <m/>
    <m/>
    <m/>
    <m/>
    <m/>
    <m/>
    <m/>
    <m/>
    <m/>
  </r>
  <r>
    <n v="1418"/>
    <x v="1"/>
    <m/>
    <x v="3"/>
    <x v="54"/>
    <d v="2019-05-22T00:00:00"/>
    <d v="2019-05-22T00:00:00"/>
    <n v="-1.99"/>
    <n v="1.99"/>
    <m/>
    <s v="PRLV SEPA PAYPAL EUROPE S.A.R.L. ET CIE S.C.A ECH/220519 ID EMETTEUR/LU96ZZZ0000000000000000058 MDT/5HBJ224MREGGA REF/1005672887230 PAYPAL VIREMENT LIB/1005672887230 PAYPAL"/>
    <s v="UIT_VL"/>
    <s v="VASTELASTEN"/>
    <s v="google storage"/>
    <m/>
    <m/>
    <m/>
    <m/>
    <m/>
    <m/>
    <m/>
    <m/>
    <m/>
    <m/>
  </r>
  <r>
    <n v="1419"/>
    <x v="1"/>
    <m/>
    <x v="3"/>
    <x v="54"/>
    <d v="2019-05-23T00:00:00"/>
    <d v="2019-05-23T00:00:00"/>
    <n v="-7"/>
    <n v="7"/>
    <m/>
    <s v="PRLV SEPA PAYPAL EUROPE S.A.R.L. ET CIE S.C.A ECH/230519 ID EMETTEUR/LU96ZZZ0000000000000000058 MDT/5HBJ224MREGGA REF/1005686976628 PAYPAL VIREMENT LIB/1005686976628 PAYPAL"/>
    <s v="UIT_VL"/>
    <s v="VASTELASTEN"/>
    <s v="microsoft"/>
    <m/>
    <m/>
    <m/>
    <m/>
    <m/>
    <m/>
    <m/>
    <m/>
    <m/>
    <m/>
  </r>
  <r>
    <n v="1421"/>
    <x v="1"/>
    <m/>
    <x v="3"/>
    <x v="55"/>
    <d v="2019-06-04T00:00:00"/>
    <d v="2019-06-04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422"/>
    <x v="1"/>
    <m/>
    <x v="3"/>
    <x v="55"/>
    <d v="2019-06-04T00:00:00"/>
    <d v="2019-06-04T00:00:00"/>
    <n v="-26"/>
    <n v="26"/>
    <m/>
    <s v="COMMISSIONS FORMULE BNP NET. CARTE N  : 0004974014048498716"/>
    <s v="UIT_VL"/>
    <s v="VASTELASTEN"/>
    <s v="bankkosten"/>
    <m/>
    <m/>
    <m/>
    <m/>
    <m/>
    <m/>
    <m/>
    <m/>
    <m/>
    <m/>
  </r>
  <r>
    <n v="1423"/>
    <x v="1"/>
    <m/>
    <x v="3"/>
    <x v="55"/>
    <d v="2019-06-05T00:00:00"/>
    <d v="2019-06-05T00:00:00"/>
    <n v="-12.32"/>
    <n v="12.32"/>
    <m/>
    <s v="PRLV SEPA CARDIF ASSURANCE VIE ECH/050619 ID EMETTEUR/FR28ZZZ110086 MDT/++FR28ZZZ1100862013111800895153CDIF REF/BP008372063         050619085853 LIB/BP008372063         050619"/>
    <s v="UIT_VL"/>
    <s v="VASTELASTEN"/>
    <s v="overlijdensverz"/>
    <m/>
    <m/>
    <m/>
    <m/>
    <m/>
    <m/>
    <m/>
    <m/>
    <m/>
    <m/>
  </r>
  <r>
    <n v="1424"/>
    <x v="1"/>
    <m/>
    <x v="3"/>
    <x v="55"/>
    <d v="2019-06-07T00:00:00"/>
    <d v="2019-06-07T00:00:00"/>
    <n v="-4.99"/>
    <n v="4.99"/>
    <m/>
    <s v="PRLV SEPA PAYPAL EUROPE S.A.R.L. ET CIE S.C.A ECH/070619 ID EMETTEUR/LU96ZZZ0000000000000000058 MDT/5HBJ224MREGGA REF/1005801162549 PAYPAL VIREMENT LIB/1005801162549 PAYPAL"/>
    <s v="UIT_VL"/>
    <s v="VASTELASTEN"/>
    <s v="medium"/>
    <m/>
    <m/>
    <m/>
    <m/>
    <m/>
    <m/>
    <m/>
    <m/>
    <m/>
    <m/>
  </r>
  <r>
    <n v="1425"/>
    <x v="1"/>
    <m/>
    <x v="3"/>
    <x v="55"/>
    <d v="2019-06-18T00:00:00"/>
    <d v="2019-06-18T00:00:00"/>
    <n v="-9.99"/>
    <n v="9.99"/>
    <m/>
    <s v="PRLV SEPA PAYPAL EUROPE S.A.R.L. ET CIE S.C.A ECH/180619 ID EMETTEUR/LU96ZZZ0000000000000000058 MDT/5HBJ224MREGGA REF/1005882105800 PAYPAL VIREMENT LIB/1005882105800 PAYPAL"/>
    <s v="UIT_VL"/>
    <s v="VASTELASTEN"/>
    <s v="blendle"/>
    <m/>
    <m/>
    <m/>
    <m/>
    <m/>
    <m/>
    <m/>
    <m/>
    <m/>
    <m/>
  </r>
  <r>
    <n v="1426"/>
    <x v="1"/>
    <m/>
    <x v="3"/>
    <x v="55"/>
    <d v="2019-06-24T00:00:00"/>
    <d v="2019-06-24T00:00:00"/>
    <n v="-1.99"/>
    <n v="1.99"/>
    <m/>
    <s v="PRLV SEPA PAYPAL EUROPE S.A.R.L. ET CIE S.C.A ECH/240619 ID EMETTEUR/LU96ZZZ0000000000000000058 MDT/5HBJ224MREGGA REF/1005910531304 PAYPAL VIREMENT LIB/1005910531304 PAYPAL"/>
    <s v="UIT_VL"/>
    <s v="VASTELASTEN"/>
    <s v="google storage"/>
    <m/>
    <m/>
    <m/>
    <m/>
    <m/>
    <m/>
    <m/>
    <m/>
    <m/>
    <m/>
  </r>
  <r>
    <n v="1427"/>
    <x v="1"/>
    <m/>
    <x v="3"/>
    <x v="55"/>
    <d v="2019-06-25T00:00:00"/>
    <d v="2019-06-25T00:00:00"/>
    <n v="-7"/>
    <n v="7"/>
    <m/>
    <s v="PRLV SEPA PAYPAL EUROPE S.A.R.L. ET CIE S.C.A ECH/250619 ID EMETTEUR/LU96ZZZ0000000000000000058 MDT/5HBJ224MREGGA REF/1005923270439 PAYPAL VIREMENT LIB/1005923270439 PAYPAL"/>
    <s v="UIT_VL"/>
    <s v="VASTELASTEN"/>
    <s v="microsoft"/>
    <m/>
    <m/>
    <m/>
    <m/>
    <m/>
    <m/>
    <m/>
    <m/>
    <m/>
    <m/>
  </r>
  <r>
    <n v="1428"/>
    <x v="1"/>
    <m/>
    <x v="3"/>
    <x v="38"/>
    <d v="2019-07-02T00:00:00"/>
    <d v="2019-07-02T00:00:00"/>
    <n v="-8.7799999999999994"/>
    <n v="8.7799999999999994"/>
    <m/>
    <s v="COMMISSIONS COTISATION ESPRIT LIBRE"/>
    <s v="UIT_VL"/>
    <s v="VASTELASTEN"/>
    <s v="bankkosten"/>
    <m/>
    <m/>
    <m/>
    <m/>
    <m/>
    <m/>
    <m/>
    <m/>
    <m/>
    <m/>
  </r>
  <r>
    <n v="1430"/>
    <x v="1"/>
    <m/>
    <x v="3"/>
    <x v="38"/>
    <d v="2019-07-05T00:00:00"/>
    <d v="2019-07-05T00:00:00"/>
    <n v="-12.32"/>
    <n v="12.32"/>
    <m/>
    <s v="PRLV SEPA CARDIF ASSURANCE VIE ECH/050719 ID EMETTEUR/FR28ZZZ110086 MDT/++FR28ZZZ1100862013111800895153CDIF REF/BP008372063         050719080625 LIB/BP008372063         050719"/>
    <s v="UIT_VL"/>
    <s v="VASTELASTEN"/>
    <s v="overlijdensverz"/>
    <m/>
    <m/>
    <m/>
    <m/>
    <m/>
    <m/>
    <m/>
    <m/>
    <m/>
    <m/>
  </r>
  <r>
    <n v="1431"/>
    <x v="1"/>
    <m/>
    <x v="3"/>
    <x v="38"/>
    <d v="2019-07-09T00:00:00"/>
    <d v="2019-07-09T00:00:00"/>
    <n v="-4.99"/>
    <n v="4.99"/>
    <m/>
    <s v="PRLV SEPA PAYPAL EUROPE S.A.R.L. ET CIE S.C.A ECH/090719 ID EMETTEUR/LU96ZZZ0000000000000000058 MDT/5HBJ224MREGGA REF/1006036592824 PAYPAL VIREMENT LIB/1006036592824 PAYPAL"/>
    <s v="UIT_VL"/>
    <s v="VASTELASTEN"/>
    <s v="medium"/>
    <m/>
    <m/>
    <m/>
    <m/>
    <m/>
    <m/>
    <m/>
    <m/>
    <m/>
    <m/>
  </r>
  <r>
    <n v="1433"/>
    <x v="1"/>
    <m/>
    <x v="3"/>
    <x v="38"/>
    <d v="2019-07-19T00:00:00"/>
    <d v="2019-07-19T00:00:00"/>
    <n v="-9.99"/>
    <n v="9.99"/>
    <m/>
    <s v="PRLV SEPA PAYPAL EUROPE S.A.R.L. ET CIE S.C.A ECH/190719 ID EMETTEUR/LU96ZZZ0000000000000000058 MDT/5HBJ224MREGGA REF/1006127792521 PAYPAL VIREMENT LIB/1006127792521 PAYPAL"/>
    <s v="UIT_VL"/>
    <s v="VASTELASTEN"/>
    <s v="blendle"/>
    <m/>
    <m/>
    <m/>
    <m/>
    <m/>
    <m/>
    <m/>
    <m/>
    <m/>
    <m/>
  </r>
  <r>
    <n v="1434"/>
    <x v="1"/>
    <m/>
    <x v="3"/>
    <x v="38"/>
    <d v="2019-07-23T00:00:00"/>
    <d v="2019-07-23T00:00:00"/>
    <n v="-1.99"/>
    <n v="1.99"/>
    <m/>
    <s v="PRLV SEPA PAYPAL EUROPE S.A.R.L. ET CIE S.C.A ECH/230719 ID EMETTEUR/LU96ZZZ0000000000000000058 MDT/5HBJ224MREGGA REF/1006148610080 PAYPAL VIREMENT LIB/1006148610080 PAYPAL"/>
    <s v="UIT_VL"/>
    <s v="VASTELASTEN"/>
    <s v="google storage"/>
    <m/>
    <m/>
    <m/>
    <m/>
    <m/>
    <m/>
    <m/>
    <m/>
    <m/>
    <m/>
  </r>
  <r>
    <n v="1435"/>
    <x v="1"/>
    <m/>
    <x v="3"/>
    <x v="38"/>
    <d v="2019-07-24T00:00:00"/>
    <d v="2019-07-24T00:00:00"/>
    <n v="-7"/>
    <n v="7"/>
    <m/>
    <s v="PRLV SEPA PAYPAL EUROPE S.A.R.L. ET CIE S.C.A ECH/240719 ID EMETTEUR/LU96ZZZ0000000000000000058 MDT/5HBJ224MREGGA REF/1006163772031 PAYPAL VIREMENT LIB/1006163772031 PAYPAL"/>
    <s v="UIT_VL"/>
    <s v="VASTELASTEN"/>
    <s v="microsoft"/>
    <m/>
    <m/>
    <m/>
    <m/>
    <m/>
    <m/>
    <m/>
    <m/>
    <m/>
    <m/>
  </r>
  <r>
    <n v="1437"/>
    <x v="1"/>
    <m/>
    <x v="3"/>
    <x v="41"/>
    <d v="2019-08-02T00:00:00"/>
    <d v="2019-08-02T00:00:00"/>
    <n v="-8.7799999999999994"/>
    <n v="8.7799999999999994"/>
    <m/>
    <s v="COMMISSIONS COTISATION A UNE OFFRE GROUPEE DE SERVICES ESPRIT LIBRE"/>
    <s v="UIT_VL"/>
    <s v="VASTELASTEN"/>
    <s v="bankkosten"/>
    <m/>
    <m/>
    <m/>
    <m/>
    <m/>
    <m/>
    <m/>
    <m/>
    <m/>
    <m/>
  </r>
  <r>
    <n v="1438"/>
    <x v="1"/>
    <m/>
    <x v="3"/>
    <x v="41"/>
    <d v="2019-08-05T00:00:00"/>
    <d v="2019-08-05T00:00:00"/>
    <n v="-12.32"/>
    <n v="12.32"/>
    <m/>
    <s v="PRELEVEMENT CARDIF ASSURANCE VIE ECH/050819 ID EMETTEUR/FR28ZZZ110086 MDT/++FR28ZZZ1100862013111800895153CDIF REF/BP008372063         050819079251 LIB/BP008372063         050819"/>
    <s v="UIT_VL"/>
    <s v="VASTELASTEN"/>
    <s v="overlijdensverz"/>
    <m/>
    <m/>
    <m/>
    <m/>
    <m/>
    <m/>
    <m/>
    <m/>
    <m/>
    <m/>
  </r>
  <r>
    <n v="1441"/>
    <x v="1"/>
    <m/>
    <x v="3"/>
    <x v="41"/>
    <d v="2019-08-20T00:00:00"/>
    <d v="2019-08-20T00:00:00"/>
    <n v="-5.49"/>
    <n v="5.49"/>
    <m/>
    <s v="PRELEVEMENT PAYPAL EUROPE S.A.R.L. ET CIE S.C.A ECH/200819 ID EMETTEUR/LU96ZZZ0000000000000000058 MDT/5HBJ224MREGGA REF/1006369063773 PAYPAL VIREMENT LIB/1006369063773 PAYPAL"/>
    <s v="UIT_VL"/>
    <s v="VASTELASTEN"/>
    <s v="chess.com"/>
    <m/>
    <m/>
    <m/>
    <m/>
    <m/>
    <m/>
    <m/>
    <m/>
    <m/>
    <m/>
  </r>
  <r>
    <n v="1442"/>
    <x v="1"/>
    <m/>
    <x v="3"/>
    <x v="41"/>
    <d v="2019-08-22T00:00:00"/>
    <d v="2019-08-22T00:00:00"/>
    <n v="-1.99"/>
    <n v="1.99"/>
    <m/>
    <s v="PRELEVEMENT PAYPAL EUROPE S.A.R.L. ET CIE S.C.A ECH/220819 ID EMETTEUR/LU96ZZZ0000000000000000058 MDT/5HBJ224MREGGA REF/1006394969872 PAYPAL VIREMENT LIB/1006394969872 PAYPAL"/>
    <s v="UIT_VL"/>
    <s v="VASTELASTEN"/>
    <s v="google storage"/>
    <m/>
    <m/>
    <m/>
    <m/>
    <m/>
    <m/>
    <m/>
    <m/>
    <m/>
    <m/>
  </r>
  <r>
    <n v="1443"/>
    <x v="1"/>
    <m/>
    <x v="3"/>
    <x v="41"/>
    <d v="2019-08-23T00:00:00"/>
    <d v="2019-08-23T00:00:00"/>
    <n v="-7"/>
    <n v="7"/>
    <m/>
    <s v="PRELEVEMENT PAYPAL EUROPE S.A.R.L. ET CIE S.C.A ECH/230819 ID EMETTEUR/LU96ZZZ0000000000000000058 MDT/5HBJ224MREGGA REF/1006406716196 PAYPAL VIREMENT LIB/1006406716196 PAYPAL"/>
    <s v="UIT_VL"/>
    <s v="VASTELASTEN"/>
    <s v="microsoft"/>
    <m/>
    <m/>
    <m/>
    <m/>
    <m/>
    <m/>
    <m/>
    <m/>
    <m/>
    <m/>
  </r>
  <r>
    <n v="1444"/>
    <x v="1"/>
    <m/>
    <x v="3"/>
    <x v="41"/>
    <d v="2019-08-27T00:00:00"/>
    <d v="2019-08-27T00:00:00"/>
    <n v="-7"/>
    <n v="7"/>
    <m/>
    <s v="PRELEVEMENT PAYPAL EUROPE S.A.R.L. ET CIE S.C.A ECH/270819 ID EMETTEUR/LU96ZZZ0000000000000000058 MDT/5HBJ224MREGGA REF/1006422595845 PAYPAL VIREMENT LIB/1006422595845 PAYPAL"/>
    <s v="UIT_VL"/>
    <s v="VASTELASTEN"/>
    <s v="onbekend"/>
    <m/>
    <m/>
    <m/>
    <m/>
    <m/>
    <m/>
    <m/>
    <m/>
    <m/>
    <m/>
  </r>
  <r>
    <n v="1445"/>
    <x v="1"/>
    <m/>
    <x v="3"/>
    <x v="18"/>
    <d v="2019-09-03T00:00:00"/>
    <d v="2019-09-03T00:00:00"/>
    <n v="-8.7799999999999994"/>
    <n v="8.7799999999999994"/>
    <m/>
    <s v="COMMISSIONS COTISATION A UNE OFFRE GROUPEE DE SERVICES ESPRIT LIBRE"/>
    <s v="UIT_VL"/>
    <s v="VASTELASTEN"/>
    <s v="bankkosten"/>
    <m/>
    <m/>
    <m/>
    <m/>
    <m/>
    <m/>
    <m/>
    <m/>
    <m/>
    <m/>
  </r>
  <r>
    <n v="1447"/>
    <x v="1"/>
    <m/>
    <x v="3"/>
    <x v="18"/>
    <d v="2019-09-05T00:00:00"/>
    <d v="2019-09-05T00:00:00"/>
    <n v="-12.32"/>
    <n v="12.32"/>
    <m/>
    <s v="PRELEVEMENT CARDIF ASSURANCE VIE ECH/050919 ID EMETTEUR/FR28ZZZ110086 MDT/++FR28ZZZ1100862013111800895153CDIF REF/BP008372063         050919085877 LIB/BP008372063         050919"/>
    <s v="UIT_VL"/>
    <s v="VASTELASTEN"/>
    <s v="overlijdensverz"/>
    <m/>
    <m/>
    <m/>
    <m/>
    <m/>
    <m/>
    <m/>
    <m/>
    <m/>
    <m/>
  </r>
  <r>
    <n v="1448"/>
    <x v="1"/>
    <m/>
    <x v="3"/>
    <x v="18"/>
    <d v="2019-09-19T00:00:00"/>
    <d v="2019-09-19T00:00:00"/>
    <n v="-5.49"/>
    <n v="5.49"/>
    <m/>
    <s v="PRELEVEMENT PAYPAL EUROPE Chess.com"/>
    <s v="UIT_VL"/>
    <s v="VASTELASTEN"/>
    <s v="chess.com"/>
    <m/>
    <m/>
    <m/>
    <m/>
    <m/>
    <m/>
    <m/>
    <m/>
    <m/>
    <m/>
  </r>
  <r>
    <n v="1451"/>
    <x v="1"/>
    <m/>
    <x v="3"/>
    <x v="18"/>
    <d v="2019-09-24T00:00:00"/>
    <d v="2019-09-24T00:00:00"/>
    <n v="-1.99"/>
    <n v="1.99"/>
    <m/>
    <s v="PRELEVEMENT PAYPAL EUROPE S.A.R.L. ET CIE S.C.A ECH/240919 ID EMETTEUR/LU96ZZZ0000000000000000058 MDT/5HBJ224MREGGA REF/1006651082886 PAYPAL VIREMENT LIB/1006651082886 PAYPAL"/>
    <s v="UIT_VL"/>
    <s v="VASTELASTEN"/>
    <s v="google storage"/>
    <m/>
    <m/>
    <m/>
    <m/>
    <m/>
    <m/>
    <m/>
    <m/>
    <m/>
    <m/>
  </r>
  <r>
    <n v="1452"/>
    <x v="1"/>
    <m/>
    <x v="3"/>
    <x v="18"/>
    <d v="2019-09-25T00:00:00"/>
    <d v="2019-09-25T00:00:00"/>
    <n v="-7"/>
    <n v="7"/>
    <m/>
    <s v="PRELEVEMENT PAYPAL EUROPE S.A.R.L. ET CIE S.C.A ECH/250919 ID EMETTEUR/LU96ZZZ0000000000000000058 MDT/5HBJ224MREGGA REF/1006681123402 PAYPAL VIREMENT LIB/1006681123402 PAYPAL"/>
    <s v="UIT_VL"/>
    <s v="VASTELASTEN"/>
    <s v="microsoft"/>
    <m/>
    <m/>
    <m/>
    <m/>
    <m/>
    <m/>
    <m/>
    <m/>
    <m/>
    <m/>
  </r>
  <r>
    <n v="1454"/>
    <x v="1"/>
    <m/>
    <x v="3"/>
    <x v="39"/>
    <d v="2019-10-31T00:00:00"/>
    <d v="2019-10-31T00:00:00"/>
    <n v="-8.7799999999999994"/>
    <n v="8.7799999999999994"/>
    <m/>
    <s v="comissions esprit libre"/>
    <s v="UIT_VL"/>
    <s v="VASTELASTEN"/>
    <s v="bankkosten"/>
    <m/>
    <m/>
    <m/>
    <m/>
    <m/>
    <m/>
    <m/>
    <m/>
    <m/>
    <m/>
  </r>
  <r>
    <n v="1457"/>
    <x v="1"/>
    <m/>
    <x v="3"/>
    <x v="39"/>
    <d v="2019-10-31T00:00:00"/>
    <d v="2019-10-31T00:00:00"/>
    <n v="-12.32"/>
    <n v="12.32"/>
    <m/>
    <s v="cardif assurance"/>
    <s v="UIT_VL"/>
    <s v="VASTELASTEN"/>
    <s v="overlijdensverz"/>
    <m/>
    <m/>
    <m/>
    <m/>
    <m/>
    <m/>
    <m/>
    <m/>
    <m/>
    <m/>
  </r>
  <r>
    <n v="1458"/>
    <x v="1"/>
    <m/>
    <x v="3"/>
    <x v="39"/>
    <d v="2019-10-31T00:00:00"/>
    <d v="2019-10-31T00:00:00"/>
    <n v="-5.49"/>
    <n v="5.49"/>
    <m/>
    <s v="paypall schaken"/>
    <s v="UIT_VL"/>
    <s v="VASTELASTEN"/>
    <s v="chess.com"/>
    <m/>
    <m/>
    <m/>
    <m/>
    <m/>
    <m/>
    <m/>
    <m/>
    <m/>
    <m/>
  </r>
  <r>
    <n v="1463"/>
    <x v="1"/>
    <m/>
    <x v="3"/>
    <x v="16"/>
    <d v="2019-11-04T00:00:00"/>
    <d v="2019-11-04T00:00:00"/>
    <n v="-0.99"/>
    <n v="0.99"/>
    <m/>
    <s v="PAIEMENT CARTE DU 021119 APPLE.COM/BILL  CARTE   4974XXXXXXXX8716                IRL     0,99EUR"/>
    <s v="UIT_VL"/>
    <s v="VASTELASTEN"/>
    <s v="itunes"/>
    <m/>
    <m/>
    <m/>
    <m/>
    <m/>
    <m/>
    <m/>
    <m/>
    <m/>
    <m/>
  </r>
  <r>
    <n v="1464"/>
    <x v="1"/>
    <m/>
    <x v="3"/>
    <x v="16"/>
    <d v="2019-11-05T00:00:00"/>
    <d v="2019-11-05T00:00:00"/>
    <n v="-12.32"/>
    <n v="12.32"/>
    <m/>
    <s v="PRELEVEMENT CARDIF ASSURANCE VIE ECH/051119 ID EMETTEUR/FR28ZZZ110086 MDT/++FR28ZZZ1100862013111800895153CDIF REF/BP008372063         051119738808 LIB/BP008372063         051119"/>
    <s v="UIT_VL"/>
    <s v="VASTELASTEN"/>
    <s v="overlijdensverz"/>
    <m/>
    <m/>
    <m/>
    <m/>
    <m/>
    <m/>
    <m/>
    <m/>
    <m/>
    <m/>
  </r>
  <r>
    <n v="1465"/>
    <x v="1"/>
    <m/>
    <x v="3"/>
    <x v="16"/>
    <d v="2019-11-05T00:00:00"/>
    <d v="2019-11-05T00:00:00"/>
    <n v="-8.7799999999999994"/>
    <n v="8.7799999999999994"/>
    <m/>
    <s v="COMMISSIONS COTISATION A UNE OFFRE GROUPEE DE SERVICES ESPRIT LIBRE"/>
    <s v="UIT_VL"/>
    <s v="VASTELASTEN"/>
    <s v="bankkosten"/>
    <m/>
    <m/>
    <m/>
    <m/>
    <m/>
    <m/>
    <m/>
    <m/>
    <m/>
    <m/>
  </r>
  <r>
    <n v="1467"/>
    <x v="1"/>
    <m/>
    <x v="3"/>
    <x v="16"/>
    <d v="2019-11-06T00:00:00"/>
    <d v="2019-11-06T00:00:00"/>
    <n v="-4.99"/>
    <n v="4.99"/>
    <m/>
    <s v="PRELEVEMENT PAYPAL EUROPE S.A.R.L. ET CIE S.C.A ECH/061119 ID EMETTEUR/LU96ZZZ0000000000000000058 MDT/5HBJ224MREGGA REF/1007052956210 PAYPAL VIREMENT LIB/1007052956210 PAYPAL"/>
    <s v="UIT_VL"/>
    <s v="VASTELASTEN"/>
    <s v="medium"/>
    <m/>
    <m/>
    <m/>
    <m/>
    <m/>
    <m/>
    <m/>
    <m/>
    <m/>
    <m/>
  </r>
  <r>
    <n v="1468"/>
    <x v="1"/>
    <m/>
    <x v="3"/>
    <x v="16"/>
    <d v="2019-11-21T00:00:00"/>
    <d v="2019-11-21T00:00:00"/>
    <n v="-1.99"/>
    <n v="1.99"/>
    <m/>
    <s v="PRELEVEMENT PAYPAL EUROPE S.A.R.L. ET CIE S.C.A ECH/211119 ID EMETTEUR/LU96ZZZ0000000000000000058 MDT/5HBJ224MREGGA REF/1007191865470 PAYPAL VIREMENT LIB/1007191865470 PAYPAL"/>
    <s v="UIT_VL"/>
    <s v="VASTELASTEN"/>
    <s v="google storage"/>
    <m/>
    <m/>
    <m/>
    <m/>
    <m/>
    <m/>
    <m/>
    <m/>
    <m/>
    <m/>
  </r>
  <r>
    <n v="1469"/>
    <x v="1"/>
    <m/>
    <x v="3"/>
    <x v="16"/>
    <d v="2019-11-26T00:00:00"/>
    <d v="2019-11-26T00:00:00"/>
    <n v="-7"/>
    <n v="7"/>
    <m/>
    <s v="PRELEVEMENT PAYPAL EUROPE S.A.R.L. ET CIE S.C.A ECH/261119 ID EMETTEUR/LU96ZZZ0000000000000000058 MDT/5HBJ224MREGGA REF/1007226128891 PAYPAL VIREMENT LIB/1007226128891 PAYPAL"/>
    <s v="UIT_VL"/>
    <s v="VASTELASTEN"/>
    <s v="microsoft"/>
    <m/>
    <m/>
    <m/>
    <m/>
    <m/>
    <m/>
    <m/>
    <m/>
    <m/>
    <m/>
  </r>
  <r>
    <n v="1470"/>
    <x v="1"/>
    <m/>
    <x v="3"/>
    <x v="17"/>
    <d v="2019-12-03T00:00:00"/>
    <d v="2019-12-03T00:00:00"/>
    <n v="-8.7799999999999994"/>
    <n v="8.7799999999999994"/>
    <m/>
    <s v="COMMISSIONS COTISATION A UNE OFFRE GROUPEE DE SERVICES ESPRIT LIBRE"/>
    <s v="UIT_VL"/>
    <s v="VASTELASTEN"/>
    <s v="bankkosten"/>
    <m/>
    <m/>
    <m/>
    <m/>
    <m/>
    <m/>
    <m/>
    <m/>
    <m/>
    <m/>
  </r>
  <r>
    <n v="1471"/>
    <x v="1"/>
    <m/>
    <x v="3"/>
    <x v="17"/>
    <d v="2019-12-03T00:00:00"/>
    <d v="2019-12-03T00:00:00"/>
    <n v="-0.99"/>
    <n v="0.99"/>
    <m/>
    <s v="PAIEMENT CARTE DU 021219 APPLE.COM/BILL  CARTE   4974XXXXXXXX8716                IRL     0,99EUR"/>
    <s v="UIT_VL"/>
    <s v="VASTELASTEN"/>
    <s v="itunes"/>
    <m/>
    <m/>
    <m/>
    <m/>
    <m/>
    <m/>
    <m/>
    <m/>
    <m/>
    <m/>
  </r>
  <r>
    <n v="1472"/>
    <x v="1"/>
    <m/>
    <x v="3"/>
    <x v="17"/>
    <d v="2019-12-05T00:00:00"/>
    <d v="2019-12-05T00:00:00"/>
    <n v="-17.989999999999998"/>
    <n v="17.989999999999998"/>
    <m/>
    <s v="PRELEVEMENT PAYPAL EUROPE S.A.R.L. ET CIE S.C.A ECH/051219 ID EMETTEUR/LU96ZZZ0000000000000000058 MDT/5HBJ224MREGGA REF/1007339925239 PAYPAL VIREMENT LIB/1007339925239 PAYPAL"/>
    <s v="UIT_VL"/>
    <s v="VASTELASTEN"/>
    <s v="gravit"/>
    <m/>
    <m/>
    <m/>
    <m/>
    <m/>
    <m/>
    <m/>
    <m/>
    <m/>
    <m/>
  </r>
  <r>
    <n v="1473"/>
    <x v="1"/>
    <m/>
    <x v="3"/>
    <x v="17"/>
    <d v="2019-12-05T00:00:00"/>
    <d v="2019-12-05T00:00:00"/>
    <n v="-12.32"/>
    <n v="12.32"/>
    <m/>
    <s v="PRELEVEMENT CARDIF ASSURANCE VIE ECH/051219 ID EMETTEUR/FR28ZZZ110086 MDT/++FR28ZZZ1100862013111800895153CDIF REF/BP008372063         051219073543 LIB/BP008372063         051219"/>
    <s v="UIT_VL"/>
    <s v="VASTELASTEN"/>
    <s v="overlijdensverz"/>
    <m/>
    <m/>
    <m/>
    <m/>
    <m/>
    <m/>
    <m/>
    <m/>
    <m/>
    <m/>
  </r>
  <r>
    <n v="1474"/>
    <x v="1"/>
    <m/>
    <x v="3"/>
    <x v="17"/>
    <d v="2019-12-06T00:00:00"/>
    <d v="2019-12-06T00:00:00"/>
    <n v="-4.99"/>
    <n v="4.99"/>
    <m/>
    <s v="PRELEVEMENT PAYPAL EUROPE S.A.R.L. ET CIE S.C.A ECH/061219 ID EMETTEUR/LU96ZZZ0000000000000000058 MDT/5HBJ224MREGGA REF/1007348935750 PAYPAL VIREMENT LIB/1007348935750 PAYPAL"/>
    <s v="UIT_VL"/>
    <s v="VASTELASTEN"/>
    <s v="medium"/>
    <m/>
    <m/>
    <m/>
    <m/>
    <m/>
    <m/>
    <m/>
    <m/>
    <m/>
    <m/>
  </r>
  <r>
    <n v="1475"/>
    <x v="1"/>
    <m/>
    <x v="3"/>
    <x v="17"/>
    <d v="2019-12-23T00:00:00"/>
    <d v="2019-12-23T00:00:00"/>
    <n v="-1.99"/>
    <n v="1.99"/>
    <m/>
    <s v="PRELEVEMENT PAYPAL EUROPE S.A.R.L. ET CIE S.C.A ECH/231219 ID EMETTEUR/LU96ZZZ0000000000000000058 MDT/5HBJ224MREGGA REF/1007506501635 PAYPAL VIREMENT LIB/1007506501635 PAYPAL"/>
    <s v="UIT_VL"/>
    <s v="VASTELASTEN"/>
    <s v="microsoft"/>
    <m/>
    <m/>
    <m/>
    <m/>
    <m/>
    <m/>
    <m/>
    <m/>
    <m/>
    <m/>
  </r>
  <r>
    <n v="1476"/>
    <x v="1"/>
    <m/>
    <x v="3"/>
    <x v="41"/>
    <d v="2020-08-07T00:00:00"/>
    <d v="2020-08-07T00:00:00"/>
    <n v="-4.99"/>
    <n v="4.99"/>
    <m/>
    <s v="PRELEVEMENT PAYPAL EUROPE S.A.R.L. ET CIE S.C.A ECH/070819 ID EMETTEUR/LU96ZZZ0000000000000000058 MDT/5HBJ224MREGGA REF/1006280436099 PAYPAL VIREMENT LIB/1006280436099 PAYPAL"/>
    <s v="UIT_VL"/>
    <s v="VASTELASTEN"/>
    <s v="medium"/>
    <m/>
    <m/>
    <m/>
    <m/>
    <m/>
    <m/>
    <m/>
    <m/>
    <m/>
    <m/>
  </r>
  <r>
    <n v="1477"/>
    <x v="10"/>
    <m/>
    <x v="3"/>
    <x v="13"/>
    <d v="2019-01-28T00:00:00"/>
    <d v="2019-01-28T00:00:00"/>
    <n v="-64.44"/>
    <n v="64.44"/>
    <m/>
    <s v="ADDEBITO DIRETTO PREAUTORIZZATO VODAFONE ITAL CID.IT200010000093026890017 280119 MAN.SMTRCN77M23Z217Q"/>
    <s v="UIT_VL"/>
    <s v="VASTELASTEN"/>
    <s v="internet_telefoon_it"/>
    <m/>
    <m/>
    <m/>
    <m/>
    <m/>
    <m/>
    <m/>
    <m/>
    <m/>
    <m/>
  </r>
  <r>
    <n v="1478"/>
    <x v="10"/>
    <m/>
    <x v="3"/>
    <x v="53"/>
    <d v="2019-04-01T00:00:00"/>
    <d v="2019-04-01T00:00:00"/>
    <n v="-10"/>
    <n v="10"/>
    <m/>
    <s v="CANONE ANNUO ANTICIPATO POSTEPAY CANONE ANNUO ANTICIPATO POSTEPAY"/>
    <s v="UIT_VL"/>
    <s v="VASTELASTEN"/>
    <s v="bankkosten"/>
    <m/>
    <m/>
    <m/>
    <m/>
    <m/>
    <m/>
    <m/>
    <m/>
    <m/>
    <m/>
  </r>
  <r>
    <n v="1479"/>
    <x v="10"/>
    <m/>
    <x v="3"/>
    <x v="38"/>
    <d v="2019-07-01T00:00:00"/>
    <d v="2019-07-01T00:00:00"/>
    <n v="-49.97"/>
    <n v="49.97"/>
    <m/>
    <s v="ADDEBITO DIRETTO PREAUTORIZZATO WIND TRE S P CID.IT960020000013378520152 010719 MAN.O66791P1098863841"/>
    <s v="UIT_VL"/>
    <s v="VASTELASTEN"/>
    <s v="internet_telefoon_it"/>
    <m/>
    <m/>
    <m/>
    <m/>
    <m/>
    <m/>
    <m/>
    <m/>
    <m/>
    <m/>
  </r>
  <r>
    <n v="1480"/>
    <x v="10"/>
    <m/>
    <x v="3"/>
    <x v="38"/>
    <d v="2019-07-31T00:00:00"/>
    <d v="2019-07-31T00:00:00"/>
    <n v="-26.98"/>
    <n v="26.98"/>
    <m/>
    <s v="ADDEBITO DIRETTO PREAUTORIZZATO WIND TRE S P CID.IT960020000013378520152 310719 MAN.O66791P1098863841"/>
    <s v="UIT_VL"/>
    <s v="VASTELASTEN"/>
    <s v="internet_telefoon_it"/>
    <m/>
    <m/>
    <m/>
    <m/>
    <m/>
    <m/>
    <m/>
    <m/>
    <m/>
    <m/>
  </r>
  <r>
    <n v="1481"/>
    <x v="10"/>
    <m/>
    <x v="3"/>
    <x v="41"/>
    <d v="2019-07-31T00:00:00"/>
    <d v="2019-07-31T00:00:00"/>
    <n v="-26.98"/>
    <n v="26.98"/>
    <m/>
    <s v="ADDEBITO DIRETTO PREAUTORIZZATO WIND TRE S P CID.IT960020000013378520152 310719 MAN.O66791P1098863841"/>
    <s v="UIT_VL"/>
    <s v="VASTELASTEN"/>
    <s v="internet_telefoon_it"/>
    <m/>
    <m/>
    <m/>
    <m/>
    <m/>
    <m/>
    <m/>
    <m/>
    <m/>
    <m/>
  </r>
  <r>
    <n v="1482"/>
    <x v="10"/>
    <m/>
    <x v="3"/>
    <x v="18"/>
    <d v="2019-07-31T00:00:00"/>
    <d v="2019-07-31T00:00:00"/>
    <n v="-26.98"/>
    <n v="26.98"/>
    <m/>
    <s v="ADDEBITO DIRETTO PREAUTORIZZATO WIND TRE S P CID.IT960020000013378520152 310719 MAN.O66791P1098863841"/>
    <s v="UIT_VL"/>
    <s v="VASTELASTEN"/>
    <s v="internet_telefoon_it"/>
    <m/>
    <m/>
    <m/>
    <m/>
    <m/>
    <m/>
    <m/>
    <m/>
    <m/>
    <m/>
  </r>
  <r>
    <n v="1483"/>
    <x v="10"/>
    <m/>
    <x v="3"/>
    <x v="39"/>
    <d v="2019-10-31T00:00:00"/>
    <d v="2019-10-31T00:00:00"/>
    <n v="-26.98"/>
    <n v="26.98"/>
    <m/>
    <s v="ADDEBITO DIRETTO PREAUTORIZZATO WIND TRE S P CID.IT960020000013378520152 311019 MAN.O66791P1098863841"/>
    <s v="UIT_VL"/>
    <s v="VASTELASTEN"/>
    <s v="internet_telefoon_it"/>
    <m/>
    <m/>
    <m/>
    <m/>
    <m/>
    <m/>
    <m/>
    <m/>
    <m/>
    <m/>
  </r>
  <r>
    <n v="1674"/>
    <x v="3"/>
    <m/>
    <x v="3"/>
    <x v="13"/>
    <d v="2019-01-03T00:00:00"/>
    <d v="2019-01-03T00:00:00"/>
    <n v="0.6"/>
    <n v="0.6"/>
    <m/>
    <s v="Kosten"/>
    <s v="UIT_VL"/>
    <s v="VASTELASTEN"/>
    <s v="bankkosten"/>
    <m/>
    <m/>
    <m/>
    <m/>
    <m/>
    <m/>
    <m/>
    <m/>
    <m/>
    <m/>
  </r>
  <r>
    <n v="1675"/>
    <x v="3"/>
    <m/>
    <x v="3"/>
    <x v="13"/>
    <d v="2019-01-03T00:00:00"/>
    <d v="2019-01-03T00:00:00"/>
    <n v="-4.7"/>
    <n v="4.7"/>
    <m/>
    <s v="Kosten"/>
    <s v="UIT_VL"/>
    <s v="VASTELASTEN"/>
    <s v="bankkosten"/>
    <m/>
    <m/>
    <m/>
    <m/>
    <m/>
    <m/>
    <m/>
    <m/>
    <m/>
    <m/>
  </r>
  <r>
    <n v="1677"/>
    <x v="3"/>
    <m/>
    <x v="3"/>
    <x v="13"/>
    <d v="2019-01-21T00:00:00"/>
    <d v="2019-01-21T00:00:00"/>
    <n v="99"/>
    <n v="99"/>
    <m/>
    <s v="BELASTINGDIENST"/>
    <s v="UIT_VL"/>
    <s v="VASTELASTEN"/>
    <s v="zorgtoeslag"/>
    <m/>
    <m/>
    <m/>
    <m/>
    <m/>
    <m/>
    <m/>
    <m/>
    <m/>
    <m/>
  </r>
  <r>
    <n v="1678"/>
    <x v="3"/>
    <m/>
    <x v="3"/>
    <x v="13"/>
    <d v="2019-01-23T00:00:00"/>
    <d v="2019-01-23T00:00:00"/>
    <n v="-67"/>
    <n v="67"/>
    <m/>
    <s v="NS GROEP IZ NS REIZIGERS"/>
    <s v="UIT_VL"/>
    <s v="VASTELASTEN"/>
    <s v="ovchipabo"/>
    <m/>
    <m/>
    <m/>
    <m/>
    <m/>
    <m/>
    <m/>
    <m/>
    <m/>
    <m/>
  </r>
  <r>
    <n v="1679"/>
    <x v="3"/>
    <m/>
    <x v="3"/>
    <x v="13"/>
    <d v="2019-01-28T00:00:00"/>
    <d v="2019-01-28T00:00:00"/>
    <n v="-108.35"/>
    <n v="108.35"/>
    <m/>
    <s v="NV UNIVE ZORG"/>
    <s v="UIT_VL"/>
    <s v="VASTELASTEN"/>
    <s v="zorgverzekering"/>
    <m/>
    <m/>
    <m/>
    <m/>
    <m/>
    <m/>
    <m/>
    <m/>
    <m/>
    <m/>
  </r>
  <r>
    <n v="1681"/>
    <x v="3"/>
    <m/>
    <x v="3"/>
    <x v="15"/>
    <d v="2019-02-02T00:00:00"/>
    <d v="2019-02-02T00:00:00"/>
    <n v="0.6"/>
    <n v="0.6"/>
    <m/>
    <s v="Kosten"/>
    <s v="UIT_VL"/>
    <s v="VASTELASTEN"/>
    <s v="bankkosten"/>
    <m/>
    <m/>
    <m/>
    <m/>
    <m/>
    <m/>
    <m/>
    <m/>
    <m/>
    <m/>
  </r>
  <r>
    <n v="1682"/>
    <x v="3"/>
    <m/>
    <x v="3"/>
    <x v="15"/>
    <d v="2019-02-02T00:00:00"/>
    <d v="2019-02-02T00:00:00"/>
    <n v="-4.7"/>
    <n v="4.7"/>
    <m/>
    <s v="Kosten"/>
    <s v="UIT_VL"/>
    <s v="VASTELASTEN"/>
    <s v="bankkosten"/>
    <m/>
    <m/>
    <m/>
    <m/>
    <m/>
    <m/>
    <m/>
    <m/>
    <m/>
    <m/>
  </r>
  <r>
    <n v="1683"/>
    <x v="3"/>
    <m/>
    <x v="3"/>
    <x v="15"/>
    <d v="2019-02-08T00:00:00"/>
    <d v="2019-02-08T00:00:00"/>
    <n v="-41.26"/>
    <n v="41.26"/>
    <m/>
    <s v="Your Hosting B.V."/>
    <s v="UIT_VL"/>
    <s v="VASTELASTEN"/>
    <s v="internetsites"/>
    <m/>
    <m/>
    <m/>
    <m/>
    <m/>
    <m/>
    <m/>
    <m/>
    <m/>
    <m/>
  </r>
  <r>
    <n v="1684"/>
    <x v="3"/>
    <m/>
    <x v="3"/>
    <x v="15"/>
    <d v="2019-02-16T00:00:00"/>
    <d v="2019-02-16T00:00:00"/>
    <n v="-5"/>
    <n v="5"/>
    <m/>
    <s v="Buckaroo"/>
    <s v="UIT_VL"/>
    <s v="VASTELASTEN"/>
    <s v="foodlog"/>
    <m/>
    <m/>
    <m/>
    <m/>
    <m/>
    <m/>
    <m/>
    <m/>
    <m/>
    <m/>
  </r>
  <r>
    <n v="1685"/>
    <x v="3"/>
    <m/>
    <x v="3"/>
    <x v="15"/>
    <d v="2019-02-20T00:00:00"/>
    <d v="2019-02-20T00:00:00"/>
    <n v="99"/>
    <n v="99"/>
    <m/>
    <s v="BELASTINGDIENST"/>
    <s v="UIT_VL"/>
    <s v="VASTELASTEN"/>
    <s v="zorgtoeslag"/>
    <m/>
    <m/>
    <m/>
    <m/>
    <m/>
    <m/>
    <m/>
    <m/>
    <m/>
    <m/>
  </r>
  <r>
    <n v="1687"/>
    <x v="3"/>
    <m/>
    <x v="3"/>
    <x v="15"/>
    <d v="2019-02-27T00:00:00"/>
    <d v="2019-02-27T00:00:00"/>
    <n v="-108.35"/>
    <n v="108.35"/>
    <m/>
    <s v="NV UNIVE ZORG"/>
    <s v="UIT_VL"/>
    <s v="VASTELASTEN"/>
    <s v="zorgverzekering"/>
    <m/>
    <m/>
    <m/>
    <m/>
    <m/>
    <m/>
    <m/>
    <m/>
    <m/>
    <m/>
  </r>
  <r>
    <n v="1693"/>
    <x v="3"/>
    <m/>
    <x v="3"/>
    <x v="14"/>
    <d v="2019-03-02T00:00:00"/>
    <d v="2019-03-02T00:00:00"/>
    <n v="0.6"/>
    <n v="0.6"/>
    <m/>
    <s v="Kosten"/>
    <s v="UIT_VL"/>
    <s v="VASTELASTEN"/>
    <s v="bankkosten"/>
    <m/>
    <m/>
    <m/>
    <m/>
    <m/>
    <m/>
    <m/>
    <m/>
    <m/>
    <m/>
  </r>
  <r>
    <n v="1694"/>
    <x v="3"/>
    <m/>
    <x v="3"/>
    <x v="14"/>
    <d v="2019-03-02T00:00:00"/>
    <d v="2019-03-02T00:00:00"/>
    <n v="-4.7"/>
    <n v="4.7"/>
    <m/>
    <s v="Kosten"/>
    <s v="UIT_VL"/>
    <s v="VASTELASTEN"/>
    <s v="bankkosten"/>
    <m/>
    <m/>
    <m/>
    <m/>
    <m/>
    <m/>
    <m/>
    <m/>
    <m/>
    <m/>
  </r>
  <r>
    <n v="1696"/>
    <x v="3"/>
    <m/>
    <x v="3"/>
    <x v="14"/>
    <d v="2019-03-05T00:00:00"/>
    <d v="2019-03-05T00:00:00"/>
    <n v="-10"/>
    <n v="10"/>
    <m/>
    <s v="Shop 7309/ Plaza Schiphol Airp"/>
    <s v="UIT_VL"/>
    <s v="VASTELASTEN"/>
    <s v="internet_telefoon_nl"/>
    <m/>
    <m/>
    <m/>
    <m/>
    <m/>
    <m/>
    <m/>
    <m/>
    <m/>
    <m/>
  </r>
  <r>
    <n v="1698"/>
    <x v="3"/>
    <m/>
    <x v="3"/>
    <x v="14"/>
    <d v="2019-03-05T00:00:00"/>
    <d v="2019-03-05T00:00:00"/>
    <n v="-9.99"/>
    <n v="9.99"/>
    <m/>
    <s v="ADYEN NV"/>
    <s v="UIT_VL"/>
    <s v="VASTELASTEN"/>
    <s v="readly"/>
    <m/>
    <m/>
    <m/>
    <m/>
    <m/>
    <m/>
    <m/>
    <m/>
    <m/>
    <m/>
  </r>
  <r>
    <n v="1732"/>
    <x v="3"/>
    <m/>
    <x v="3"/>
    <x v="14"/>
    <d v="2019-03-20T00:00:00"/>
    <d v="2019-03-20T00:00:00"/>
    <n v="99"/>
    <n v="99"/>
    <m/>
    <s v="BELASTINGDIENST"/>
    <s v="UIT_VL"/>
    <s v="VASTELASTEN"/>
    <s v="zorgtoeslag"/>
    <m/>
    <m/>
    <m/>
    <m/>
    <m/>
    <m/>
    <m/>
    <m/>
    <m/>
    <m/>
  </r>
  <r>
    <n v="1736"/>
    <x v="3"/>
    <m/>
    <x v="3"/>
    <x v="14"/>
    <d v="2019-03-21T00:00:00"/>
    <d v="2019-03-21T00:00:00"/>
    <n v="-5"/>
    <n v="5"/>
    <m/>
    <s v="STICHTING DERDENGELDEN BUCKAROO"/>
    <s v="UIT_VL"/>
    <s v="VASTELASTEN"/>
    <s v="foodlog"/>
    <m/>
    <m/>
    <m/>
    <m/>
    <m/>
    <m/>
    <m/>
    <m/>
    <m/>
    <m/>
  </r>
  <r>
    <n v="1752"/>
    <x v="3"/>
    <m/>
    <x v="3"/>
    <x v="14"/>
    <d v="2019-03-26T00:00:00"/>
    <d v="2019-03-26T00:00:00"/>
    <n v="-19.989999999999998"/>
    <n v="19.989999999999998"/>
    <m/>
    <s v="ACP*VFW 548 ARNHEM"/>
    <s v="UIT_VL"/>
    <s v="VASTELASTEN"/>
    <s v="internet_telefoon_nl"/>
    <m/>
    <m/>
    <m/>
    <m/>
    <m/>
    <m/>
    <m/>
    <m/>
    <m/>
    <m/>
  </r>
  <r>
    <n v="1763"/>
    <x v="3"/>
    <m/>
    <x v="3"/>
    <x v="14"/>
    <d v="2019-03-27T00:00:00"/>
    <d v="2019-03-27T00:00:00"/>
    <n v="-108.35"/>
    <n v="108.35"/>
    <m/>
    <s v="NV UNIVE ZORG"/>
    <s v="UIT_VL"/>
    <s v="VASTELASTEN"/>
    <s v="zorgverzekering"/>
    <m/>
    <m/>
    <m/>
    <m/>
    <m/>
    <m/>
    <m/>
    <m/>
    <m/>
    <m/>
  </r>
  <r>
    <n v="1777"/>
    <x v="3"/>
    <m/>
    <x v="3"/>
    <x v="53"/>
    <d v="2019-04-02T00:00:00"/>
    <d v="2019-04-02T00:00:00"/>
    <n v="-9.99"/>
    <n v="9.99"/>
    <m/>
    <s v="ADYEN NV"/>
    <s v="UIT_VL"/>
    <s v="VASTELASTEN"/>
    <s v="readly"/>
    <m/>
    <m/>
    <m/>
    <m/>
    <m/>
    <m/>
    <m/>
    <m/>
    <m/>
    <m/>
  </r>
  <r>
    <n v="1778"/>
    <x v="3"/>
    <m/>
    <x v="3"/>
    <x v="53"/>
    <d v="2019-04-02T00:00:00"/>
    <d v="2019-04-02T00:00:00"/>
    <n v="0.6"/>
    <n v="0.6"/>
    <m/>
    <s v="Kosten"/>
    <s v="UIT_VL"/>
    <s v="VASTELASTEN"/>
    <s v="bankkosten"/>
    <m/>
    <m/>
    <m/>
    <m/>
    <m/>
    <m/>
    <m/>
    <m/>
    <m/>
    <m/>
  </r>
  <r>
    <n v="1779"/>
    <x v="3"/>
    <m/>
    <x v="3"/>
    <x v="53"/>
    <d v="2019-04-02T00:00:00"/>
    <d v="2019-04-02T00:00:00"/>
    <n v="-4.8"/>
    <n v="4.8"/>
    <m/>
    <s v="Kosten"/>
    <s v="UIT_VL"/>
    <s v="VASTELASTEN"/>
    <s v="bankkosten"/>
    <m/>
    <m/>
    <m/>
    <m/>
    <m/>
    <m/>
    <m/>
    <m/>
    <m/>
    <m/>
  </r>
  <r>
    <n v="1780"/>
    <x v="3"/>
    <m/>
    <x v="3"/>
    <x v="53"/>
    <d v="2019-04-02T00:00:00"/>
    <d v="2019-04-02T00:00:00"/>
    <n v="-10"/>
    <n v="10"/>
    <m/>
    <s v="ACP*VFW 699 STADSKANAAL"/>
    <s v="UIT_VL"/>
    <s v="VASTELASTEN"/>
    <s v="internet_telefoon_nl"/>
    <m/>
    <m/>
    <m/>
    <m/>
    <m/>
    <m/>
    <m/>
    <m/>
    <m/>
    <m/>
  </r>
  <r>
    <n v="1783"/>
    <x v="3"/>
    <m/>
    <x v="3"/>
    <x v="53"/>
    <d v="2019-04-04T00:00:00"/>
    <d v="2019-04-04T00:00:00"/>
    <n v="-5.5"/>
    <n v="5.5"/>
    <m/>
    <s v="OOM HOLDING NV"/>
    <s v="UIT_VL"/>
    <s v="VASTELASTEN"/>
    <s v="avp verzekering"/>
    <m/>
    <m/>
    <m/>
    <m/>
    <m/>
    <m/>
    <m/>
    <m/>
    <m/>
    <m/>
  </r>
  <r>
    <n v="1799"/>
    <x v="3"/>
    <m/>
    <x v="3"/>
    <x v="53"/>
    <d v="2019-04-23T00:00:00"/>
    <d v="2019-04-23T00:00:00"/>
    <n v="68.62"/>
    <n v="68.62"/>
    <m/>
    <s v="NV UNIVE ZORG"/>
    <s v="UIT_VL"/>
    <s v="VASTELASTEN"/>
    <s v="zorgverzekering"/>
    <m/>
    <m/>
    <m/>
    <m/>
    <m/>
    <m/>
    <m/>
    <m/>
    <m/>
    <m/>
  </r>
  <r>
    <n v="1803"/>
    <x v="3"/>
    <m/>
    <x v="3"/>
    <x v="53"/>
    <d v="2019-04-25T00:00:00"/>
    <d v="2019-04-25T00:00:00"/>
    <n v="-5"/>
    <n v="5"/>
    <m/>
    <s v="STICHTING DERDENGELDEN BUCKAROO"/>
    <s v="UIT_VL"/>
    <s v="VASTELASTEN"/>
    <s v="foodlog"/>
    <m/>
    <m/>
    <m/>
    <m/>
    <m/>
    <m/>
    <m/>
    <m/>
    <m/>
    <m/>
  </r>
  <r>
    <n v="1810"/>
    <x v="3"/>
    <m/>
    <x v="3"/>
    <x v="54"/>
    <d v="2019-05-02T00:00:00"/>
    <d v="2019-05-02T00:00:00"/>
    <n v="-5.5"/>
    <n v="5.5"/>
    <m/>
    <s v="OOM HOLDING NV"/>
    <s v="UIT_VL"/>
    <s v="VASTELASTEN"/>
    <s v="avp verzekering"/>
    <m/>
    <m/>
    <m/>
    <m/>
    <m/>
    <m/>
    <m/>
    <m/>
    <m/>
    <m/>
  </r>
  <r>
    <n v="1811"/>
    <x v="3"/>
    <m/>
    <x v="3"/>
    <x v="54"/>
    <d v="2019-05-03T00:00:00"/>
    <d v="2019-05-03T00:00:00"/>
    <n v="-9.99"/>
    <n v="9.99"/>
    <m/>
    <s v="ADYEN NV"/>
    <s v="UIT_VL"/>
    <s v="VASTELASTEN"/>
    <s v="readly"/>
    <m/>
    <m/>
    <m/>
    <m/>
    <m/>
    <m/>
    <m/>
    <m/>
    <m/>
    <m/>
  </r>
  <r>
    <n v="1812"/>
    <x v="3"/>
    <m/>
    <x v="3"/>
    <x v="54"/>
    <d v="2019-05-03T00:00:00"/>
    <d v="2019-05-03T00:00:00"/>
    <n v="0.7"/>
    <n v="0.7"/>
    <m/>
    <s v="Kosten"/>
    <s v="UIT_VL"/>
    <s v="VASTELASTEN"/>
    <s v="bankkosten"/>
    <m/>
    <m/>
    <m/>
    <m/>
    <m/>
    <m/>
    <m/>
    <m/>
    <m/>
    <m/>
  </r>
  <r>
    <n v="1813"/>
    <x v="3"/>
    <m/>
    <x v="3"/>
    <x v="54"/>
    <d v="2019-05-03T00:00:00"/>
    <d v="2019-05-03T00:00:00"/>
    <n v="-4.8"/>
    <n v="4.8"/>
    <m/>
    <s v="Kosten"/>
    <s v="UIT_VL"/>
    <s v="VASTELASTEN"/>
    <s v="bankkosten"/>
    <m/>
    <m/>
    <m/>
    <m/>
    <m/>
    <m/>
    <m/>
    <m/>
    <m/>
    <m/>
  </r>
  <r>
    <n v="1814"/>
    <x v="3"/>
    <m/>
    <x v="3"/>
    <x v="54"/>
    <d v="2019-05-07T00:00:00"/>
    <d v="2019-05-07T00:00:00"/>
    <n v="-50.6"/>
    <n v="50.6"/>
    <m/>
    <s v="Your Hosting B.V."/>
    <s v="UIT_VL"/>
    <s v="VASTELASTEN"/>
    <s v="internetsites"/>
    <m/>
    <m/>
    <m/>
    <m/>
    <m/>
    <m/>
    <m/>
    <m/>
    <m/>
    <m/>
  </r>
  <r>
    <n v="1819"/>
    <x v="3"/>
    <m/>
    <x v="3"/>
    <x v="54"/>
    <d v="2019-05-15T00:00:00"/>
    <d v="2019-05-15T00:00:00"/>
    <n v="10"/>
    <n v="10"/>
    <m/>
    <s v="RETOUR INTERNET RICARDO"/>
    <s v="UIT_VL"/>
    <s v="VASTELASTEN"/>
    <s v="internet_telefoon_it"/>
    <m/>
    <m/>
    <m/>
    <m/>
    <m/>
    <m/>
    <m/>
    <m/>
    <m/>
    <m/>
  </r>
  <r>
    <n v="1820"/>
    <x v="3"/>
    <m/>
    <x v="3"/>
    <x v="54"/>
    <d v="2019-05-17T00:00:00"/>
    <d v="2019-05-17T00:00:00"/>
    <n v="-20"/>
    <n v="20"/>
    <m/>
    <s v="Partij voor de Dieren"/>
    <s v="UIT_VL"/>
    <s v="VASTELASTEN"/>
    <s v="div"/>
    <m/>
    <m/>
    <m/>
    <m/>
    <m/>
    <m/>
    <m/>
    <m/>
    <m/>
    <m/>
  </r>
  <r>
    <n v="1822"/>
    <x v="3"/>
    <m/>
    <x v="3"/>
    <x v="54"/>
    <d v="2019-05-22T00:00:00"/>
    <d v="2019-05-22T00:00:00"/>
    <n v="-5"/>
    <n v="5"/>
    <m/>
    <s v="STICHTING DERDENGELDEN BUCKAROO"/>
    <s v="UIT_VL"/>
    <s v="VASTELASTEN"/>
    <s v="foodlog"/>
    <m/>
    <m/>
    <m/>
    <m/>
    <m/>
    <m/>
    <m/>
    <m/>
    <m/>
    <m/>
  </r>
  <r>
    <n v="1832"/>
    <x v="3"/>
    <m/>
    <x v="3"/>
    <x v="55"/>
    <d v="2019-06-04T00:00:00"/>
    <d v="2019-06-04T00:00:00"/>
    <n v="0.7"/>
    <n v="0.7"/>
    <m/>
    <s v="Kosten"/>
    <s v="UIT_VL"/>
    <s v="VASTELASTEN"/>
    <s v="bankkosten"/>
    <m/>
    <m/>
    <m/>
    <m/>
    <m/>
    <m/>
    <m/>
    <m/>
    <m/>
    <m/>
  </r>
  <r>
    <n v="1833"/>
    <x v="3"/>
    <m/>
    <x v="3"/>
    <x v="55"/>
    <d v="2019-06-04T00:00:00"/>
    <d v="2019-06-04T00:00:00"/>
    <n v="-4.8"/>
    <n v="4.8"/>
    <m/>
    <s v="Kosten"/>
    <s v="UIT_VL"/>
    <s v="VASTELASTEN"/>
    <s v="bankkosten"/>
    <m/>
    <m/>
    <m/>
    <m/>
    <m/>
    <m/>
    <m/>
    <m/>
    <m/>
    <m/>
  </r>
  <r>
    <n v="1834"/>
    <x v="3"/>
    <m/>
    <x v="3"/>
    <x v="55"/>
    <d v="2019-06-04T00:00:00"/>
    <d v="2019-06-04T00:00:00"/>
    <n v="-9.99"/>
    <n v="9.99"/>
    <m/>
    <s v="ADYEN NV"/>
    <s v="UIT_VL"/>
    <s v="VASTELASTEN"/>
    <s v="readly"/>
    <m/>
    <m/>
    <m/>
    <m/>
    <m/>
    <m/>
    <m/>
    <m/>
    <m/>
    <m/>
  </r>
  <r>
    <n v="1835"/>
    <x v="3"/>
    <m/>
    <x v="3"/>
    <x v="55"/>
    <d v="2019-06-05T00:00:00"/>
    <d v="2019-06-05T00:00:00"/>
    <n v="-5.5"/>
    <n v="5.5"/>
    <m/>
    <s v="OOM HOLDING NV"/>
    <s v="UIT_VL"/>
    <s v="VASTELASTEN"/>
    <s v="avp verzekering"/>
    <m/>
    <m/>
    <m/>
    <m/>
    <m/>
    <m/>
    <m/>
    <m/>
    <m/>
    <m/>
  </r>
  <r>
    <n v="1837"/>
    <x v="3"/>
    <m/>
    <x v="3"/>
    <x v="55"/>
    <d v="2019-06-06T00:00:00"/>
    <d v="2019-06-06T00:00:00"/>
    <n v="9.99"/>
    <n v="9.99"/>
    <m/>
    <s v="RETOUR INTERNET RICARDO"/>
    <s v="UIT_VL"/>
    <s v="VASTELASTEN"/>
    <s v="internet_telefoon_it"/>
    <m/>
    <m/>
    <m/>
    <m/>
    <m/>
    <m/>
    <m/>
    <m/>
    <m/>
    <m/>
  </r>
  <r>
    <n v="1844"/>
    <x v="3"/>
    <m/>
    <x v="3"/>
    <x v="55"/>
    <d v="2019-06-21T00:00:00"/>
    <d v="2019-06-21T00:00:00"/>
    <n v="-5"/>
    <n v="5"/>
    <m/>
    <s v="STICHTING DERDENGELDEN BUCKAROO"/>
    <s v="UIT_VL"/>
    <s v="VASTELASTEN"/>
    <s v="foodlog"/>
    <m/>
    <m/>
    <m/>
    <m/>
    <m/>
    <m/>
    <m/>
    <m/>
    <m/>
    <m/>
  </r>
  <r>
    <n v="1849"/>
    <x v="3"/>
    <m/>
    <x v="3"/>
    <x v="38"/>
    <d v="2019-07-02T00:00:00"/>
    <d v="2019-07-02T00:00:00"/>
    <n v="0.7"/>
    <n v="0.7"/>
    <m/>
    <s v="Kosten"/>
    <s v="UIT_VL"/>
    <s v="VASTELASTEN"/>
    <s v="bankkosten"/>
    <m/>
    <m/>
    <m/>
    <m/>
    <m/>
    <m/>
    <m/>
    <m/>
    <m/>
    <m/>
  </r>
  <r>
    <n v="1850"/>
    <x v="3"/>
    <m/>
    <x v="3"/>
    <x v="38"/>
    <d v="2019-07-02T00:00:00"/>
    <d v="2019-07-02T00:00:00"/>
    <n v="-4.8"/>
    <n v="4.8"/>
    <m/>
    <s v="Kosten"/>
    <s v="UIT_VL"/>
    <s v="VASTELASTEN"/>
    <s v="bankkosten"/>
    <m/>
    <m/>
    <m/>
    <m/>
    <m/>
    <m/>
    <m/>
    <m/>
    <m/>
    <m/>
  </r>
  <r>
    <n v="1852"/>
    <x v="3"/>
    <m/>
    <x v="3"/>
    <x v="38"/>
    <d v="2019-07-03T00:00:00"/>
    <d v="2019-07-03T00:00:00"/>
    <n v="-26.67"/>
    <n v="26.67"/>
    <m/>
    <s v="Your Hosting B.V."/>
    <s v="UIT_VL"/>
    <s v="VASTELASTEN"/>
    <s v="internetsites"/>
    <m/>
    <m/>
    <m/>
    <m/>
    <m/>
    <m/>
    <m/>
    <m/>
    <m/>
    <m/>
  </r>
  <r>
    <n v="1853"/>
    <x v="3"/>
    <m/>
    <x v="3"/>
    <x v="38"/>
    <d v="2019-07-03T00:00:00"/>
    <d v="2019-07-03T00:00:00"/>
    <n v="-5.5"/>
    <n v="5.5"/>
    <m/>
    <s v="OOM HOLDING NV"/>
    <s v="UIT_VL"/>
    <s v="VASTELASTEN"/>
    <s v="avp verzekering"/>
    <m/>
    <m/>
    <m/>
    <m/>
    <m/>
    <m/>
    <m/>
    <m/>
    <m/>
    <m/>
  </r>
  <r>
    <n v="1862"/>
    <x v="3"/>
    <m/>
    <x v="3"/>
    <x v="38"/>
    <d v="2019-07-23T00:00:00"/>
    <d v="2019-07-23T00:00:00"/>
    <n v="-5"/>
    <n v="5"/>
    <m/>
    <s v="STICHTING DERDENGELDEN BUCKAROO"/>
    <s v="UIT_VL"/>
    <s v="VASTELASTEN"/>
    <s v="foodlog"/>
    <m/>
    <m/>
    <m/>
    <m/>
    <m/>
    <m/>
    <m/>
    <m/>
    <m/>
    <m/>
  </r>
  <r>
    <n v="1865"/>
    <x v="3"/>
    <m/>
    <x v="3"/>
    <x v="38"/>
    <d v="2019-07-25T00:00:00"/>
    <d v="2019-07-25T00:00:00"/>
    <n v="15"/>
    <n v="15"/>
    <m/>
    <s v="RETOUR INTERNET RICARDO"/>
    <s v="UIT_VL"/>
    <s v="VASTELASTEN"/>
    <s v="internet_telefoon_it"/>
    <m/>
    <m/>
    <m/>
    <m/>
    <m/>
    <m/>
    <m/>
    <m/>
    <m/>
    <m/>
  </r>
  <r>
    <n v="1869"/>
    <x v="3"/>
    <m/>
    <x v="3"/>
    <x v="41"/>
    <d v="2019-08-01T00:00:00"/>
    <d v="2019-08-01T00:00:00"/>
    <n v="-0.7"/>
    <n v="0.7"/>
    <m/>
    <s v="Kosten"/>
    <s v="UIT_VL"/>
    <s v="VASTELASTEN"/>
    <s v="bankkosten"/>
    <m/>
    <m/>
    <m/>
    <m/>
    <m/>
    <m/>
    <m/>
    <m/>
    <m/>
    <m/>
  </r>
  <r>
    <n v="1870"/>
    <x v="3"/>
    <m/>
    <x v="3"/>
    <x v="41"/>
    <d v="2019-08-01T00:00:00"/>
    <d v="2019-08-01T00:00:00"/>
    <n v="-4.8"/>
    <n v="4.8"/>
    <m/>
    <s v="Kosten"/>
    <s v="UIT_VL"/>
    <s v="VASTELASTEN"/>
    <s v="bankkosten"/>
    <m/>
    <m/>
    <m/>
    <m/>
    <m/>
    <m/>
    <m/>
    <m/>
    <m/>
    <m/>
  </r>
  <r>
    <n v="1872"/>
    <x v="3"/>
    <m/>
    <x v="3"/>
    <x v="41"/>
    <d v="2019-08-05T00:00:00"/>
    <d v="2019-08-05T00:00:00"/>
    <n v="-5.05"/>
    <n v="5.05"/>
    <m/>
    <s v="OOM HOLDING NV"/>
    <s v="UIT_VL"/>
    <s v="VASTELASTEN"/>
    <s v="avp verzekering"/>
    <m/>
    <m/>
    <m/>
    <m/>
    <m/>
    <m/>
    <m/>
    <m/>
    <m/>
    <m/>
  </r>
  <r>
    <n v="1881"/>
    <x v="3"/>
    <m/>
    <x v="3"/>
    <x v="41"/>
    <d v="2019-08-19T00:00:00"/>
    <d v="2019-08-19T00:00:00"/>
    <n v="-0.01"/>
    <n v="0.01"/>
    <m/>
    <s v="Blendle B.V."/>
    <s v="UIT_VL"/>
    <s v="VASTELASTEN"/>
    <s v="blendle"/>
    <m/>
    <m/>
    <m/>
    <m/>
    <m/>
    <m/>
    <m/>
    <m/>
    <m/>
    <m/>
  </r>
  <r>
    <n v="1882"/>
    <x v="3"/>
    <m/>
    <x v="3"/>
    <x v="41"/>
    <d v="2019-08-21T00:00:00"/>
    <d v="2019-08-21T00:00:00"/>
    <n v="-5"/>
    <n v="5"/>
    <m/>
    <s v="STICHTING DERDENGELDEN BUCKAROO"/>
    <s v="UIT_VL"/>
    <s v="VASTELASTEN"/>
    <s v="foodlog"/>
    <m/>
    <m/>
    <m/>
    <m/>
    <m/>
    <m/>
    <m/>
    <m/>
    <m/>
    <m/>
  </r>
  <r>
    <n v="1887"/>
    <x v="3"/>
    <m/>
    <x v="3"/>
    <x v="18"/>
    <d v="2019-09-01T00:00:00"/>
    <d v="2019-09-01T00:00:00"/>
    <n v="-0.7"/>
    <n v="0.7"/>
    <m/>
    <s v="Kosten"/>
    <s v="UIT_VL"/>
    <s v="VASTELASTEN"/>
    <s v="bankkosten"/>
    <m/>
    <m/>
    <m/>
    <m/>
    <m/>
    <m/>
    <m/>
    <m/>
    <m/>
    <m/>
  </r>
  <r>
    <n v="1888"/>
    <x v="3"/>
    <m/>
    <x v="3"/>
    <x v="18"/>
    <d v="2019-09-01T00:00:00"/>
    <d v="2019-09-01T00:00:00"/>
    <n v="-4.8"/>
    <n v="4.8"/>
    <m/>
    <s v="Kosten"/>
    <s v="UIT_VL"/>
    <s v="VASTELASTEN"/>
    <s v="bankkosten"/>
    <m/>
    <m/>
    <m/>
    <m/>
    <m/>
    <m/>
    <m/>
    <m/>
    <m/>
    <m/>
  </r>
  <r>
    <n v="1889"/>
    <x v="3"/>
    <m/>
    <x v="3"/>
    <x v="18"/>
    <d v="2019-09-04T00:00:00"/>
    <d v="2019-09-04T00:00:00"/>
    <n v="-5.05"/>
    <n v="5.05"/>
    <m/>
    <s v="OOM HOLDING NV"/>
    <s v="UIT_VL"/>
    <s v="VASTELASTEN"/>
    <s v="avp verzekering"/>
    <m/>
    <m/>
    <m/>
    <m/>
    <m/>
    <m/>
    <m/>
    <m/>
    <m/>
    <m/>
  </r>
  <r>
    <n v="1897"/>
    <x v="3"/>
    <m/>
    <x v="3"/>
    <x v="18"/>
    <d v="2019-09-20T00:00:00"/>
    <d v="2019-09-20T00:00:00"/>
    <n v="-5"/>
    <n v="5"/>
    <m/>
    <s v="STICHTING DERDENGELDEN BUCKAROO"/>
    <s v="UIT_VL"/>
    <s v="VASTELASTEN"/>
    <s v="foodlog"/>
    <m/>
    <m/>
    <m/>
    <m/>
    <m/>
    <m/>
    <m/>
    <m/>
    <m/>
    <m/>
  </r>
  <r>
    <n v="1908"/>
    <x v="3"/>
    <m/>
    <x v="3"/>
    <x v="39"/>
    <d v="2019-10-03T00:00:00"/>
    <d v="2019-10-03T00:00:00"/>
    <n v="-5.05"/>
    <n v="5.05"/>
    <m/>
    <s v="OOM HOLDING NV"/>
    <s v="UIT_VL"/>
    <s v="VASTELASTEN"/>
    <s v="avp verzekering"/>
    <m/>
    <m/>
    <m/>
    <m/>
    <m/>
    <m/>
    <m/>
    <m/>
    <m/>
    <m/>
  </r>
  <r>
    <n v="1909"/>
    <x v="3"/>
    <m/>
    <x v="3"/>
    <x v="39"/>
    <d v="2019-10-03T00:00:00"/>
    <d v="2019-10-03T00:00:00"/>
    <n v="-0.7"/>
    <n v="0.7"/>
    <m/>
    <s v="Kosten"/>
    <s v="UIT_VL"/>
    <s v="VASTELASTEN"/>
    <s v="bankkosten"/>
    <m/>
    <m/>
    <m/>
    <m/>
    <m/>
    <m/>
    <m/>
    <m/>
    <m/>
    <m/>
  </r>
  <r>
    <n v="1910"/>
    <x v="3"/>
    <m/>
    <x v="3"/>
    <x v="39"/>
    <d v="2019-10-03T00:00:00"/>
    <d v="2019-10-03T00:00:00"/>
    <n v="-4.8"/>
    <n v="4.8"/>
    <m/>
    <s v="Kosten"/>
    <s v="UIT_VL"/>
    <s v="VASTELASTEN"/>
    <s v="bankkosten"/>
    <m/>
    <m/>
    <m/>
    <m/>
    <m/>
    <m/>
    <m/>
    <m/>
    <m/>
    <m/>
  </r>
  <r>
    <n v="1912"/>
    <x v="3"/>
    <m/>
    <x v="3"/>
    <x v="39"/>
    <d v="2019-10-08T00:00:00"/>
    <d v="2019-10-08T00:00:00"/>
    <n v="-87.12"/>
    <n v="87.12"/>
    <m/>
    <s v="VEVIDA BV"/>
    <s v="UIT_VL"/>
    <s v="VASTELASTEN"/>
    <s v="internetsites"/>
    <m/>
    <m/>
    <m/>
    <m/>
    <m/>
    <m/>
    <m/>
    <m/>
    <m/>
    <m/>
  </r>
  <r>
    <n v="1948"/>
    <x v="3"/>
    <m/>
    <x v="3"/>
    <x v="39"/>
    <d v="2019-10-22T00:00:00"/>
    <d v="2019-10-22T00:00:00"/>
    <n v="-5"/>
    <n v="5"/>
    <m/>
    <s v="STICHTING DERDENGELDEN BUCKAROO"/>
    <s v="UIT_VL"/>
    <s v="VASTELASTEN"/>
    <s v="foodlog"/>
    <m/>
    <m/>
    <m/>
    <m/>
    <m/>
    <m/>
    <m/>
    <m/>
    <m/>
    <m/>
  </r>
  <r>
    <n v="1969"/>
    <x v="3"/>
    <m/>
    <x v="3"/>
    <x v="39"/>
    <d v="2019-10-27T00:00:00"/>
    <d v="2019-10-27T00:00:00"/>
    <n v="-5"/>
    <n v="5"/>
    <m/>
    <s v="ACP*VFW 548 ARNHEM"/>
    <s v="UIT_VL"/>
    <s v="VASTELASTEN"/>
    <s v="internet_telefoon_nl"/>
    <m/>
    <m/>
    <m/>
    <m/>
    <m/>
    <m/>
    <m/>
    <m/>
    <m/>
    <m/>
  </r>
  <r>
    <n v="1991"/>
    <x v="3"/>
    <m/>
    <x v="3"/>
    <x v="16"/>
    <d v="2019-11-02T00:00:00"/>
    <d v="2019-11-02T00:00:00"/>
    <n v="-0.7"/>
    <n v="0.7"/>
    <m/>
    <s v="Kosten"/>
    <s v="UIT_VL"/>
    <s v="VASTELASTEN"/>
    <s v="bankkosten"/>
    <m/>
    <m/>
    <m/>
    <m/>
    <m/>
    <m/>
    <m/>
    <m/>
    <m/>
    <m/>
  </r>
  <r>
    <n v="1992"/>
    <x v="3"/>
    <m/>
    <x v="3"/>
    <x v="16"/>
    <d v="2019-11-02T00:00:00"/>
    <d v="2019-11-02T00:00:00"/>
    <n v="-4.8"/>
    <n v="4.8"/>
    <m/>
    <s v="Kosten"/>
    <s v="UIT_VL"/>
    <s v="VASTELASTEN"/>
    <s v="bankkosten"/>
    <m/>
    <m/>
    <m/>
    <m/>
    <m/>
    <m/>
    <m/>
    <m/>
    <m/>
    <m/>
  </r>
  <r>
    <n v="1994"/>
    <x v="3"/>
    <m/>
    <x v="3"/>
    <x v="16"/>
    <d v="2019-11-04T00:00:00"/>
    <d v="2019-11-04T00:00:00"/>
    <n v="-5.05"/>
    <n v="5.05"/>
    <m/>
    <s v="OOM HOLDING NV"/>
    <s v="UIT_VL"/>
    <s v="VASTELASTEN"/>
    <s v="avp verzekering"/>
    <m/>
    <m/>
    <m/>
    <m/>
    <m/>
    <m/>
    <m/>
    <m/>
    <m/>
    <m/>
  </r>
  <r>
    <n v="1998"/>
    <x v="3"/>
    <m/>
    <x v="3"/>
    <x v="16"/>
    <d v="2019-11-06T00:00:00"/>
    <d v="2019-11-06T00:00:00"/>
    <n v="-51.15"/>
    <n v="51.15"/>
    <m/>
    <s v="Your Hosting B.V."/>
    <s v="UIT_VL"/>
    <s v="VASTELASTEN"/>
    <s v="internetsites"/>
    <m/>
    <m/>
    <m/>
    <m/>
    <m/>
    <m/>
    <m/>
    <m/>
    <m/>
    <m/>
  </r>
  <r>
    <n v="2001"/>
    <x v="3"/>
    <m/>
    <x v="3"/>
    <x v="16"/>
    <d v="2019-11-08T00:00:00"/>
    <d v="2019-11-08T00:00:00"/>
    <n v="3.36"/>
    <n v="3.36"/>
    <m/>
    <s v="OOM HOLDING NV"/>
    <s v="UIT_VL"/>
    <s v="VASTELASTEN"/>
    <s v="avp verzekering"/>
    <m/>
    <m/>
    <m/>
    <m/>
    <m/>
    <m/>
    <m/>
    <m/>
    <m/>
    <m/>
  </r>
  <r>
    <n v="2013"/>
    <x v="3"/>
    <m/>
    <x v="3"/>
    <x v="16"/>
    <d v="2019-11-20T00:00:00"/>
    <d v="2019-11-20T00:00:00"/>
    <n v="-9.99"/>
    <n v="9.99"/>
    <m/>
    <s v="Blendle B.V."/>
    <s v="UIT_VL"/>
    <s v="VASTELASTEN"/>
    <s v="blendle"/>
    <m/>
    <m/>
    <m/>
    <m/>
    <m/>
    <m/>
    <m/>
    <m/>
    <m/>
    <m/>
  </r>
  <r>
    <n v="2014"/>
    <x v="3"/>
    <m/>
    <x v="3"/>
    <x v="16"/>
    <d v="2019-11-20T00:00:00"/>
    <d v="2019-11-20T00:00:00"/>
    <n v="-5"/>
    <n v="5"/>
    <m/>
    <s v="STICHTING DERDENGELDEN BUCKAROO"/>
    <s v="UIT_VL"/>
    <s v="VASTELASTEN"/>
    <s v="foodlog"/>
    <m/>
    <m/>
    <m/>
    <m/>
    <m/>
    <m/>
    <m/>
    <m/>
    <m/>
    <m/>
  </r>
  <r>
    <n v="2022"/>
    <x v="3"/>
    <m/>
    <x v="3"/>
    <x v="17"/>
    <d v="2019-12-03T00:00:00"/>
    <d v="2019-12-03T00:00:00"/>
    <n v="-0.7"/>
    <n v="0.7"/>
    <m/>
    <s v="Kosten"/>
    <s v="UIT_VL"/>
    <s v="VASTELASTEN"/>
    <s v="bankkosten"/>
    <m/>
    <m/>
    <m/>
    <m/>
    <m/>
    <m/>
    <m/>
    <m/>
    <m/>
    <m/>
  </r>
  <r>
    <n v="2023"/>
    <x v="3"/>
    <m/>
    <x v="3"/>
    <x v="17"/>
    <d v="2019-12-03T00:00:00"/>
    <d v="2019-12-03T00:00:00"/>
    <n v="-4.8"/>
    <n v="4.8"/>
    <m/>
    <s v="Kosten"/>
    <s v="UIT_VL"/>
    <s v="VASTELASTEN"/>
    <s v="bankkosten"/>
    <m/>
    <m/>
    <m/>
    <m/>
    <m/>
    <m/>
    <m/>
    <m/>
    <m/>
    <m/>
  </r>
  <r>
    <n v="2026"/>
    <x v="3"/>
    <m/>
    <x v="3"/>
    <x v="17"/>
    <d v="2019-12-20T00:00:00"/>
    <d v="2019-12-20T00:00:00"/>
    <n v="-9.99"/>
    <n v="9.99"/>
    <m/>
    <s v="Blendle B.V."/>
    <s v="UIT_VL"/>
    <s v="VASTELASTEN"/>
    <s v="blendle"/>
    <m/>
    <m/>
    <m/>
    <m/>
    <m/>
    <m/>
    <m/>
    <m/>
    <m/>
    <m/>
  </r>
  <r>
    <n v="2027"/>
    <x v="3"/>
    <m/>
    <x v="3"/>
    <x v="17"/>
    <d v="2019-12-20T00:00:00"/>
    <d v="2019-12-20T00:00:00"/>
    <n v="-5"/>
    <n v="5"/>
    <m/>
    <s v="STICHTING DERDENGELDEN BUCKAROO"/>
    <s v="UIT_VL"/>
    <s v="VASTELASTEN"/>
    <s v="foodlog"/>
    <m/>
    <m/>
    <m/>
    <m/>
    <m/>
    <m/>
    <m/>
    <m/>
    <m/>
    <m/>
  </r>
  <r>
    <n v="2034"/>
    <x v="4"/>
    <m/>
    <x v="3"/>
    <x v="18"/>
    <d v="2019-09-27T00:00:00"/>
    <d v="2019-09-27T00:00:00"/>
    <n v="-5"/>
    <n v="5"/>
    <m/>
    <s v="PAGAMENTO ON LINE 27/09/2019 13.48 WIND RICARICA ONLINE ROMA ITA N. 679433"/>
    <s v="UIT_VL"/>
    <s v="VASTELASTEN"/>
    <s v="internet_telefoon_it"/>
    <m/>
    <m/>
    <m/>
    <m/>
    <m/>
    <m/>
    <m/>
    <m/>
    <m/>
    <m/>
  </r>
  <r>
    <n v="2035"/>
    <x v="4"/>
    <m/>
    <x v="3"/>
    <x v="18"/>
    <d v="2019-09-28T00:00:00"/>
    <d v="2019-09-28T00:00:00"/>
    <n v="-20"/>
    <n v="20"/>
    <m/>
    <s v="PAGAMENTO ON LINE 28/09/2019 07.48 VESTA *VODAFONE VODAFONE.NL IRL N. 676124"/>
    <s v="UIT_VL"/>
    <s v="VASTELASTEN"/>
    <s v="internet_telefoon_nl"/>
    <m/>
    <m/>
    <m/>
    <m/>
    <m/>
    <m/>
    <m/>
    <m/>
    <m/>
    <m/>
  </r>
  <r>
    <n v="2039"/>
    <x v="0"/>
    <m/>
    <x v="3"/>
    <x v="14"/>
    <d v="2019-03-06T00:00:00"/>
    <d v="2019-03-06T00:00:00"/>
    <n v="-72.44"/>
    <n v="72.44"/>
    <m/>
    <s v="1171820 VODAFONE MILANO ITA"/>
    <s v="UIT_VL"/>
    <s v="VASTELASTEN"/>
    <s v="internet_telefoon_it"/>
    <m/>
    <m/>
    <m/>
    <m/>
    <m/>
    <m/>
    <m/>
    <m/>
    <m/>
    <m/>
  </r>
  <r>
    <n v="2043"/>
    <x v="0"/>
    <m/>
    <x v="3"/>
    <x v="38"/>
    <d v="2019-07-26T00:00:00"/>
    <d v="2019-07-26T00:00:00"/>
    <n v="-67.2"/>
    <n v="67.2"/>
    <m/>
    <s v="OOM Verzekeringen RIJSWIJK NLD"/>
    <s v="UIT_VL"/>
    <s v="VASTELASTEN"/>
    <s v="zorgverzekering"/>
    <m/>
    <m/>
    <m/>
    <m/>
    <m/>
    <m/>
    <m/>
    <m/>
    <m/>
    <m/>
  </r>
  <r>
    <n v="2050"/>
    <x v="0"/>
    <m/>
    <x v="3"/>
    <x v="17"/>
    <d v="2019-12-01T00:00:00"/>
    <d v="2019-12-01T00:00:00"/>
    <n v="-4.5"/>
    <n v="4.5"/>
    <m/>
    <s v="KOSTEN GELDAUTOMAAT"/>
    <s v="UIT_VL"/>
    <s v="VASTELASTEN"/>
    <s v="bankkosten"/>
    <m/>
    <m/>
    <m/>
    <m/>
    <m/>
    <m/>
    <m/>
    <m/>
    <m/>
    <m/>
  </r>
  <r>
    <n v="2054"/>
    <x v="1"/>
    <m/>
    <x v="4"/>
    <x v="20"/>
    <d v="2020-01-03T00:00:00"/>
    <d v="2020-01-03T00:00:00"/>
    <n v="-8.7799999999999994"/>
    <n v="8.7799999999999994"/>
    <m/>
    <s v="COMMISSIONS COTISATION A UNE OFFRE GROUPEE DE SERVICES ESPRIT LIBRE"/>
    <s v="UIT_VL"/>
    <s v="VASTELASTEN"/>
    <s v="bankkosten"/>
    <m/>
    <s v="03-01-2020"/>
    <s v="Autres dépenses à catégoriser"/>
    <s v="COMMISSIONS COTISATION A UNE OFFRE GROUPEE DE SERVICES ESPRIT LIBRE"/>
    <n v="-8.7799999999999994"/>
    <m/>
    <m/>
    <m/>
    <m/>
    <m/>
  </r>
  <r>
    <n v="2055"/>
    <x v="1"/>
    <m/>
    <x v="4"/>
    <x v="20"/>
    <d v="2020-01-03T00:00:00"/>
    <d v="2020-01-03T00:00:00"/>
    <n v="-0.99"/>
    <n v="0.99"/>
    <m/>
    <s v="PAIEMENT CARTE DU 020120 APPLE.COM/BILL  CARTE   4974XXXXXXXX8716                IRL     0,99EUR"/>
    <s v="UIT_VL"/>
    <s v="VASTELASTEN"/>
    <s v="itunes"/>
    <m/>
    <s v="03-01-2020"/>
    <s v="Autres dépenses à catégoriser"/>
    <s v="PAIEMENT CARTE DU 020120 APPLE.COM/BILL  CARTE   4974XXXXXXXX8716                IRL     0,99EUR"/>
    <n v="-0.99"/>
    <m/>
    <m/>
    <m/>
    <m/>
    <m/>
  </r>
  <r>
    <n v="2056"/>
    <x v="1"/>
    <m/>
    <x v="4"/>
    <x v="20"/>
    <d v="2020-01-06T00:00:00"/>
    <d v="2020-01-06T00:00:00"/>
    <n v="-12.32"/>
    <n v="12.32"/>
    <m/>
    <s v="PRELEVEMENT CARDIF ASSURANCE VIE ECH/060120 ID EMETTEUR/FR28ZZZ110086 MDT/++FR28ZZZ1100862013111800895153CDIF REF/BP008372063         050120086780 LIB/BP008372063         050120"/>
    <s v="UIT_VL"/>
    <s v="VASTELASTEN"/>
    <s v="overlijdensverz"/>
    <m/>
    <s v="06-01-2020"/>
    <s v="Autres dépenses à catégoriser"/>
    <s v="PRELEVEMENT CARDIF ASSURANCE VIE ECH/060120 ID EMETTEUR/FR28ZZZ110086 MDT/++FR28ZZZ1100862013111800895153CDIF REF/BP008372063         050120086780 LIB/BP008372063         050120"/>
    <n v="-12.32"/>
    <m/>
    <m/>
    <m/>
    <m/>
    <m/>
  </r>
  <r>
    <n v="2057"/>
    <x v="1"/>
    <m/>
    <x v="4"/>
    <x v="19"/>
    <d v="2020-02-03T00:00:00"/>
    <d v="2020-02-03T00:00:00"/>
    <n v="-0.99"/>
    <n v="0.99"/>
    <m/>
    <s v="PAIEMENT CARTE DU 020220 APPLE.COM/BILL  CARTE   4974XXXXXXXX8716                IRL     0,99EUR"/>
    <s v="UIT_VL"/>
    <s v="VASTELASTEN"/>
    <s v="itunes"/>
    <m/>
    <s v="03-02-2020"/>
    <s v="Autres dépenses à catégoriser"/>
    <s v="PAIEMENT CARTE DU 020220 APPLE.COM/BILL  CARTE   4974XXXXXXXX8716                IRL     0,99EUR"/>
    <n v="-0.99"/>
    <m/>
    <m/>
    <m/>
    <m/>
    <m/>
  </r>
  <r>
    <n v="2058"/>
    <x v="1"/>
    <m/>
    <x v="4"/>
    <x v="19"/>
    <d v="2020-02-04T00:00:00"/>
    <d v="2020-02-04T00:00:00"/>
    <n v="-8.7799999999999994"/>
    <n v="8.7799999999999994"/>
    <m/>
    <s v="COMMISSIONS COTISATION A UNE OFFRE GROUPEE DE SERVICES ESPRIT LIBRE"/>
    <s v="UIT_VL"/>
    <s v="VASTELASTEN"/>
    <s v="bankkosten"/>
    <m/>
    <s v="04-02-2020"/>
    <s v="Autres dépenses à catégoriser"/>
    <s v="COMMISSIONS COTISATION A UNE OFFRE GROUPEE DE SERVICES ESPRIT LIBRE"/>
    <n v="-8.7799999999999994"/>
    <m/>
    <m/>
    <m/>
    <m/>
    <m/>
  </r>
  <r>
    <n v="2059"/>
    <x v="1"/>
    <m/>
    <x v="4"/>
    <x v="19"/>
    <d v="2020-02-05T00:00:00"/>
    <d v="2020-02-05T00:00:00"/>
    <n v="-12.32"/>
    <n v="12.32"/>
    <m/>
    <s v="PRELEVEMENT CARDIF ASSURANCE VIE ECH/050220 ID EMETTEUR/FR28ZZZ110086 MDT/++FR28ZZZ1100862013111800895153CDIF REF/BP008372063         050220066479 LIB/BP008372063         050220"/>
    <s v="UIT_VL"/>
    <s v="VASTELASTEN"/>
    <s v="overlijdensverz"/>
    <m/>
    <s v="05-02-2020"/>
    <s v="Autres dépenses à catégoriser"/>
    <s v="PRELEVEMENT CARDIF ASSURANCE VIE ECH/050220 ID EMETTEUR/FR28ZZZ110086 MDT/++FR28ZZZ1100862013111800895153CDIF REF/BP008372063         050220066479 LIB/BP008372063         050220"/>
    <n v="-12.32"/>
    <m/>
    <m/>
    <m/>
    <m/>
    <m/>
  </r>
  <r>
    <n v="2061"/>
    <x v="1"/>
    <m/>
    <x v="4"/>
    <x v="21"/>
    <d v="2020-03-03T00:00:00"/>
    <d v="2020-03-03T00:00:00"/>
    <n v="-8.7799999999999994"/>
    <n v="8.7799999999999994"/>
    <m/>
    <s v="COMMISSIONS COTISATION A UNE OFFRE GROUPEE DE SERVICES ESPRIT LIBRE"/>
    <s v="UIT_VL"/>
    <s v="VASTELASTEN"/>
    <s v="bankkosten"/>
    <m/>
    <s v="03-03-2020"/>
    <s v="Autres dépenses à catégoriser"/>
    <s v="COMMISSIONS COTISATION A UNE OFFRE GROUPEE DE SERVICES ESPRIT LIBRE"/>
    <n v="-8.7799999999999994"/>
    <m/>
    <m/>
    <m/>
    <m/>
    <m/>
  </r>
  <r>
    <n v="2062"/>
    <x v="1"/>
    <m/>
    <x v="4"/>
    <x v="21"/>
    <d v="2020-03-03T00:00:00"/>
    <d v="2020-03-03T00:00:00"/>
    <n v="-0.99"/>
    <n v="0.99"/>
    <m/>
    <s v="PAIEMENT CARTE DU 020320 APPLE.COM/BILL  CARTE   4974XXXXXXXX8716                IRL     0,99EUR"/>
    <s v="UIT_VL"/>
    <s v="VASTELASTEN"/>
    <s v="itunes"/>
    <m/>
    <s v="03-03-2020"/>
    <s v="Autres dépenses à catégoriser"/>
    <s v="PAIEMENT CARTE DU 020320 APPLE.COM/BILL  CARTE   4974XXXXXXXX8716                IRL     0,99EUR"/>
    <n v="-0.99"/>
    <m/>
    <m/>
    <m/>
    <m/>
    <m/>
  </r>
  <r>
    <n v="2063"/>
    <x v="1"/>
    <m/>
    <x v="4"/>
    <x v="21"/>
    <d v="2020-03-05T00:00:00"/>
    <d v="2020-03-05T00:00:00"/>
    <n v="-12.99"/>
    <n v="12.99"/>
    <m/>
    <s v="PRELEVEMENT CARDIF ASSURANCE VIE ECH/050320 ID EMETTEUR/FR28ZZZ110086 MDT/++FR28ZZZ1100862013111800895153CDIF REF/BP008372063         050320080566 LIB/BP008372063         050320"/>
    <s v="UIT_VL"/>
    <s v="VASTELASTEN"/>
    <s v="overlijdensverz"/>
    <m/>
    <s v="05-03-2020"/>
    <s v="Autres dépenses à catégoriser"/>
    <s v="PRELEVEMENT CARDIF ASSURANCE VIE ECH/050320 ID EMETTEUR/FR28ZZZ110086 MDT/++FR28ZZZ1100862013111800895153CDIF REF/BP008372063         050320080566 LIB/BP008372063         050320"/>
    <n v="-12.99"/>
    <m/>
    <m/>
    <m/>
    <m/>
    <m/>
  </r>
  <r>
    <n v="2068"/>
    <x v="1"/>
    <m/>
    <x v="4"/>
    <x v="22"/>
    <d v="2020-04-01T00:00:00"/>
    <d v="2020-04-01T00:00:00"/>
    <n v="-12.99"/>
    <n v="12.99"/>
    <m/>
    <s v="PRELEVEMENT CARDIF ASSURANCE VIE ECH/060420 ID EMETTEUR/FR28ZZZ110086 MDT/++FR28ZZZ1100862013111800895153CDIF REF/BP008372063         050420083142 LIB/BP008372063         050420"/>
    <s v="UIT_VL"/>
    <s v="VASTELASTEN"/>
    <s v="overlijdensverz"/>
    <m/>
    <s v="06-04-2020"/>
    <s v="Autres dépenses à catégoriser"/>
    <s v="PRELEVEMENT CARDIF ASSURANCE VIE ECH/060420 ID EMETTEUR/FR28ZZZ110086 MDT/++FR28ZZZ1100862013111800895153CDIF REF/BP008372063         050420083142 LIB/BP008372063         050420"/>
    <n v="-12.99"/>
    <m/>
    <m/>
    <m/>
    <m/>
    <m/>
  </r>
  <r>
    <n v="2069"/>
    <x v="1"/>
    <m/>
    <x v="4"/>
    <x v="22"/>
    <d v="2020-04-02T00:00:00"/>
    <d v="2020-04-02T00:00:00"/>
    <n v="-8.91"/>
    <n v="8.91"/>
    <m/>
    <s v="COMMISSIONS COTISATION A UNE OFFRE GROUPEE DE SERVICES ESPRIT LIBRE"/>
    <s v="UIT_VL"/>
    <s v="VASTELASTEN"/>
    <s v="bankkosten"/>
    <m/>
    <s v="02-04-2020"/>
    <s v="Autres dépenses à catégoriser"/>
    <s v="COMMISSIONS COTISATION A UNE OFFRE GROUPEE DE SERVICES ESPRIT LIBRE"/>
    <n v="-8.91"/>
    <m/>
    <m/>
    <m/>
    <m/>
    <m/>
  </r>
  <r>
    <n v="2070"/>
    <x v="1"/>
    <m/>
    <x v="4"/>
    <x v="22"/>
    <d v="2020-04-03T00:00:00"/>
    <d v="2020-04-03T00:00:00"/>
    <n v="-0.99"/>
    <n v="0.99"/>
    <m/>
    <s v="PAIEMENT CARTE DU 020420 APPLE.COM/BILL  CARTE   4974XXXXXXXX8716                IRL     0,99EUR"/>
    <s v="UIT_VL"/>
    <s v="VASTELASTEN"/>
    <s v="itunes"/>
    <m/>
    <s v="03-04-2020"/>
    <s v="Autres dépenses à catégoriser"/>
    <s v="PAIEMENT CARTE DU 020420 APPLE.COM/BILL  CARTE   4974XXXXXXXX8716                IRL     0,99EUR"/>
    <n v="-0.99"/>
    <m/>
    <m/>
    <m/>
    <m/>
    <m/>
  </r>
  <r>
    <n v="2071"/>
    <x v="1"/>
    <m/>
    <x v="4"/>
    <x v="22"/>
    <d v="2020-04-07T00:00:00"/>
    <d v="2020-04-07T00:00:00"/>
    <n v="-4.99"/>
    <n v="4.99"/>
    <m/>
    <s v="PRELEVEMENT PAYPAL EUROPE S.A.R.L. ET CIE S.C.A ECH/070420 ID EMETTEUR/LU96ZZZ0000000000000000058 MDT/5HBJ224MREGGA REF/1008495408718 PAYPAL VIREMENT LIB/1008495408718 PAYPAL"/>
    <s v="UIT_VL"/>
    <s v="VASTELASTEN"/>
    <s v="medium"/>
    <m/>
    <s v="07-04-2020"/>
    <s v="Autres dépenses à catégoriser"/>
    <s v="PRELEVEMENT PAYPAL EUROPE S.A.R.L. ET CIE S.C.A ECH/070420 ID EMETTEUR/LU96ZZZ0000000000000000058 MDT/5HBJ224MREGGA REF/1008495408718 PAYPAL VIREMENT LIB/1008495408718 PAYPAL"/>
    <n v="-4.99"/>
    <m/>
    <m/>
    <m/>
    <m/>
    <m/>
  </r>
  <r>
    <n v="2072"/>
    <x v="1"/>
    <m/>
    <x v="4"/>
    <x v="22"/>
    <d v="2020-04-27T00:00:00"/>
    <d v="2020-04-27T00:00:00"/>
    <n v="-7"/>
    <n v="7"/>
    <m/>
    <s v="PRELEVEMENT PAYPAL EUROPE S.A.R.L. ET CIE S.C.A ECH/270420 ID EMETTEUR/LU96ZZZ0000000000000000058 MDT/5HBJ224MREGGA REF/1008706976573 PAYPAL VIREMENT LIB/1008706976573 PAYPAL"/>
    <s v="UIT_VL"/>
    <s v="VASTELASTEN"/>
    <s v="microsoft"/>
    <m/>
    <s v="27-04-2020"/>
    <s v="Autres dépenses à catégoriser"/>
    <s v="PRELEVEMENT PAYPAL EUROPE S.A.R.L. ET CIE S.C.A ECH/270420 ID EMETTEUR/LU96ZZZ0000000000000000058 MDT/5HBJ224MREGGA REF/1008706976573 PAYPAL VIREMENT LIB/1008706976573 PAYPAL"/>
    <n v="-7"/>
    <m/>
    <m/>
    <m/>
    <m/>
    <m/>
  </r>
  <r>
    <n v="2073"/>
    <x v="1"/>
    <m/>
    <x v="4"/>
    <x v="23"/>
    <d v="2020-05-04T00:00:00"/>
    <d v="2020-05-04T00:00:00"/>
    <n v="-0.99"/>
    <n v="0.99"/>
    <m/>
    <s v="PAIEMENT CARTE DU 020520 APPLE.COM/BILL  CARTE   4974XXXXXXXX8716                IRL     0,99EUR"/>
    <s v="UIT_VL"/>
    <s v="VASTELASTEN"/>
    <s v="itunes"/>
    <m/>
    <m/>
    <m/>
    <m/>
    <m/>
    <m/>
    <m/>
    <m/>
    <m/>
    <m/>
  </r>
  <r>
    <n v="2074"/>
    <x v="1"/>
    <m/>
    <x v="4"/>
    <x v="23"/>
    <d v="2020-05-05T00:00:00"/>
    <d v="2020-05-05T00:00:00"/>
    <n v="-8.91"/>
    <n v="8.91"/>
    <m/>
    <s v="COMMISSIONS COTISATION A UNE OFFRE GROUPEE DE SERVICES ESPRIT LIBRE"/>
    <s v="UIT_VL"/>
    <s v="VASTELASTEN"/>
    <s v="bankkosten"/>
    <m/>
    <m/>
    <m/>
    <m/>
    <m/>
    <m/>
    <m/>
    <m/>
    <m/>
    <m/>
  </r>
  <r>
    <n v="2075"/>
    <x v="1"/>
    <m/>
    <x v="4"/>
    <x v="23"/>
    <d v="2020-05-05T00:00:00"/>
    <d v="2020-05-05T00:00:00"/>
    <n v="-12.99"/>
    <n v="12.99"/>
    <m/>
    <s v="PRELEVEMENT CARDIF ASSURANCE VIE ECH/050520 ID EMETTEUR/FR28ZZZ110086 MDT/++FR28ZZZ1100862013111800895153CDIF REF/BP008372063         050520708432 LIB/BP008372063         050520"/>
    <s v="UIT_VL"/>
    <s v="VASTELASTEN"/>
    <s v="overlijdensverz"/>
    <m/>
    <m/>
    <m/>
    <m/>
    <m/>
    <m/>
    <m/>
    <m/>
    <m/>
    <m/>
  </r>
  <r>
    <n v="2077"/>
    <x v="1"/>
    <m/>
    <x v="4"/>
    <x v="23"/>
    <d v="2020-05-06T00:00:00"/>
    <d v="2020-05-06T00:00:00"/>
    <n v="-4.99"/>
    <n v="4.99"/>
    <m/>
    <s v="PRELEVEMENT PAYPAL EUROPE S.A.R.L. ET CIE S.C.A ECH/060520 ID EMETTEUR/LU96ZZZ0000000000000000058 MDT/5HBJ224MREGGA REF/1008842538384 PAYPAL VIREMENT LIB/1008842538384 PAYPAL"/>
    <s v="UIT_VL"/>
    <s v="VASTELASTEN"/>
    <s v="medium"/>
    <m/>
    <m/>
    <m/>
    <m/>
    <m/>
    <m/>
    <m/>
    <m/>
    <m/>
    <m/>
  </r>
  <r>
    <n v="2079"/>
    <x v="1"/>
    <m/>
    <x v="4"/>
    <x v="23"/>
    <d v="2020-05-26T00:00:00"/>
    <d v="2020-05-26T00:00:00"/>
    <n v="-7"/>
    <n v="7"/>
    <m/>
    <s v="PRELEVEMENT PAYPAL EUROPE S.A.R.L. ET CIE S.C.A ECH/260520 ID EMETTEUR/LU96ZZZ0000000000000000058 MDT/5HBJ224MREGGA REF/1009063338409 PAYPAL VIREMENT LIB/1009063338409 PAYPAL"/>
    <s v="UIT_VL"/>
    <s v="VASTELASTEN"/>
    <s v="microsoft"/>
    <m/>
    <m/>
    <m/>
    <m/>
    <m/>
    <m/>
    <m/>
    <m/>
    <m/>
    <m/>
  </r>
  <r>
    <n v="2081"/>
    <x v="1"/>
    <m/>
    <x v="4"/>
    <x v="24"/>
    <d v="2020-06-03T00:00:00"/>
    <d v="2020-06-03T00:00:00"/>
    <n v="-8.91"/>
    <n v="8.91"/>
    <m/>
    <s v="COMMISSIONS COTISATION A UNE OFFRE GROUPEE DE SERVICES ESPRIT LIBRE"/>
    <s v="UIT_VL"/>
    <s v="VASTELASTEN"/>
    <s v="bankkosten"/>
    <m/>
    <m/>
    <m/>
    <m/>
    <m/>
    <m/>
    <m/>
    <m/>
    <m/>
    <m/>
  </r>
  <r>
    <n v="2082"/>
    <x v="1"/>
    <m/>
    <x v="4"/>
    <x v="24"/>
    <d v="2020-06-03T00:00:00"/>
    <d v="2020-06-03T00:00:00"/>
    <n v="-26"/>
    <n v="26"/>
    <m/>
    <s v="COMMISSIONS FORMULE BNP NET. CARTE N  : 0004974014048498716"/>
    <s v="UIT_VL"/>
    <s v="VASTELASTEN"/>
    <s v="bankkosten"/>
    <m/>
    <m/>
    <m/>
    <m/>
    <m/>
    <m/>
    <m/>
    <m/>
    <m/>
    <m/>
  </r>
  <r>
    <n v="2083"/>
    <x v="1"/>
    <m/>
    <x v="4"/>
    <x v="24"/>
    <d v="2020-06-03T00:00:00"/>
    <d v="2020-06-03T00:00:00"/>
    <n v="-0.99"/>
    <n v="0.99"/>
    <m/>
    <s v="PAIEMENT CARTE DU 020620 APPLE.COM/BILL  CARTE   4974XXXXXXXX8716                IRL     0,99EUR"/>
    <s v="UIT_VL"/>
    <s v="VASTELASTEN"/>
    <s v="itunes"/>
    <m/>
    <m/>
    <m/>
    <m/>
    <m/>
    <m/>
    <m/>
    <m/>
    <m/>
    <m/>
  </r>
  <r>
    <n v="2084"/>
    <x v="1"/>
    <m/>
    <x v="4"/>
    <x v="56"/>
    <d v="2020-06-03T00:00:00"/>
    <d v="2020-06-03T00:00:00"/>
    <n v="-0.99"/>
    <n v="0.99"/>
    <m/>
    <s v="PAIEMENT CARTE DU 020720 APPLE.COM/BILL  CARTE   4974XXXXXXXX8716                IRL     0,99EUR"/>
    <s v="UIT_VL"/>
    <s v="VASTELASTEN"/>
    <s v="itunes"/>
    <m/>
    <m/>
    <m/>
    <m/>
    <m/>
    <m/>
    <m/>
    <m/>
    <m/>
    <m/>
  </r>
  <r>
    <n v="2086"/>
    <x v="1"/>
    <m/>
    <x v="4"/>
    <x v="24"/>
    <d v="2020-06-05T00:00:00"/>
    <d v="2020-06-05T00:00:00"/>
    <n v="-12.99"/>
    <n v="12.99"/>
    <m/>
    <s v="PRELEVEMENT CARDIF ASSURANCE VIE ECH/050620 ID EMETTEUR/FR28ZZZ110086 MDT/++FR28ZZZ1100862013111800895153CDIF REF/BP008372063         050620041914 LIB/BP008372063         050620"/>
    <s v="UIT_VL"/>
    <s v="VASTELASTEN"/>
    <s v="overlijdensverz"/>
    <m/>
    <m/>
    <m/>
    <m/>
    <m/>
    <m/>
    <m/>
    <m/>
    <m/>
    <m/>
  </r>
  <r>
    <n v="2087"/>
    <x v="1"/>
    <m/>
    <x v="4"/>
    <x v="24"/>
    <d v="2020-06-08T00:00:00"/>
    <d v="2020-06-08T00:00:00"/>
    <n v="-4.99"/>
    <n v="4.99"/>
    <m/>
    <s v="PRELEVEMENT PAYPAL EUROPE S.A.R.L. ET CIE S.C.A ECH/080620 ID EMETTEUR/LU96ZZZ0000000000000000058 MDT/5HBJ224MREGGA REF/1009200423345 PAYPAL VIREMENT LIB/1009200423345 PAYPAL"/>
    <s v="UIT_VL"/>
    <s v="VASTELASTEN"/>
    <s v="medium"/>
    <m/>
    <m/>
    <m/>
    <m/>
    <m/>
    <m/>
    <m/>
    <m/>
    <m/>
    <m/>
  </r>
  <r>
    <n v="2088"/>
    <x v="1"/>
    <m/>
    <x v="4"/>
    <x v="24"/>
    <d v="2020-06-22T00:00:00"/>
    <d v="2020-06-22T00:00:00"/>
    <n v="-2.99"/>
    <n v="2.99"/>
    <m/>
    <s v="PRELEVEMENT PAYPAL EUROPE S.A.R.L. ET CIE S.C.A ECH/220620 ID EMETTEUR/LU96ZZZ0000000000000000058 MDT/5HBJ224MREGGA REF/1009367219006 PAYPAL VIREMENT LIB/1009367219006 PAYPAL"/>
    <s v="UIT_VL"/>
    <s v="VASTELASTEN"/>
    <s v="google storage"/>
    <m/>
    <m/>
    <m/>
    <m/>
    <m/>
    <m/>
    <m/>
    <m/>
    <m/>
    <s v="Afschrijving                          "/>
  </r>
  <r>
    <n v="2089"/>
    <x v="1"/>
    <m/>
    <x v="4"/>
    <x v="24"/>
    <d v="2020-06-25T00:00:00"/>
    <d v="2020-06-25T00:00:00"/>
    <n v="-7"/>
    <n v="7"/>
    <m/>
    <s v="PRELEVEMENT PAYPAL EUROPE S.A.R.L. ET CIE S.C.A ECH/250620 ID EMETTEUR/LU96ZZZ0000000000000000058 MDT/5HBJ224MREGGA REF/1009412359783 PAYPAL VIREMENT LIB/1009412359783 PAYPAL"/>
    <s v="UIT_VL"/>
    <s v="VASTELASTEN"/>
    <s v="microsoft"/>
    <m/>
    <m/>
    <m/>
    <m/>
    <m/>
    <m/>
    <m/>
    <m/>
    <m/>
    <m/>
  </r>
  <r>
    <n v="2090"/>
    <x v="1"/>
    <m/>
    <x v="4"/>
    <x v="56"/>
    <d v="2020-07-02T00:00:00"/>
    <d v="2020-07-02T00:00:00"/>
    <n v="-8.91"/>
    <n v="8.91"/>
    <m/>
    <s v="COMMISSIONS COTISATION A UNE OFFRE GROUPEE DE SERVICES ESPRIT LIBRE"/>
    <s v="UIT_VL"/>
    <s v="VASTELASTEN"/>
    <s v="bankkosten"/>
    <m/>
    <m/>
    <m/>
    <m/>
    <m/>
    <m/>
    <m/>
    <m/>
    <m/>
    <m/>
  </r>
  <r>
    <n v="2092"/>
    <x v="1"/>
    <m/>
    <x v="4"/>
    <x v="56"/>
    <d v="2020-07-06T00:00:00"/>
    <d v="2020-07-06T00:00:00"/>
    <n v="-12.99"/>
    <n v="12.99"/>
    <m/>
    <s v="PRELEVEMENT CARDIF ASSURANCE VIE ECH/060720 ID EMETTEUR/FR28ZZZ110086 MDT/++FR28ZZZ1100862013111800895153CDIF REF/BP008372063         050720080595 LIB/BP008372063         050720"/>
    <s v="UIT_VL"/>
    <s v="VASTELASTEN"/>
    <s v="overlijdensverz"/>
    <m/>
    <m/>
    <m/>
    <m/>
    <m/>
    <m/>
    <m/>
    <m/>
    <m/>
    <m/>
  </r>
  <r>
    <n v="2093"/>
    <x v="1"/>
    <m/>
    <x v="4"/>
    <x v="56"/>
    <d v="2020-07-07T00:00:00"/>
    <d v="2020-07-07T00:00:00"/>
    <n v="-4.99"/>
    <n v="4.99"/>
    <m/>
    <s v="PRELEVEMENT PAYPAL EUROPE S.A.R.L. ET CIE S.C.A ECH/070720 ID EMETTEUR/LU96ZZZ0000000000000000058 MDT/5HBJ224MREGGA REF/1009541279634 PAYPAL VIREMENT LIB/1009541279634 PAYPAL"/>
    <s v="UIT_VL"/>
    <s v="VASTELASTEN"/>
    <s v="medium"/>
    <m/>
    <m/>
    <m/>
    <m/>
    <m/>
    <m/>
    <m/>
    <m/>
    <m/>
    <m/>
  </r>
  <r>
    <n v="2095"/>
    <x v="1"/>
    <m/>
    <x v="4"/>
    <x v="56"/>
    <d v="2020-07-21T00:00:00"/>
    <d v="2020-07-21T00:00:00"/>
    <n v="-2.99"/>
    <n v="2.99"/>
    <m/>
    <s v="PRELEVEMENT PAYPAL EUROPE S.A.R.L. ET CIE S.C.A ECH/210720 ID EMETTEUR/LU96ZZZ0000000000000000058 MDT/5HBJ224MREGGA REF/1009705167809 PAYPAL VIREMENT LIB/1009705167809 PAYPAL"/>
    <s v="UIT_VL"/>
    <s v="VASTELASTEN"/>
    <s v="google storage"/>
    <m/>
    <m/>
    <m/>
    <m/>
    <m/>
    <m/>
    <m/>
    <m/>
    <m/>
    <s v="Afschrijving                          "/>
  </r>
  <r>
    <n v="2096"/>
    <x v="1"/>
    <m/>
    <x v="4"/>
    <x v="56"/>
    <d v="2020-07-24T00:00:00"/>
    <d v="2020-07-24T00:00:00"/>
    <n v="-7"/>
    <n v="7"/>
    <m/>
    <s v="PRELEVEMENT PAYPAL EUROPE S.A.R.L. ET CIE S.C.A ECH/240720 ID EMETTEUR/LU96ZZZ0000000000000000058 MDT/5HBJ224MREGGA REF/1009749991936 PAYPAL VIREMENT LIB/1009749991936 PAYPAL"/>
    <s v="UIT_VL"/>
    <s v="VASTELASTEN"/>
    <s v="microsoft"/>
    <m/>
    <m/>
    <m/>
    <m/>
    <m/>
    <m/>
    <m/>
    <m/>
    <m/>
    <s v="Afschrijving                          "/>
  </r>
  <r>
    <n v="2097"/>
    <x v="1"/>
    <m/>
    <x v="4"/>
    <x v="60"/>
    <d v="2020-08-03T00:00:00"/>
    <d v="2020-08-03T00:00:00"/>
    <n v="-0.99"/>
    <n v="0.99"/>
    <m/>
    <s v="PAIEMENT CARTE DU 020820 APPLE.COM/BILL  CARTE   4974XXXXXXXX8716                IRL     0,99EUR"/>
    <s v="UIT_VL"/>
    <s v="VASTELASTEN"/>
    <s v="itunes"/>
    <m/>
    <m/>
    <m/>
    <m/>
    <m/>
    <m/>
    <m/>
    <m/>
    <m/>
    <m/>
  </r>
  <r>
    <n v="2098"/>
    <x v="1"/>
    <m/>
    <x v="4"/>
    <x v="60"/>
    <d v="2020-08-04T00:00:00"/>
    <d v="2020-08-04T00:00:00"/>
    <n v="-8.91"/>
    <n v="8.91"/>
    <m/>
    <s v="COMMISSIONS COTISATION A UNE OFFRE GROUPEE DE SERVICES ESPRIT LIBRE"/>
    <s v="UIT_VL"/>
    <s v="VASTELASTEN"/>
    <s v="bankkosten"/>
    <m/>
    <m/>
    <m/>
    <m/>
    <m/>
    <m/>
    <m/>
    <m/>
    <m/>
    <m/>
  </r>
  <r>
    <n v="2099"/>
    <x v="1"/>
    <m/>
    <x v="4"/>
    <x v="60"/>
    <d v="2020-08-05T00:00:00"/>
    <d v="2020-08-05T00:00:00"/>
    <n v="-12.99"/>
    <n v="12.99"/>
    <m/>
    <s v="PRELEVEMENT CARDIF ASSURANCE VIE ECH/050820 ID EMETTEUR/FR28ZZZ110086 MDT/++FR28ZZZ1100862013111800895153CDIF REF/BP008372063         050820055841 LIB/BP008372063         050820"/>
    <s v="UIT_VL"/>
    <s v="VASTELASTEN"/>
    <s v="overlijdensverz"/>
    <m/>
    <m/>
    <m/>
    <m/>
    <m/>
    <m/>
    <m/>
    <m/>
    <m/>
    <m/>
  </r>
  <r>
    <n v="2101"/>
    <x v="10"/>
    <m/>
    <x v="4"/>
    <x v="20"/>
    <d v="2020-01-31T00:00:00"/>
    <d v="2020-01-31T00:00:00"/>
    <n v="-27"/>
    <n v="27"/>
    <m/>
    <s v="WIND TRE"/>
    <s v="UIT_VL"/>
    <s v="VASTELASTEN"/>
    <s v="internet_telefoon_it"/>
    <m/>
    <m/>
    <m/>
    <m/>
    <m/>
    <m/>
    <m/>
    <m/>
    <m/>
    <m/>
  </r>
  <r>
    <n v="2144"/>
    <x v="3"/>
    <m/>
    <x v="4"/>
    <x v="20"/>
    <d v="2020-01-03T00:00:00"/>
    <d v="2020-01-03T00:00:00"/>
    <n v="-0.7"/>
    <n v="0.7"/>
    <m/>
    <s v="Kosten"/>
    <s v="UIT_VL"/>
    <s v="VASTELASTEN"/>
    <s v="bankkosten"/>
    <m/>
    <s v="NL22RABO0381604934"/>
    <s v="Abonnement maandelijks papieren    rekeningafschrift                  Periode 01-01-2020 t/m 31-01-2020"/>
    <s v="RABONL2U"/>
    <n v="3073"/>
    <d v="2020-01-03T00:00:00"/>
    <d v="2020-01-01T00:00:00"/>
    <n v="-0.7"/>
    <n v="1128.71"/>
    <m/>
  </r>
  <r>
    <n v="2145"/>
    <x v="3"/>
    <m/>
    <x v="4"/>
    <x v="20"/>
    <d v="2020-01-03T00:00:00"/>
    <d v="2020-01-03T00:00:00"/>
    <n v="-4.8"/>
    <n v="4.8"/>
    <m/>
    <s v="Kosten"/>
    <s v="UIT_VL"/>
    <s v="VASTELASTEN"/>
    <s v="bankkosten"/>
    <m/>
    <s v="NL22RABO0381604934"/>
    <s v="Rabo TotaalPakket                  Periode 01-01-2020 t/m 31-01-2020"/>
    <s v="RABONL2U"/>
    <n v="3074"/>
    <d v="2020-01-03T00:00:00"/>
    <d v="2020-01-01T00:00:00"/>
    <n v="-4.8"/>
    <n v="1123.9100000000001"/>
    <m/>
  </r>
  <r>
    <n v="2148"/>
    <x v="3"/>
    <m/>
    <x v="4"/>
    <x v="20"/>
    <d v="2020-01-22T00:00:00"/>
    <d v="2020-01-22T00:00:00"/>
    <n v="-9.99"/>
    <n v="9.99"/>
    <m/>
    <s v="Blendle B.V."/>
    <s v="UIT_VL"/>
    <s v="VASTELASTEN"/>
    <s v="blendle"/>
    <m/>
    <s v="NL22RABO0381604934"/>
    <s v="BLENDLE"/>
    <s v="RABONL2U"/>
    <n v="3077"/>
    <d v="2020-01-22T00:00:00"/>
    <d v="2020-01-22T00:00:00"/>
    <n v="-9.99"/>
    <n v="343.85"/>
    <s v="DE89700111104107387027"/>
  </r>
  <r>
    <n v="2149"/>
    <x v="3"/>
    <m/>
    <x v="4"/>
    <x v="20"/>
    <d v="2020-01-22T00:00:00"/>
    <d v="2020-01-22T00:00:00"/>
    <n v="-6"/>
    <n v="6"/>
    <m/>
    <s v="STICHTING DERDENGELDEN BUCKAROO"/>
    <s v="UIT_VL"/>
    <s v="VASTELASTEN"/>
    <s v="foodlog"/>
    <m/>
    <s v="NL22RABO0381604934"/>
    <s v="Foodlog Media B.V. : Foodlog Lid (?202001-9131)"/>
    <s v="RABONL2U"/>
    <n v="3078"/>
    <d v="2020-01-22T00:00:00"/>
    <d v="2020-01-22T00:00:00"/>
    <n v="-6"/>
    <n v="337.85"/>
    <s v="NL28DEUT0265186439"/>
  </r>
  <r>
    <n v="2150"/>
    <x v="3"/>
    <m/>
    <x v="4"/>
    <x v="20"/>
    <d v="2020-01-22T00:00:00"/>
    <d v="2020-01-22T00:00:00"/>
    <n v="-67"/>
    <n v="67"/>
    <m/>
    <s v="NS GROEP IZ NS REIZIGERS"/>
    <s v="UIT_VL"/>
    <s v="VASTELASTEN"/>
    <s v="ovchipabo"/>
    <m/>
    <s v="NL22RABO0381604934"/>
    <s v="Bestelling: VDU38193872"/>
    <s v="RABONL2U"/>
    <n v="3079"/>
    <d v="2020-01-22T00:00:00"/>
    <d v="2020-01-22T00:00:00"/>
    <n v="-67"/>
    <n v="270.85000000000002"/>
    <s v="NL40ABNA0537879099"/>
  </r>
  <r>
    <n v="2152"/>
    <x v="3"/>
    <m/>
    <x v="4"/>
    <x v="19"/>
    <d v="2020-02-04T00:00:00"/>
    <d v="2020-02-04T00:00:00"/>
    <n v="-0.03"/>
    <n v="0.03"/>
    <m/>
    <s v="Debetrente"/>
    <s v="UIT_VL"/>
    <s v="VASTELASTEN"/>
    <s v="bankkosten"/>
    <m/>
    <s v="NL22RABO0381604934"/>
    <s v="Periode 01-01-2020 t/m 31-01-2020"/>
    <s v="RABONL2U"/>
    <n v="3083"/>
    <d v="2020-02-04T00:00:00"/>
    <d v="2020-02-01T00:00:00"/>
    <n v="-0.03"/>
    <n v="341.12"/>
    <m/>
  </r>
  <r>
    <n v="2153"/>
    <x v="3"/>
    <m/>
    <x v="4"/>
    <x v="19"/>
    <d v="2020-02-04T00:00:00"/>
    <d v="2020-02-04T00:00:00"/>
    <n v="-0.7"/>
    <n v="0.7"/>
    <m/>
    <s v="Kosten"/>
    <s v="UIT_VL"/>
    <s v="VASTELASTEN"/>
    <s v="bankkosten"/>
    <m/>
    <s v="NL22RABO0381604934"/>
    <s v="Abonnement maandelijks papieren    rekeningafschrift                  Periode 01-02-2020 t/m 29-02-2020"/>
    <s v="RABONL2U"/>
    <n v="3084"/>
    <d v="2020-02-04T00:00:00"/>
    <d v="2020-02-01T00:00:00"/>
    <n v="-0.7"/>
    <n v="340.42"/>
    <m/>
  </r>
  <r>
    <n v="2154"/>
    <x v="3"/>
    <m/>
    <x v="4"/>
    <x v="19"/>
    <d v="2020-02-04T00:00:00"/>
    <d v="2020-02-04T00:00:00"/>
    <n v="-4.8"/>
    <n v="4.8"/>
    <m/>
    <s v="Kosten"/>
    <s v="UIT_VL"/>
    <s v="VASTELASTEN"/>
    <s v="bankkosten"/>
    <m/>
    <s v="NL22RABO0381604934"/>
    <s v="Rabo TotaalPakket                  Periode 01-02-2020 t/m 29-02-2020"/>
    <s v="RABONL2U"/>
    <n v="3085"/>
    <d v="2020-02-04T00:00:00"/>
    <d v="2020-02-01T00:00:00"/>
    <n v="-4.8"/>
    <n v="335.62"/>
    <m/>
  </r>
  <r>
    <n v="2155"/>
    <x v="3"/>
    <m/>
    <x v="4"/>
    <x v="19"/>
    <d v="2020-02-07T00:00:00"/>
    <d v="2020-02-07T00:00:00"/>
    <n v="-24.2"/>
    <n v="24.2"/>
    <m/>
    <s v="Your Hosting B.V."/>
    <s v="UIT_VL"/>
    <s v="VASTELASTEN"/>
    <s v="internetsites"/>
    <m/>
    <s v="NL22RABO0381604934"/>
    <s v="55535071/2453782"/>
    <s v="RABONL2U"/>
    <n v="3086"/>
    <d v="2020-02-07T00:00:00"/>
    <d v="2020-02-07T00:00:00"/>
    <n v="-24.2"/>
    <n v="311.42"/>
    <s v="NL02RABO0129284432"/>
  </r>
  <r>
    <n v="2160"/>
    <x v="3"/>
    <m/>
    <x v="4"/>
    <x v="19"/>
    <d v="2020-02-19T00:00:00"/>
    <d v="2020-02-19T00:00:00"/>
    <n v="-6"/>
    <n v="6"/>
    <m/>
    <s v="STICHTING DERDENGELDEN BUCKAROO"/>
    <s v="UIT_VL"/>
    <s v="VASTELASTEN"/>
    <s v="foodlog"/>
    <m/>
    <s v="NL22RABO0381604934"/>
    <s v="Foodlog Media B.V. : Foodlog Lid (?202002-9316)"/>
    <s v="RABONL2U"/>
    <n v="3092"/>
    <d v="2020-02-19T00:00:00"/>
    <d v="2020-02-19T00:00:00"/>
    <n v="-6"/>
    <n v="66.760000000000005"/>
    <s v="NL28DEUT0265186439"/>
  </r>
  <r>
    <n v="2161"/>
    <x v="3"/>
    <m/>
    <x v="4"/>
    <x v="19"/>
    <d v="2020-02-20T00:00:00"/>
    <d v="2020-02-20T00:00:00"/>
    <n v="-9.99"/>
    <n v="9.99"/>
    <m/>
    <s v="Blendle B.V."/>
    <s v="UIT_VL"/>
    <s v="VASTELASTEN"/>
    <s v="blendle"/>
    <m/>
    <s v="NL22RABO0381604934"/>
    <s v="BLENDLE"/>
    <s v="RABONL2U"/>
    <n v="3094"/>
    <d v="2020-02-20T00:00:00"/>
    <d v="2020-02-20T00:00:00"/>
    <n v="-9.99"/>
    <n v="556.77"/>
    <s v="DE89700111104107387027"/>
  </r>
  <r>
    <n v="2165"/>
    <x v="3"/>
    <m/>
    <x v="4"/>
    <x v="21"/>
    <d v="2020-03-03T00:00:00"/>
    <d v="2020-03-03T00:00:00"/>
    <n v="-7.0000000000000007E-2"/>
    <n v="7.0000000000000007E-2"/>
    <m/>
    <s v="Debetrente"/>
    <s v="UIT_VL"/>
    <s v="VASTELASTEN"/>
    <s v="bankkosten"/>
    <m/>
    <s v="NL22RABO0381604934"/>
    <s v="Periode 01-02-2020 t/m 29-02-2020"/>
    <s v="RABONL2U"/>
    <n v="3100"/>
    <d v="2020-03-03T00:00:00"/>
    <d v="2020-03-01T00:00:00"/>
    <n v="-7.0000000000000007E-2"/>
    <n v="369.02"/>
    <m/>
  </r>
  <r>
    <n v="2166"/>
    <x v="3"/>
    <m/>
    <x v="4"/>
    <x v="21"/>
    <d v="2020-03-03T00:00:00"/>
    <d v="2020-03-03T00:00:00"/>
    <n v="-0.7"/>
    <n v="0.7"/>
    <m/>
    <s v="Kosten"/>
    <s v="UIT_VL"/>
    <s v="VASTELASTEN"/>
    <s v="bankkosten"/>
    <m/>
    <s v="NL22RABO0381604934"/>
    <s v="Abonnement maandelijks papieren    rekeningafschrift                  Periode 01-03-2020 t/m 31-03-2020"/>
    <s v="RABONL2U"/>
    <n v="3101"/>
    <d v="2020-03-03T00:00:00"/>
    <d v="2020-03-01T00:00:00"/>
    <n v="-0.7"/>
    <n v="368.32"/>
    <m/>
  </r>
  <r>
    <n v="2167"/>
    <x v="3"/>
    <m/>
    <x v="4"/>
    <x v="21"/>
    <d v="2020-03-03T00:00:00"/>
    <d v="2020-03-03T00:00:00"/>
    <n v="-4.8"/>
    <n v="4.8"/>
    <m/>
    <s v="Kosten"/>
    <s v="UIT_VL"/>
    <s v="VASTELASTEN"/>
    <s v="bankkosten"/>
    <m/>
    <s v="NL22RABO0381604934"/>
    <s v="Rabo TotaalPakket                  Periode 01-03-2020 t/m 31-03-2020"/>
    <s v="RABONL2U"/>
    <n v="3102"/>
    <d v="2020-03-03T00:00:00"/>
    <d v="2020-03-01T00:00:00"/>
    <n v="-4.8"/>
    <n v="363.52"/>
    <m/>
  </r>
  <r>
    <n v="2170"/>
    <x v="3"/>
    <m/>
    <x v="4"/>
    <x v="21"/>
    <d v="2020-03-20T00:00:00"/>
    <d v="2020-03-20T00:00:00"/>
    <n v="-9.99"/>
    <n v="9.99"/>
    <m/>
    <s v="Blendle B.V."/>
    <s v="UIT_VL"/>
    <s v="VASTELASTEN"/>
    <s v="blendle"/>
    <m/>
    <s v="NL22RABO0381604934"/>
    <s v="BLENDLE"/>
    <s v="RABONL2U"/>
    <n v="3107"/>
    <d v="2020-03-20T00:00:00"/>
    <d v="2020-03-20T00:00:00"/>
    <n v="-9.99"/>
    <n v="73.040000000000006"/>
    <s v="DE89700111104107387027"/>
  </r>
  <r>
    <n v="2171"/>
    <x v="3"/>
    <m/>
    <x v="4"/>
    <x v="21"/>
    <d v="2020-03-20T00:00:00"/>
    <d v="2020-03-20T00:00:00"/>
    <n v="-6"/>
    <n v="6"/>
    <m/>
    <s v="STICHTING DERDENGELDEN BUCKAROO"/>
    <s v="UIT_VL"/>
    <s v="VASTELASTEN"/>
    <s v="foodlog"/>
    <m/>
    <s v="NL22RABO0381604934"/>
    <s v="Foodlog Media B.V. : Foodlog Lid (?202003-9511)"/>
    <s v="RABONL2U"/>
    <n v="3108"/>
    <d v="2020-03-20T00:00:00"/>
    <d v="2020-03-20T00:00:00"/>
    <n v="-6"/>
    <n v="67.040000000000006"/>
    <s v="NL28DEUT0265186439"/>
  </r>
  <r>
    <n v="2175"/>
    <x v="3"/>
    <m/>
    <x v="4"/>
    <x v="22"/>
    <d v="2020-04-02T00:00:00"/>
    <d v="2020-04-02T00:00:00"/>
    <n v="-0.03"/>
    <n v="0.03"/>
    <m/>
    <s v="Debetrente"/>
    <s v="UIT_VL"/>
    <s v="VASTELASTEN"/>
    <s v="bankkosten"/>
    <m/>
    <s v="NL22RABO0381604934"/>
    <s v="Periode 01-03-2020 t/m 31-03-2020"/>
    <s v="RABONL2U"/>
    <n v="3115"/>
    <d v="2020-04-02T00:00:00"/>
    <d v="2020-04-01T00:00:00"/>
    <n v="-0.03"/>
    <n v="110.23"/>
    <m/>
  </r>
  <r>
    <n v="2176"/>
    <x v="3"/>
    <m/>
    <x v="4"/>
    <x v="22"/>
    <d v="2020-04-02T00:00:00"/>
    <d v="2020-04-02T00:00:00"/>
    <n v="-0.7"/>
    <n v="0.7"/>
    <m/>
    <s v="Kosten"/>
    <s v="UIT_VL"/>
    <s v="VASTELASTEN"/>
    <s v="bankkosten"/>
    <m/>
    <s v="NL22RABO0381604934"/>
    <s v="Abonnement maandelijks papieren    rekeningafschrift                  Periode 01-04-2020 t/m 30-04-2020"/>
    <s v="RABONL2U"/>
    <n v="3116"/>
    <d v="2020-04-02T00:00:00"/>
    <d v="2020-04-01T00:00:00"/>
    <n v="-0.7"/>
    <n v="109.53"/>
    <m/>
  </r>
  <r>
    <n v="2177"/>
    <x v="3"/>
    <m/>
    <x v="4"/>
    <x v="22"/>
    <d v="2020-04-02T00:00:00"/>
    <d v="2020-04-02T00:00:00"/>
    <n v="-5"/>
    <n v="5"/>
    <m/>
    <s v="Kosten"/>
    <s v="UIT_VL"/>
    <s v="VASTELASTEN"/>
    <s v="bankkosten"/>
    <m/>
    <s v="NL22RABO0381604934"/>
    <s v="Rabo TotaalPakket                  Periode 01-04-2020 t/m 30-04-2020"/>
    <s v="RABONL2U"/>
    <n v="3117"/>
    <d v="2020-04-02T00:00:00"/>
    <d v="2020-04-01T00:00:00"/>
    <n v="-5"/>
    <n v="104.53"/>
    <m/>
  </r>
  <r>
    <n v="2180"/>
    <x v="3"/>
    <m/>
    <x v="4"/>
    <x v="22"/>
    <d v="2020-04-22T00:00:00"/>
    <d v="2020-04-22T00:00:00"/>
    <n v="-9.99"/>
    <n v="9.99"/>
    <m/>
    <s v="Blendle B.V."/>
    <s v="UIT_VL"/>
    <s v="VASTELASTEN"/>
    <s v="blendle"/>
    <m/>
    <s v="NL22RABO0381604934"/>
    <s v="BLENDLE"/>
    <s v="RABONL2U"/>
    <n v="3121"/>
    <d v="2020-04-22T00:00:00"/>
    <d v="2020-04-22T00:00:00"/>
    <n v="-9.99"/>
    <n v="107.42"/>
    <s v="DE89700111104107387027"/>
  </r>
  <r>
    <n v="2183"/>
    <x v="3"/>
    <m/>
    <x v="4"/>
    <x v="23"/>
    <d v="2020-05-01T00:00:00"/>
    <d v="2020-05-01T00:00:00"/>
    <n v="-0.7"/>
    <n v="0.7"/>
    <m/>
    <s v="Kosten"/>
    <s v="UIT_VL"/>
    <s v="VASTELASTEN"/>
    <s v="bankkosten"/>
    <m/>
    <s v="Abonnement maandelijks papieren    rekeningafschrift                  Periode 01-05-2020 t/m 31-05-2020"/>
    <m/>
    <s v="db"/>
    <m/>
    <m/>
    <m/>
    <m/>
    <m/>
    <m/>
  </r>
  <r>
    <n v="2184"/>
    <x v="3"/>
    <m/>
    <x v="4"/>
    <x v="23"/>
    <d v="2020-05-01T00:00:00"/>
    <d v="2020-05-01T00:00:00"/>
    <n v="-5"/>
    <n v="5"/>
    <m/>
    <s v="Kosten"/>
    <s v="UIT_VL"/>
    <s v="VASTELASTEN"/>
    <s v="bankkosten"/>
    <m/>
    <s v="Rabo TotaalPakket                  Periode 01-05-2020 t/m 31-05-2020"/>
    <m/>
    <s v="db"/>
    <m/>
    <m/>
    <m/>
    <m/>
    <m/>
    <m/>
  </r>
  <r>
    <n v="2185"/>
    <x v="3"/>
    <m/>
    <x v="4"/>
    <x v="23"/>
    <d v="2020-05-01T00:00:00"/>
    <d v="2020-05-01T00:00:00"/>
    <n v="-7"/>
    <n v="7"/>
    <m/>
    <s v="Kosten"/>
    <s v="UIT_VL"/>
    <s v="VASTELASTEN"/>
    <s v="bankkosten"/>
    <m/>
    <s v="Wereldbetaling SHA                 Periode 01-04-2020 t/m 30-04-2020"/>
    <m/>
    <s v="db"/>
    <m/>
    <m/>
    <m/>
    <m/>
    <m/>
    <m/>
  </r>
  <r>
    <n v="2186"/>
    <x v="3"/>
    <m/>
    <x v="4"/>
    <x v="23"/>
    <d v="2020-05-06T00:00:00"/>
    <d v="2020-05-06T00:00:00"/>
    <n v="-51.15"/>
    <n v="51.15"/>
    <m/>
    <s v="Your Hosting B.V."/>
    <s v="UIT_VL"/>
    <s v="VASTELASTEN"/>
    <s v="internetsites"/>
    <m/>
    <s v="55535071/2518255"/>
    <s v="RABONL2U"/>
    <s v="ei"/>
    <m/>
    <m/>
    <m/>
    <m/>
    <m/>
    <m/>
  </r>
  <r>
    <n v="2189"/>
    <x v="3"/>
    <m/>
    <x v="4"/>
    <x v="23"/>
    <d v="2020-05-20T00:00:00"/>
    <d v="2020-05-20T00:00:00"/>
    <n v="-9.99"/>
    <n v="9.99"/>
    <m/>
    <s v="Blendle B.V."/>
    <s v="UIT_VL"/>
    <s v="VASTELASTEN"/>
    <s v="blendle"/>
    <m/>
    <s v="BLENDLE"/>
    <s v="DEKTDE7G"/>
    <s v="ei"/>
    <m/>
    <m/>
    <m/>
    <m/>
    <m/>
    <m/>
  </r>
  <r>
    <n v="2191"/>
    <x v="3"/>
    <m/>
    <x v="4"/>
    <x v="24"/>
    <d v="2020-06-01T00:00:00"/>
    <d v="2020-06-01T00:00:00"/>
    <n v="-0.7"/>
    <n v="0.7"/>
    <m/>
    <s v="Kosten"/>
    <s v="UIT_VL"/>
    <s v="VASTELASTEN"/>
    <s v="bankkosten"/>
    <m/>
    <s v="Abonnement maandelijks papieren    rekeningafschrift                  Periode 01-06-2020 t/m 30-06-2020"/>
    <m/>
    <s v="db"/>
    <m/>
    <m/>
    <m/>
    <m/>
    <m/>
    <m/>
  </r>
  <r>
    <n v="2192"/>
    <x v="3"/>
    <m/>
    <x v="4"/>
    <x v="24"/>
    <d v="2020-06-01T00:00:00"/>
    <d v="2020-06-01T00:00:00"/>
    <n v="-5"/>
    <n v="5"/>
    <m/>
    <s v="Kosten"/>
    <s v="UIT_VL"/>
    <s v="VASTELASTEN"/>
    <s v="bankkosten"/>
    <m/>
    <s v="Rabo TotaalPakket                  Periode 01-06-2020 t/m 30-06-2020"/>
    <m/>
    <s v="db"/>
    <m/>
    <m/>
    <m/>
    <m/>
    <m/>
    <m/>
  </r>
  <r>
    <n v="2193"/>
    <x v="3"/>
    <m/>
    <x v="4"/>
    <x v="24"/>
    <d v="2020-06-01T00:00:00"/>
    <d v="2020-06-01T00:00:00"/>
    <n v="-7"/>
    <n v="7"/>
    <m/>
    <s v="Kosten"/>
    <s v="UIT_VL"/>
    <s v="VASTELASTEN"/>
    <s v="bankkosten"/>
    <m/>
    <s v="Wereldbetaling SHA                 Periode 01-05-2020 t/m 31-05-2020"/>
    <m/>
    <s v="db"/>
    <m/>
    <m/>
    <m/>
    <m/>
    <m/>
    <m/>
  </r>
  <r>
    <n v="2197"/>
    <x v="3"/>
    <m/>
    <x v="4"/>
    <x v="24"/>
    <d v="2020-06-18T00:00:00"/>
    <d v="2020-06-18T00:00:00"/>
    <n v="-6"/>
    <n v="6"/>
    <m/>
    <s v="STICHTING DERDENGELDEN BUCKAROO"/>
    <s v="UIT_VL"/>
    <s v="VASTELASTEN"/>
    <s v="foodlog"/>
    <m/>
    <s v="Foodlog Media B.V. : Foodlog Lid (?202006-11927)"/>
    <s v="DEUTNL2A"/>
    <s v="ei"/>
    <m/>
    <m/>
    <m/>
    <m/>
    <m/>
    <m/>
  </r>
  <r>
    <n v="2198"/>
    <x v="3"/>
    <m/>
    <x v="4"/>
    <x v="24"/>
    <d v="2020-06-22T00:00:00"/>
    <d v="2020-06-22T00:00:00"/>
    <n v="-9.99"/>
    <n v="9.99"/>
    <m/>
    <s v="Blendle B.V."/>
    <s v="UIT_VL"/>
    <s v="VASTELASTEN"/>
    <s v="blendle"/>
    <m/>
    <s v="BLENDLE"/>
    <s v="DEKTDE7G"/>
    <s v="ei"/>
    <m/>
    <m/>
    <m/>
    <m/>
    <m/>
    <m/>
  </r>
  <r>
    <n v="2200"/>
    <x v="3"/>
    <m/>
    <x v="4"/>
    <x v="24"/>
    <d v="2020-06-30T00:00:00"/>
    <d v="2020-06-30T00:00:00"/>
    <n v="-20"/>
    <n v="20"/>
    <m/>
    <s v="Shop 7309/ Plaza Schiphol Airp"/>
    <s v="UIT_VL"/>
    <s v="VASTELASTEN"/>
    <s v="internet_telefoon_nl"/>
    <m/>
    <s v="Betaalautomaat 07:26 pasnr. 011"/>
    <m/>
    <s v="bc"/>
    <m/>
    <m/>
    <m/>
    <m/>
    <m/>
    <m/>
  </r>
  <r>
    <n v="2203"/>
    <x v="3"/>
    <m/>
    <x v="4"/>
    <x v="56"/>
    <d v="2020-07-01T00:00:00"/>
    <d v="2020-07-01T00:00:00"/>
    <n v="-0.03"/>
    <n v="0.03"/>
    <m/>
    <s v="Debetrente"/>
    <s v="UIT_VL"/>
    <s v="VASTELASTEN"/>
    <s v="bankkosten"/>
    <m/>
    <s v="Periode 01-06-2020 t/m 30-06-2020"/>
    <m/>
    <s v="db"/>
    <m/>
    <m/>
    <m/>
    <m/>
    <m/>
    <m/>
  </r>
  <r>
    <n v="2204"/>
    <x v="3"/>
    <m/>
    <x v="4"/>
    <x v="56"/>
    <d v="2020-07-01T00:00:00"/>
    <d v="2020-07-01T00:00:00"/>
    <n v="-0.7"/>
    <n v="0.7"/>
    <m/>
    <s v="Kosten"/>
    <s v="UIT_VL"/>
    <s v="VASTELASTEN"/>
    <s v="bankkosten"/>
    <m/>
    <s v="Abonnement maandelijks papieren    rekeningafschrift                  Periode 01-07-2020 t/m 31-07-2020"/>
    <m/>
    <s v="db"/>
    <m/>
    <m/>
    <m/>
    <m/>
    <m/>
    <m/>
  </r>
  <r>
    <n v="2205"/>
    <x v="3"/>
    <m/>
    <x v="4"/>
    <x v="56"/>
    <d v="2020-07-01T00:00:00"/>
    <d v="2020-07-01T00:00:00"/>
    <n v="-5"/>
    <n v="5"/>
    <m/>
    <s v="Kosten"/>
    <s v="UIT_VL"/>
    <s v="VASTELASTEN"/>
    <s v="bankkosten"/>
    <m/>
    <s v="Rabo TotaalPakket                  Periode 01-07-2020 t/m 31-07-2020"/>
    <m/>
    <s v="db"/>
    <m/>
    <m/>
    <m/>
    <m/>
    <m/>
    <m/>
  </r>
  <r>
    <n v="2211"/>
    <x v="3"/>
    <m/>
    <x v="4"/>
    <x v="56"/>
    <d v="2020-07-06T00:00:00"/>
    <d v="2020-07-06T00:00:00"/>
    <n v="-27.49"/>
    <n v="27.49"/>
    <m/>
    <s v="Your Hosting B.V."/>
    <s v="UIT_VL"/>
    <s v="VASTELASTEN"/>
    <s v="internetsites"/>
    <m/>
    <s v="55535071/2561239"/>
    <s v="RABONL2U"/>
    <s v="ei"/>
    <m/>
    <m/>
    <m/>
    <m/>
    <m/>
    <m/>
  </r>
  <r>
    <n v="2212"/>
    <x v="3"/>
    <m/>
    <x v="4"/>
    <x v="56"/>
    <d v="2020-07-06T00:00:00"/>
    <d v="2020-07-06T00:00:00"/>
    <n v="-3.42"/>
    <n v="3.42"/>
    <m/>
    <s v="OHRA Schadeverzekeringen"/>
    <s v="UIT_VL"/>
    <s v="VASTELASTEN"/>
    <s v="avp verzekering"/>
    <m/>
    <s v="Debiteurnr. D05249128/ Verschuldigd per 5/07/2020"/>
    <s v="INGBNL2A"/>
    <s v="ei"/>
    <m/>
    <m/>
    <m/>
    <m/>
    <m/>
    <m/>
  </r>
  <r>
    <n v="2247"/>
    <x v="3"/>
    <m/>
    <x v="4"/>
    <x v="56"/>
    <d v="2020-07-20T00:00:00"/>
    <d v="2020-07-20T00:00:00"/>
    <n v="-6"/>
    <n v="6"/>
    <m/>
    <s v="STICHTING DERDENGELDEN BUCKAROO"/>
    <s v="UIT_VL"/>
    <s v="VASTELASTEN"/>
    <s v="foodlog"/>
    <m/>
    <s v="Foodlog Media B.V. : Foodlog Lid (?202007-12814)"/>
    <s v="DEUTNL2A"/>
    <s v="ei"/>
    <m/>
    <m/>
    <m/>
    <m/>
    <m/>
    <m/>
  </r>
  <r>
    <n v="2256"/>
    <x v="3"/>
    <m/>
    <x v="4"/>
    <x v="56"/>
    <d v="2020-07-22T00:00:00"/>
    <d v="2020-07-22T00:00:00"/>
    <n v="-9.99"/>
    <n v="9.99"/>
    <m/>
    <s v="Blendle B.V."/>
    <s v="UIT_VL"/>
    <s v="VASTELASTEN"/>
    <s v="blendle"/>
    <m/>
    <s v="BLENDLE"/>
    <s v="DEKTDE7G"/>
    <s v="ei"/>
    <m/>
    <m/>
    <s v="0W6172F33C5F27B4B868E23B86086A29D5B"/>
    <s v="NL39ZZZ302317620000"/>
    <m/>
    <s v="Foodlog Media B.V. : Foodlog Lid (?202007-12814)"/>
  </r>
  <r>
    <n v="2278"/>
    <x v="3"/>
    <m/>
    <x v="4"/>
    <x v="60"/>
    <d v="2020-08-01T00:00:00"/>
    <d v="2020-08-01T00:00:00"/>
    <n v="-0.1"/>
    <n v="0.1"/>
    <m/>
    <s v="Debetrente"/>
    <s v="UIT_VL"/>
    <s v="VASTELASTEN"/>
    <s v="bankkosten"/>
    <m/>
    <s v="Periode 01-07-2020 t/m 31-07-2020"/>
    <m/>
    <s v="db"/>
    <m/>
    <m/>
    <m/>
    <m/>
    <m/>
    <s v="Betaalautomaat 18:05 pasnr. 022"/>
  </r>
  <r>
    <n v="2279"/>
    <x v="3"/>
    <m/>
    <x v="4"/>
    <x v="60"/>
    <d v="2020-08-01T00:00:00"/>
    <d v="2020-08-01T00:00:00"/>
    <n v="-0.7"/>
    <n v="0.7"/>
    <m/>
    <s v="Kosten"/>
    <s v="UIT_VL"/>
    <s v="VASTELASTEN"/>
    <s v="bankkosten"/>
    <m/>
    <s v="Abonnement maandelijks papieren    rekeningafschrift                  Periode 01-08-2020 t/m 31-08-2020"/>
    <m/>
    <s v="db"/>
    <m/>
    <m/>
    <m/>
    <m/>
    <m/>
    <s v="Betaalautomaat 10:09 pasnr. 022"/>
  </r>
  <r>
    <n v="2280"/>
    <x v="3"/>
    <m/>
    <x v="4"/>
    <x v="60"/>
    <d v="2020-08-01T00:00:00"/>
    <d v="2020-08-01T00:00:00"/>
    <n v="-2"/>
    <n v="2"/>
    <m/>
    <s v="Kosten"/>
    <s v="UIT_VL"/>
    <s v="VASTELASTEN"/>
    <s v="bankkosten"/>
    <m/>
    <s v="Stortingsapparaat (eigen storting) Periode 01-07-2020 t/m 31-07-2020"/>
    <m/>
    <s v="db"/>
    <m/>
    <m/>
    <m/>
    <m/>
    <m/>
    <s v="Betaalautomaat 11:42 pasnr. 022"/>
  </r>
  <r>
    <n v="2281"/>
    <x v="3"/>
    <m/>
    <x v="4"/>
    <x v="60"/>
    <d v="2020-08-01T00:00:00"/>
    <d v="2020-08-01T00:00:00"/>
    <n v="-5"/>
    <n v="5"/>
    <m/>
    <s v="Kosten"/>
    <s v="UIT_VL"/>
    <s v="VASTELASTEN"/>
    <s v="bankkosten"/>
    <m/>
    <s v="Rabo TotaalPakket                  Periode 01-08-2020 t/m 31-08-2020"/>
    <m/>
    <s v="db"/>
    <m/>
    <m/>
    <n v="606796363200709"/>
    <s v="NL81ZZZ241682080000"/>
    <m/>
    <s v="Kenmerk: 4210156260200001 / Omschrijving: Premie / augustus 2020"/>
  </r>
  <r>
    <n v="2284"/>
    <x v="3"/>
    <m/>
    <x v="4"/>
    <x v="60"/>
    <d v="2020-08-03T00:00:00"/>
    <d v="2020-08-03T00:00:00"/>
    <n v="-236"/>
    <n v="236"/>
    <m/>
    <s v="D.S.W. Zorgverzekeraar"/>
    <s v="UIT_VL"/>
    <s v="VASTELASTEN"/>
    <s v="zorgverzekering"/>
    <m/>
    <s v="Kenmerk: 4210156260200001 / Omschrijving: Premie / augustus 2020"/>
    <s v="RABONL2U"/>
    <s v="ei"/>
    <m/>
    <m/>
    <m/>
    <m/>
    <m/>
    <s v="Betaalautomaat 12:25 pasnr. 022"/>
  </r>
  <r>
    <n v="2285"/>
    <x v="3"/>
    <m/>
    <x v="4"/>
    <x v="60"/>
    <d v="2020-08-03T00:00:00"/>
    <d v="2020-08-03T00:00:00"/>
    <n v="-3.42"/>
    <n v="3.42"/>
    <m/>
    <s v="OHRA Schadeverzekeringen"/>
    <s v="UIT_VL"/>
    <s v="VASTELASTEN"/>
    <s v="avp verzekering"/>
    <m/>
    <s v="Debiteurnr. D05249128/ Verschuldigd per 1/08/2020"/>
    <s v="INGBNL2A"/>
    <s v="ei"/>
    <m/>
    <m/>
    <m/>
    <m/>
    <m/>
    <s v="Betaalautomaat 15:57 pasnr. 022"/>
  </r>
  <r>
    <n v="2329"/>
    <x v="3"/>
    <m/>
    <x v="4"/>
    <x v="60"/>
    <d v="2020-08-19T00:00:00"/>
    <d v="2020-08-19T00:00:00"/>
    <n v="-6"/>
    <n v="6"/>
    <s v="NL28DEUT0265186439"/>
    <s v="STICHTING DERDENGELDEN BUCKAROO"/>
    <s v="UIT_VL"/>
    <s v="VASTELASTEN"/>
    <s v="foodlog"/>
    <m/>
    <m/>
    <m/>
    <m/>
    <m/>
    <m/>
    <m/>
    <m/>
    <m/>
    <m/>
  </r>
  <r>
    <n v="2334"/>
    <x v="3"/>
    <m/>
    <x v="4"/>
    <x v="60"/>
    <d v="2020-08-20T00:00:00"/>
    <d v="2020-08-20T00:00:00"/>
    <n v="-9.99"/>
    <n v="9.99"/>
    <s v="DE89700111104107387027"/>
    <s v="Blendle B.V."/>
    <s v="UIT_VL"/>
    <s v="VASTELASTEN"/>
    <s v="blendle"/>
    <m/>
    <m/>
    <m/>
    <m/>
    <m/>
    <m/>
    <m/>
    <m/>
    <m/>
    <m/>
  </r>
  <r>
    <n v="2347"/>
    <x v="3"/>
    <m/>
    <x v="4"/>
    <x v="60"/>
    <d v="2020-08-23T00:00:00"/>
    <d v="2020-08-23T00:00:00"/>
    <n v="-20"/>
    <n v="20"/>
    <s v="NL46RABO0306722054"/>
    <s v="Vesta Payment Solutions"/>
    <s v="UIT_VL"/>
    <s v="VASTELASTEN"/>
    <s v="internet_telefoon_nl"/>
    <m/>
    <m/>
    <m/>
    <m/>
    <m/>
    <m/>
    <m/>
    <m/>
    <m/>
    <m/>
  </r>
  <r>
    <n v="2369"/>
    <x v="3"/>
    <m/>
    <x v="4"/>
    <x v="61"/>
    <d v="2020-09-01T00:00:00"/>
    <d v="2020-09-01T00:00:00"/>
    <n v="-3.42"/>
    <n v="3.42"/>
    <s v="NL98INGB0002712510"/>
    <s v="OHRA Schadeverzekeringen"/>
    <s v="UIT_VL"/>
    <s v="VASTELASTEN"/>
    <s v="avp verzekering"/>
    <m/>
    <m/>
    <m/>
    <m/>
    <m/>
    <m/>
    <m/>
    <m/>
    <m/>
    <m/>
  </r>
  <r>
    <n v="2374"/>
    <x v="3"/>
    <m/>
    <x v="4"/>
    <x v="61"/>
    <d v="2020-09-02T00:00:00"/>
    <d v="2020-09-02T00:00:00"/>
    <n v="-118"/>
    <n v="118"/>
    <s v="NL11RABO0343685310"/>
    <s v="D.S.W. Zorgverzekeraar"/>
    <s v="UIT_VL"/>
    <s v="VASTELASTEN"/>
    <s v="zorgverzekering"/>
    <m/>
    <m/>
    <m/>
    <m/>
    <m/>
    <m/>
    <m/>
    <m/>
    <m/>
    <m/>
  </r>
  <r>
    <n v="2375"/>
    <x v="3"/>
    <m/>
    <x v="4"/>
    <x v="61"/>
    <d v="2020-09-02T00:00:00"/>
    <d v="2020-09-02T00:00:00"/>
    <n v="-0.7"/>
    <n v="0.7"/>
    <m/>
    <s v="Kosten"/>
    <s v="UIT_VL"/>
    <s v="VASTELASTEN"/>
    <s v="bankkosten"/>
    <m/>
    <m/>
    <m/>
    <m/>
    <m/>
    <m/>
    <m/>
    <m/>
    <m/>
    <m/>
  </r>
  <r>
    <n v="2376"/>
    <x v="3"/>
    <m/>
    <x v="4"/>
    <x v="61"/>
    <d v="2020-09-02T00:00:00"/>
    <d v="2020-09-02T00:00:00"/>
    <n v="-5"/>
    <n v="5"/>
    <m/>
    <s v="Kosten"/>
    <s v="UIT_VL"/>
    <s v="VASTELASTEN"/>
    <s v="bankkosten"/>
    <m/>
    <m/>
    <m/>
    <m/>
    <m/>
    <m/>
    <m/>
    <m/>
    <m/>
    <m/>
  </r>
  <r>
    <n v="2394"/>
    <x v="3"/>
    <m/>
    <x v="4"/>
    <x v="61"/>
    <d v="2020-09-13T00:00:00"/>
    <d v="2020-09-13T00:00:00"/>
    <n v="-12"/>
    <n v="12"/>
    <s v="NL51DEUT0265262461"/>
    <s v="petje.af/kukuru via Mollie"/>
    <s v="UIT_VL"/>
    <s v="VASTELASTEN"/>
    <s v="div"/>
    <m/>
    <m/>
    <m/>
    <m/>
    <m/>
    <m/>
    <m/>
    <m/>
    <m/>
    <m/>
  </r>
  <r>
    <n v="2403"/>
    <x v="3"/>
    <m/>
    <x v="4"/>
    <x v="61"/>
    <d v="2020-09-17T00:00:00"/>
    <d v="2020-09-17T00:00:00"/>
    <n v="-6"/>
    <n v="6"/>
    <s v="NL28DEUT0265186439"/>
    <s v="STICHTING DERDENGELDEN BUCKAROO"/>
    <s v="UIT_VL"/>
    <s v="VASTELASTEN"/>
    <s v="foodlog"/>
    <m/>
    <m/>
    <m/>
    <m/>
    <m/>
    <m/>
    <m/>
    <m/>
    <m/>
    <m/>
  </r>
  <r>
    <n v="2408"/>
    <x v="3"/>
    <m/>
    <x v="4"/>
    <x v="61"/>
    <d v="2020-09-22T00:00:00"/>
    <d v="2020-09-22T00:00:00"/>
    <n v="-9.99"/>
    <n v="9.99"/>
    <s v="DE89700111104107387027"/>
    <s v="Blendle B.V."/>
    <s v="UIT_VL"/>
    <s v="VASTELASTEN"/>
    <s v="blendle"/>
    <m/>
    <m/>
    <m/>
    <m/>
    <m/>
    <m/>
    <m/>
    <m/>
    <m/>
    <m/>
  </r>
  <r>
    <n v="2409"/>
    <x v="3"/>
    <m/>
    <x v="4"/>
    <x v="61"/>
    <d v="2020-09-22T00:00:00"/>
    <d v="2020-09-22T00:00:00"/>
    <n v="-10"/>
    <n v="10"/>
    <s v="NL46RABO0306722054"/>
    <s v="Vesta Payment Solutions"/>
    <s v="UIT_VL"/>
    <s v="VASTELASTEN"/>
    <s v="internet_telefoon_nl"/>
    <m/>
    <m/>
    <m/>
    <m/>
    <m/>
    <m/>
    <m/>
    <m/>
    <m/>
    <m/>
  </r>
  <r>
    <n v="2416"/>
    <x v="3"/>
    <m/>
    <x v="4"/>
    <x v="61"/>
    <d v="2020-09-25T00:00:00"/>
    <d v="2020-09-25T00:00:00"/>
    <n v="-20"/>
    <n v="20"/>
    <s v="NL40TRIO0198396716"/>
    <s v="N.V.V."/>
    <s v="UIT_VL"/>
    <s v="VASTELASTEN"/>
    <s v="nvv"/>
    <m/>
    <m/>
    <m/>
    <m/>
    <m/>
    <m/>
    <m/>
    <m/>
    <m/>
    <m/>
  </r>
  <r>
    <n v="2424"/>
    <x v="3"/>
    <m/>
    <x v="4"/>
    <x v="57"/>
    <d v="2020-10-01T00:00:00"/>
    <d v="2020-10-01T00:00:00"/>
    <n v="-118"/>
    <n v="118"/>
    <s v="NL11RABO0343685310"/>
    <s v="D.S.W. Zorgverzekeraar"/>
    <s v="UIT_VL"/>
    <s v="VASTELASTEN"/>
    <s v="zorgverzekering"/>
    <m/>
    <m/>
    <m/>
    <m/>
    <m/>
    <m/>
    <m/>
    <m/>
    <m/>
    <m/>
  </r>
  <r>
    <n v="2426"/>
    <x v="3"/>
    <m/>
    <x v="4"/>
    <x v="57"/>
    <d v="2020-10-01T00:00:00"/>
    <d v="2020-10-01T00:00:00"/>
    <n v="-3.42"/>
    <n v="3.42"/>
    <s v="NL98INGB0002712510"/>
    <s v="OHRA Schadeverzekeringen"/>
    <s v="UIT_VL"/>
    <s v="VASTELASTEN"/>
    <s v="avp verzekering"/>
    <m/>
    <m/>
    <m/>
    <m/>
    <m/>
    <m/>
    <m/>
    <m/>
    <m/>
    <m/>
  </r>
  <r>
    <n v="2430"/>
    <x v="3"/>
    <m/>
    <x v="4"/>
    <x v="57"/>
    <d v="2020-10-02T00:00:00"/>
    <d v="2020-10-02T00:00:00"/>
    <n v="-0.7"/>
    <n v="0.7"/>
    <m/>
    <s v="Kosten"/>
    <s v="UIT_VL"/>
    <s v="VASTELASTEN"/>
    <s v="bankkosten"/>
    <m/>
    <m/>
    <m/>
    <m/>
    <m/>
    <m/>
    <m/>
    <m/>
    <m/>
    <m/>
  </r>
  <r>
    <n v="2431"/>
    <x v="3"/>
    <m/>
    <x v="4"/>
    <x v="57"/>
    <d v="2020-10-02T00:00:00"/>
    <d v="2020-10-02T00:00:00"/>
    <n v="-5"/>
    <n v="5"/>
    <m/>
    <s v="Kosten"/>
    <s v="UIT_VL"/>
    <s v="VASTELASTEN"/>
    <s v="bankkosten"/>
    <m/>
    <m/>
    <m/>
    <m/>
    <m/>
    <m/>
    <m/>
    <m/>
    <m/>
    <m/>
  </r>
  <r>
    <n v="2433"/>
    <x v="3"/>
    <m/>
    <x v="4"/>
    <x v="57"/>
    <d v="2020-10-07T00:00:00"/>
    <d v="2020-10-07T00:00:00"/>
    <n v="-101.64"/>
    <n v="101.64"/>
    <s v="NL05ABNA0408361255"/>
    <s v="VEVIDA BV"/>
    <s v="UIT_VL"/>
    <s v="VASTELASTEN"/>
    <s v="internetsites"/>
    <m/>
    <m/>
    <m/>
    <m/>
    <m/>
    <m/>
    <m/>
    <m/>
    <m/>
    <m/>
  </r>
  <r>
    <n v="2464"/>
    <x v="3"/>
    <m/>
    <x v="4"/>
    <x v="57"/>
    <d v="2020-10-20T00:00:00"/>
    <d v="2020-10-20T00:00:00"/>
    <n v="521"/>
    <n v="521"/>
    <s v="NL86INGB0002445588"/>
    <s v="BELASTINGDIENST"/>
    <s v="UIT_VL"/>
    <s v="VASTELASTEN"/>
    <s v="zorgtoeslag"/>
    <m/>
    <m/>
    <m/>
    <m/>
    <m/>
    <m/>
    <m/>
    <m/>
    <m/>
    <m/>
  </r>
  <r>
    <n v="2465"/>
    <x v="3"/>
    <m/>
    <x v="4"/>
    <x v="57"/>
    <d v="2020-10-20T00:00:00"/>
    <d v="2020-10-20T00:00:00"/>
    <n v="-6"/>
    <n v="6"/>
    <s v="NL28DEUT0265186439"/>
    <s v="STICHTING DERDENGELDEN BUCKAROO"/>
    <s v="UIT_VL"/>
    <s v="VASTELASTEN"/>
    <s v="foodlog"/>
    <m/>
    <m/>
    <m/>
    <m/>
    <m/>
    <m/>
    <m/>
    <m/>
    <m/>
    <m/>
  </r>
  <r>
    <n v="2469"/>
    <x v="3"/>
    <m/>
    <x v="4"/>
    <x v="57"/>
    <d v="2020-10-21T00:00:00"/>
    <d v="2020-10-21T00:00:00"/>
    <n v="-9.99"/>
    <n v="9.99"/>
    <s v="DE89700111104107387027"/>
    <s v="Blendle B.V."/>
    <s v="UIT_VL"/>
    <s v="VASTELASTEN"/>
    <s v="blendle"/>
    <m/>
    <m/>
    <m/>
    <m/>
    <m/>
    <m/>
    <m/>
    <m/>
    <m/>
    <m/>
  </r>
  <r>
    <n v="2472"/>
    <x v="3"/>
    <m/>
    <x v="4"/>
    <x v="57"/>
    <d v="2020-10-22T00:00:00"/>
    <d v="2020-10-22T00:00:00"/>
    <n v="-10"/>
    <n v="10"/>
    <m/>
    <s v="PYV*Vodafone Winkel548 ARNHEM"/>
    <s v="UIT_VL"/>
    <s v="VASTELASTEN"/>
    <s v="internet_telefoon_nl"/>
    <m/>
    <m/>
    <m/>
    <m/>
    <m/>
    <m/>
    <m/>
    <m/>
    <m/>
    <m/>
  </r>
  <r>
    <n v="2486"/>
    <x v="3"/>
    <m/>
    <x v="4"/>
    <x v="59"/>
    <d v="2020-11-02T00:00:00"/>
    <d v="2020-11-02T00:00:00"/>
    <n v="-118"/>
    <n v="118"/>
    <s v="NL11RABO0343685310"/>
    <s v="D.S.W. Zorgverzekeraar"/>
    <s v="UIT_VL"/>
    <s v="VASTELASTEN"/>
    <s v="zorgverzekering"/>
    <s v="NIEUW"/>
    <m/>
    <m/>
    <m/>
    <m/>
    <m/>
    <m/>
    <m/>
    <m/>
    <m/>
  </r>
  <r>
    <n v="2487"/>
    <x v="3"/>
    <m/>
    <x v="4"/>
    <x v="59"/>
    <d v="2020-11-02T00:00:00"/>
    <d v="2020-11-02T00:00:00"/>
    <n v="-3.42"/>
    <n v="3.42"/>
    <s v="NL98INGB0002712510"/>
    <s v="OHRA Schadeverzekeringen"/>
    <s v="UIT_VL"/>
    <s v="VASTELASTEN"/>
    <s v="AVP verzekering"/>
    <s v="NIEUW"/>
    <m/>
    <m/>
    <m/>
    <m/>
    <m/>
    <m/>
    <m/>
    <m/>
    <m/>
  </r>
  <r>
    <n v="2488"/>
    <x v="3"/>
    <m/>
    <x v="4"/>
    <x v="59"/>
    <d v="2020-11-03T00:00:00"/>
    <d v="2020-11-03T00:00:00"/>
    <n v="-0.7"/>
    <n v="0.7"/>
    <m/>
    <s v="Kosten"/>
    <s v="UIT_VL"/>
    <s v="VASTELASTEN"/>
    <s v="bankkosten"/>
    <s v="NIEUW"/>
    <m/>
    <m/>
    <m/>
    <m/>
    <m/>
    <m/>
    <m/>
    <m/>
    <m/>
  </r>
  <r>
    <n v="2489"/>
    <x v="3"/>
    <m/>
    <x v="4"/>
    <x v="59"/>
    <d v="2020-11-03T00:00:00"/>
    <d v="2020-11-03T00:00:00"/>
    <n v="-5"/>
    <n v="5"/>
    <m/>
    <s v="Kosten"/>
    <s v="UIT_VL"/>
    <s v="VASTELASTEN"/>
    <s v="bankkosten"/>
    <s v="NIEUW"/>
    <m/>
    <m/>
    <m/>
    <m/>
    <m/>
    <m/>
    <m/>
    <m/>
    <m/>
  </r>
  <r>
    <n v="2494"/>
    <x v="3"/>
    <m/>
    <x v="4"/>
    <x v="59"/>
    <d v="2020-11-05T00:00:00"/>
    <d v="2020-11-05T00:00:00"/>
    <n v="-104.3"/>
    <n v="104.3"/>
    <s v="NL02RABO0129284432"/>
    <s v="Your Hosting B.V."/>
    <s v="UIT_VL"/>
    <s v="VASTELASTEN"/>
    <s v="internetsites"/>
    <s v="NIEUW"/>
    <m/>
    <m/>
    <m/>
    <m/>
    <m/>
    <m/>
    <m/>
    <m/>
    <m/>
  </r>
  <r>
    <n v="2517"/>
    <x v="3"/>
    <m/>
    <x v="4"/>
    <x v="59"/>
    <d v="2020-11-18T00:00:00"/>
    <d v="2020-11-18T00:00:00"/>
    <n v="-6"/>
    <n v="6"/>
    <s v="NL28DEUT0265186439"/>
    <s v="STICHTING DERDENGELDEN BUCKAROO"/>
    <s v="UIT_VL"/>
    <s v="VASTELASTEN"/>
    <s v="foodlog"/>
    <s v="NIEUW"/>
    <m/>
    <m/>
    <m/>
    <m/>
    <m/>
    <m/>
    <m/>
    <m/>
    <m/>
  </r>
  <r>
    <n v="2521"/>
    <x v="3"/>
    <m/>
    <x v="4"/>
    <x v="59"/>
    <d v="2020-11-19T00:00:00"/>
    <d v="2020-11-19T00:00:00"/>
    <n v="-10"/>
    <n v="10"/>
    <s v="NL46RABO0306722054"/>
    <s v="Vesta Payment Solutions"/>
    <s v="UIT_VL"/>
    <s v="VASTELASTEN"/>
    <s v="internet_telefoon_NL"/>
    <s v="NIEUW"/>
    <m/>
    <m/>
    <m/>
    <m/>
    <m/>
    <m/>
    <m/>
    <m/>
    <m/>
  </r>
  <r>
    <n v="2522"/>
    <x v="3"/>
    <m/>
    <x v="4"/>
    <x v="59"/>
    <d v="2020-11-20T00:00:00"/>
    <d v="2020-11-20T00:00:00"/>
    <n v="-9.99"/>
    <n v="9.99"/>
    <s v="DE89700111104107387027"/>
    <s v="Blendle B.V."/>
    <s v="UIT_VL"/>
    <s v="VASTELASTEN"/>
    <s v="Blendle"/>
    <s v="NIEUW"/>
    <m/>
    <m/>
    <m/>
    <m/>
    <m/>
    <m/>
    <m/>
    <m/>
    <m/>
  </r>
  <r>
    <n v="2523"/>
    <x v="3"/>
    <m/>
    <x v="4"/>
    <x v="59"/>
    <d v="2020-11-20T00:00:00"/>
    <d v="2020-11-20T00:00:00"/>
    <n v="104"/>
    <n v="104"/>
    <s v="NL86INGB0002445588"/>
    <s v="BELASTINGDIENST"/>
    <s v="UIT_VL"/>
    <s v="VASTELASTEN"/>
    <s v="zorgtoeslag"/>
    <s v="NIEUW"/>
    <m/>
    <m/>
    <m/>
    <m/>
    <m/>
    <m/>
    <m/>
    <m/>
    <m/>
  </r>
  <r>
    <n v="2528"/>
    <x v="3"/>
    <m/>
    <x v="4"/>
    <x v="59"/>
    <d v="2020-11-23T00:00:00"/>
    <d v="2020-11-23T00:00:00"/>
    <n v="-20"/>
    <n v="20"/>
    <s v="NL94TRIO0212486934"/>
    <s v="Partij voor de Dieren"/>
    <s v="UIT_VL"/>
    <s v="VASTELASTEN"/>
    <s v="pvdd"/>
    <s v="NIEUW"/>
    <m/>
    <m/>
    <m/>
    <m/>
    <m/>
    <m/>
    <m/>
    <m/>
    <m/>
  </r>
  <r>
    <n v="2536"/>
    <x v="3"/>
    <m/>
    <x v="4"/>
    <x v="58"/>
    <d v="2020-12-02T00:00:00"/>
    <d v="2020-12-02T00:00:00"/>
    <n v="-118"/>
    <n v="118"/>
    <s v="NL11RABO0343685310"/>
    <s v="D.S.W. Zorgverzekeraar"/>
    <s v="UIT_VL"/>
    <s v="VASTELASTEN"/>
    <s v="zorgverzekering"/>
    <s v="NIEUW"/>
    <m/>
    <m/>
    <m/>
    <m/>
    <m/>
    <m/>
    <m/>
    <m/>
    <m/>
  </r>
  <r>
    <n v="2536"/>
    <x v="3"/>
    <m/>
    <x v="4"/>
    <x v="58"/>
    <d v="2020-12-31T00:00:00"/>
    <m/>
    <n v="-24"/>
    <n v="24"/>
    <m/>
    <s v="correctie zorgverzekering"/>
    <s v="UIT_VL"/>
    <s v="VASTELASTEN"/>
    <s v="zorgverzekering"/>
    <m/>
    <m/>
    <m/>
    <m/>
    <m/>
    <m/>
    <m/>
    <m/>
    <m/>
    <m/>
  </r>
  <r>
    <n v="2537"/>
    <x v="3"/>
    <m/>
    <x v="4"/>
    <x v="58"/>
    <d v="2020-12-02T00:00:00"/>
    <d v="2020-12-02T00:00:00"/>
    <n v="-0.7"/>
    <n v="0.7"/>
    <m/>
    <s v="Kosten"/>
    <s v="UIT_VL"/>
    <s v="VASTELASTEN"/>
    <s v="bankkosten"/>
    <s v="NIEUW"/>
    <m/>
    <m/>
    <m/>
    <m/>
    <m/>
    <m/>
    <m/>
    <m/>
    <m/>
  </r>
  <r>
    <n v="2538"/>
    <x v="3"/>
    <m/>
    <x v="4"/>
    <x v="58"/>
    <d v="2020-12-02T00:00:00"/>
    <d v="2020-12-02T00:00:00"/>
    <n v="-5"/>
    <n v="5"/>
    <m/>
    <s v="Kosten"/>
    <s v="UIT_VL"/>
    <s v="VASTELASTEN"/>
    <s v="bankkosten"/>
    <s v="NIEUW"/>
    <m/>
    <m/>
    <m/>
    <m/>
    <m/>
    <m/>
    <m/>
    <m/>
    <m/>
  </r>
  <r>
    <n v="2539"/>
    <x v="3"/>
    <m/>
    <x v="4"/>
    <x v="58"/>
    <d v="2020-12-02T00:00:00"/>
    <d v="2020-12-02T00:00:00"/>
    <n v="-3.42"/>
    <n v="3.42"/>
    <s v="NL98INGB0002712510"/>
    <s v="OHRA Schadeverzekeringen"/>
    <s v="UIT_VL"/>
    <s v="VASTELASTEN"/>
    <s v="AVP verzekering"/>
    <s v="NIEUW"/>
    <m/>
    <m/>
    <m/>
    <m/>
    <m/>
    <m/>
    <m/>
    <m/>
    <m/>
  </r>
  <r>
    <n v="2564"/>
    <x v="3"/>
    <m/>
    <x v="4"/>
    <x v="58"/>
    <d v="2020-12-17T00:00:00"/>
    <d v="2020-12-17T00:00:00"/>
    <n v="-6"/>
    <n v="6"/>
    <s v="NL28DEUT0265186439"/>
    <s v="STICHTING DERDENGELDEN BUCKAROO"/>
    <s v="UIT_VL"/>
    <s v="VASTELASTEN"/>
    <s v="foodlog"/>
    <s v="NIEUW"/>
    <m/>
    <m/>
    <m/>
    <m/>
    <m/>
    <m/>
    <m/>
    <m/>
    <m/>
  </r>
  <r>
    <n v="2569"/>
    <x v="3"/>
    <m/>
    <x v="4"/>
    <x v="58"/>
    <d v="2020-12-21T00:00:00"/>
    <d v="2020-12-21T00:00:00"/>
    <n v="107"/>
    <n v="107"/>
    <s v="NL86INGB0002445588"/>
    <s v="BELASTINGDIENST"/>
    <s v="UIT_VL"/>
    <s v="VASTELASTEN"/>
    <s v="zorgtoeslag"/>
    <s v="NIEUW"/>
    <m/>
    <m/>
    <m/>
    <m/>
    <m/>
    <m/>
    <m/>
    <m/>
    <m/>
  </r>
  <r>
    <n v="2570"/>
    <x v="3"/>
    <m/>
    <x v="4"/>
    <x v="58"/>
    <d v="2020-12-22T00:00:00"/>
    <d v="2020-12-22T00:00:00"/>
    <n v="-7"/>
    <n v="7"/>
    <s v="DE89700111104107387027"/>
    <s v="Blendle B.V."/>
    <s v="UIT_VL"/>
    <s v="VASTELASTEN"/>
    <s v="Blendle"/>
    <s v="NIEUW"/>
    <m/>
    <m/>
    <m/>
    <m/>
    <m/>
    <m/>
    <m/>
    <m/>
    <m/>
  </r>
  <r>
    <n v="2574"/>
    <x v="3"/>
    <m/>
    <x v="4"/>
    <x v="58"/>
    <d v="2020-12-24T00:00:00"/>
    <d v="2020-12-24T00:00:00"/>
    <n v="-5"/>
    <n v="5"/>
    <s v="NL74INGB0004527327"/>
    <s v="STICHTING J O H O"/>
    <s v="UIT_VL"/>
    <s v="VASTELASTEN"/>
    <s v="div"/>
    <s v="NIEUW"/>
    <m/>
    <m/>
    <m/>
    <m/>
    <m/>
    <m/>
    <m/>
    <m/>
    <m/>
  </r>
  <r>
    <n v="2582"/>
    <x v="4"/>
    <m/>
    <x v="4"/>
    <x v="20"/>
    <d v="2020-01-02T00:00:00"/>
    <d v="2020-01-02T00:00:00"/>
    <n v="-2"/>
    <n v="2"/>
    <m/>
    <s v="LAPOSTE BOLLO"/>
    <s v="UIT_VL"/>
    <s v="VASTELASTEN"/>
    <s v="bankkosten"/>
    <m/>
    <m/>
    <m/>
    <m/>
    <m/>
    <m/>
    <m/>
    <m/>
    <m/>
    <m/>
  </r>
  <r>
    <n v="2583"/>
    <x v="4"/>
    <m/>
    <x v="4"/>
    <x v="22"/>
    <d v="2020-04-01T00:00:00"/>
    <d v="2020-04-01T00:00:00"/>
    <n v="-10"/>
    <n v="10"/>
    <m/>
    <s v="LAPOSTE"/>
    <s v="UIT_VL"/>
    <s v="VASTELASTEN"/>
    <s v="bankkosten"/>
    <m/>
    <m/>
    <m/>
    <m/>
    <m/>
    <m/>
    <m/>
    <m/>
    <m/>
    <m/>
  </r>
  <r>
    <n v="2610"/>
    <x v="0"/>
    <m/>
    <x v="4"/>
    <x v="60"/>
    <d v="2020-08-04T00:00:00"/>
    <d v="2020-08-04T00:00:00"/>
    <n v="-4.99"/>
    <n v="4.99"/>
    <m/>
    <s v="Googe play"/>
    <s v="UIT_VL"/>
    <s v="VASTELASTEN"/>
    <s v="medium"/>
    <m/>
    <m/>
    <m/>
    <m/>
    <m/>
    <m/>
    <m/>
    <m/>
    <m/>
    <m/>
  </r>
  <r>
    <n v="2611"/>
    <x v="0"/>
    <m/>
    <x v="4"/>
    <x v="60"/>
    <d v="2020-08-04T00:00:00"/>
    <d v="2020-08-04T00:00:00"/>
    <n v="-4.99"/>
    <n v="4.99"/>
    <m/>
    <s v="GOOGLE *Google Play Ap g.co/helppay#GBR"/>
    <s v="UIT_VL"/>
    <s v="VASTELASTEN"/>
    <s v="medium"/>
    <m/>
    <m/>
    <m/>
    <m/>
    <m/>
    <m/>
    <m/>
    <m/>
    <m/>
    <m/>
  </r>
  <r>
    <n v="2612"/>
    <x v="0"/>
    <m/>
    <x v="4"/>
    <x v="60"/>
    <d v="2020-08-19T00:00:00"/>
    <d v="2020-08-19T00:00:00"/>
    <n v="-2.99"/>
    <n v="2.99"/>
    <m/>
    <s v="GOOGLE *Google Storage g.co/helppay#GBR"/>
    <s v="UIT_VL"/>
    <s v="VASTELASTEN"/>
    <s v="google storage"/>
    <m/>
    <m/>
    <m/>
    <m/>
    <m/>
    <m/>
    <m/>
    <m/>
    <m/>
    <m/>
  </r>
  <r>
    <n v="2613"/>
    <x v="0"/>
    <m/>
    <x v="4"/>
    <x v="60"/>
    <d v="2020-08-23T00:00:00"/>
    <d v="2020-08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614"/>
    <x v="0"/>
    <m/>
    <x v="4"/>
    <x v="61"/>
    <d v="2020-09-03T00:00:00"/>
    <d v="2020-09-03T00:00:00"/>
    <n v="-4.99"/>
    <n v="4.99"/>
    <m/>
    <s v="GOOGLE*GOOGLE PLAY APP INTERNET GBR"/>
    <s v="UIT_VL"/>
    <s v="VASTELASTEN"/>
    <s v="medium"/>
    <m/>
    <m/>
    <m/>
    <m/>
    <m/>
    <m/>
    <m/>
    <m/>
    <m/>
    <m/>
  </r>
  <r>
    <n v="2616"/>
    <x v="0"/>
    <m/>
    <x v="4"/>
    <x v="61"/>
    <d v="2020-09-19T00:00:00"/>
    <d v="2020-09-19T00:00:00"/>
    <n v="-2.99"/>
    <n v="2.99"/>
    <m/>
    <s v="GOOGLE Google Storage London GBR"/>
    <s v="UIT_VL"/>
    <s v="VASTELASTEN"/>
    <s v="google storage"/>
    <m/>
    <m/>
    <m/>
    <m/>
    <m/>
    <m/>
    <m/>
    <m/>
    <m/>
    <m/>
  </r>
  <r>
    <n v="2617"/>
    <x v="0"/>
    <m/>
    <x v="4"/>
    <x v="61"/>
    <d v="2020-09-23T00:00:00"/>
    <d v="2020-09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618"/>
    <x v="0"/>
    <m/>
    <x v="4"/>
    <x v="57"/>
    <d v="2020-10-04T00:00:00"/>
    <d v="2020-10-04T00:00:00"/>
    <n v="-4.99"/>
    <n v="4.99"/>
    <m/>
    <s v="GOOGLE Google Play Apps London GBR"/>
    <s v="UIT_VL"/>
    <s v="VASTELASTEN"/>
    <s v="medium"/>
    <m/>
    <m/>
    <m/>
    <m/>
    <m/>
    <m/>
    <m/>
    <m/>
    <m/>
    <m/>
  </r>
  <r>
    <n v="2622"/>
    <x v="0"/>
    <m/>
    <x v="4"/>
    <x v="57"/>
    <d v="2020-10-19T00:00:00"/>
    <d v="2020-10-19T00:00:00"/>
    <n v="-2.99"/>
    <n v="2.99"/>
    <m/>
    <s v="GOOGLE *Google Storage   g.co/helppay#GBR"/>
    <s v="UIT_VL"/>
    <s v="VASTELASTEN"/>
    <s v="google storage"/>
    <s v="NIEUW"/>
    <m/>
    <m/>
    <m/>
    <m/>
    <m/>
    <m/>
    <m/>
    <m/>
    <m/>
  </r>
  <r>
    <n v="2623"/>
    <x v="0"/>
    <m/>
    <x v="4"/>
    <x v="57"/>
    <d v="2020-10-23T00:00:00"/>
    <d v="2020-10-23T00:00:00"/>
    <n v="-7"/>
    <n v="7"/>
    <m/>
    <s v="PAYPAL *MICROSOFT MICR   35314369001  GBR"/>
    <s v="UIT_VL"/>
    <s v="VASTELASTEN"/>
    <s v="microsoft"/>
    <s v="NIEUW"/>
    <m/>
    <m/>
    <m/>
    <m/>
    <m/>
    <m/>
    <m/>
    <m/>
    <m/>
  </r>
  <r>
    <n v="2625"/>
    <x v="0"/>
    <m/>
    <x v="4"/>
    <x v="59"/>
    <d v="2020-11-04T00:00:00"/>
    <d v="2020-11-04T00:00:00"/>
    <n v="-4.99"/>
    <n v="4.99"/>
    <m/>
    <s v="GOOGLE *Google Play Ap   g.co/helppay#GBR"/>
    <s v="UIT_VL"/>
    <s v="VASTELASTEN"/>
    <s v="Medium"/>
    <s v="NIEUW"/>
    <m/>
    <m/>
    <m/>
    <m/>
    <m/>
    <m/>
    <m/>
    <m/>
    <m/>
  </r>
  <r>
    <n v="2627"/>
    <x v="0"/>
    <m/>
    <x v="4"/>
    <x v="59"/>
    <d v="2020-11-19T00:00:00"/>
    <d v="2020-11-19T00:00:00"/>
    <n v="-2.99"/>
    <n v="2.99"/>
    <m/>
    <s v="GOOGLE *Google Storage   g.co/helppay#GBR"/>
    <s v="UIT_VL"/>
    <s v="VASTELASTEN"/>
    <s v="google storage"/>
    <s v="NIEUW"/>
    <m/>
    <m/>
    <m/>
    <m/>
    <m/>
    <m/>
    <m/>
    <m/>
    <m/>
  </r>
  <r>
    <n v="2628"/>
    <x v="0"/>
    <m/>
    <x v="4"/>
    <x v="59"/>
    <d v="2020-11-23T00:00:00"/>
    <d v="2020-11-23T00:00:00"/>
    <n v="-7"/>
    <n v="7"/>
    <m/>
    <s v="PAYPAL *MICROSOFT MICR   35314369001  GBR"/>
    <s v="UIT_VL"/>
    <s v="VASTELASTEN"/>
    <s v="microsoft"/>
    <s v="NIEUW"/>
    <m/>
    <m/>
    <m/>
    <m/>
    <m/>
    <m/>
    <m/>
    <m/>
    <m/>
  </r>
  <r>
    <n v="2630"/>
    <x v="0"/>
    <m/>
    <x v="4"/>
    <x v="58"/>
    <d v="2020-12-04T00:00:00"/>
    <d v="2020-12-04T00:00:00"/>
    <n v="-4.99"/>
    <n v="4.99"/>
    <m/>
    <s v="GOOGLE  Google Play Apps London       GBR"/>
    <s v="UIT_VL"/>
    <s v="VASTELASTEN"/>
    <s v="Medium"/>
    <s v="NIEUW"/>
    <m/>
    <m/>
    <m/>
    <m/>
    <m/>
    <m/>
    <m/>
    <m/>
    <m/>
  </r>
  <r>
    <n v="2631"/>
    <x v="0"/>
    <m/>
    <x v="4"/>
    <x v="58"/>
    <d v="2020-12-07T00:00:00"/>
    <d v="2020-12-07T00:00:00"/>
    <n v="-14.05"/>
    <n v="14.05"/>
    <m/>
    <s v="PAYPAL *RCX.SMIT         35314369001  NLD"/>
    <s v="UIT_VL"/>
    <s v="VASTELASTEN"/>
    <s v="gravit"/>
    <s v="NIEUW"/>
    <m/>
    <m/>
    <m/>
    <m/>
    <m/>
    <m/>
    <m/>
    <m/>
    <m/>
  </r>
  <r>
    <n v="2632"/>
    <x v="0"/>
    <m/>
    <x v="4"/>
    <x v="58"/>
    <d v="2020-12-13T00:00:00"/>
    <d v="2020-12-13T00:00:00"/>
    <n v="-6.04"/>
    <n v="6.04"/>
    <m/>
    <s v="PAYPAL *GOOGLE CHESS C   35314369001  GBR"/>
    <s v="UIT_VL"/>
    <s v="VASTELASTEN"/>
    <s v="Chess.com"/>
    <s v="NIEUW"/>
    <m/>
    <m/>
    <m/>
    <m/>
    <m/>
    <m/>
    <m/>
    <m/>
    <m/>
  </r>
  <r>
    <n v="2633"/>
    <x v="0"/>
    <m/>
    <x v="4"/>
    <x v="58"/>
    <d v="2020-12-19T00:00:00"/>
    <d v="2020-12-19T00:00:00"/>
    <n v="-2.99"/>
    <n v="2.99"/>
    <m/>
    <s v="GOOGLE  Google Storage   London       GBR"/>
    <s v="UIT_VL"/>
    <s v="VASTELASTEN"/>
    <s v="google storage"/>
    <s v="NIEUW"/>
    <m/>
    <m/>
    <m/>
    <m/>
    <m/>
    <m/>
    <m/>
    <m/>
    <m/>
  </r>
  <r>
    <n v="2635"/>
    <x v="0"/>
    <m/>
    <x v="4"/>
    <x v="58"/>
    <d v="2020-12-23T00:00:00"/>
    <d v="2020-12-23T00:00:00"/>
    <n v="-7"/>
    <n v="7"/>
    <m/>
    <s v="PAYPAL *MICROSOFT MICR   35314369001  GBR"/>
    <s v="UIT_VL"/>
    <s v="VASTELASTEN"/>
    <s v="microsoft"/>
    <s v="NIEUW"/>
    <m/>
    <m/>
    <m/>
    <m/>
    <m/>
    <m/>
    <m/>
    <m/>
    <m/>
  </r>
  <r>
    <n v="2636"/>
    <x v="0"/>
    <m/>
    <x v="4"/>
    <x v="58"/>
    <d v="2020-12-23T00:00:00"/>
    <d v="2020-12-23T00:00:00"/>
    <n v="-3.59"/>
    <n v="3.59"/>
    <m/>
    <s v="PAYPAL *CHESS COM        402-935-7733 USACA"/>
    <s v="UIT_VL"/>
    <s v="VASTELASTEN"/>
    <s v="Chess.com"/>
    <s v="NIEUW"/>
    <m/>
    <m/>
    <m/>
    <m/>
    <m/>
    <m/>
    <m/>
    <m/>
    <m/>
  </r>
  <r>
    <n v="2667"/>
    <x v="3"/>
    <m/>
    <x v="5"/>
    <x v="65"/>
    <d v="2021-01-04T00:00:00"/>
    <d v="2021-01-04T00:00:00"/>
    <n v="-3.42"/>
    <n v="3.42"/>
    <s v="NL98INGB0002712510"/>
    <s v="OHRA Schadeverzekeringen"/>
    <s v="UIT_VL"/>
    <s v="VASTELASTEN"/>
    <s v="AVP verzekering"/>
    <s v="INGBNL2A"/>
    <s v="ei"/>
    <m/>
    <s v="OHRA-645644-202012290226-1-3766392"/>
    <n v="3272007"/>
    <s v="NL21ZZZ330520730000"/>
    <m/>
    <s v="Relatie 8405205 / Verschuldigd per 01/01/2021"/>
    <s v=" "/>
    <m/>
  </r>
  <r>
    <n v="2668"/>
    <x v="3"/>
    <m/>
    <x v="5"/>
    <x v="65"/>
    <d v="2021-01-05T00:00:00"/>
    <d v="2021-01-05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1-2021 t/m 31-01-2021"/>
    <s v=" "/>
    <m/>
  </r>
  <r>
    <n v="2669"/>
    <x v="3"/>
    <m/>
    <x v="5"/>
    <x v="65"/>
    <d v="2021-01-05T00:00:00"/>
    <d v="2021-01-05T00:00:00"/>
    <n v="-5"/>
    <n v="5"/>
    <m/>
    <s v="Kosten"/>
    <s v="UIT_VL"/>
    <s v="VASTELASTEN"/>
    <s v="bankkosten"/>
    <m/>
    <s v="db"/>
    <m/>
    <m/>
    <m/>
    <m/>
    <m/>
    <s v="Rabo TotaalPakket                  Periode 01-01-2021 t/m 31-01-2021"/>
    <s v=" "/>
    <m/>
  </r>
  <r>
    <n v="2670"/>
    <x v="3"/>
    <m/>
    <x v="5"/>
    <x v="65"/>
    <d v="2021-01-08T00:00:00"/>
    <d v="2021-01-08T00:00:00"/>
    <n v="-124.5"/>
    <n v="124.5"/>
    <s v="NL11RABO0343685310"/>
    <s v="D.S.W. Zorgverzekeraar"/>
    <s v="UIT_VL"/>
    <s v="VASTELASTEN"/>
    <s v="zorgverzekering"/>
    <s v="RABONL2U"/>
    <s v="ei"/>
    <m/>
    <s v="ca99df41d0554935b364b174728ee1b6"/>
    <n v="606796363200709"/>
    <s v="NL81ZZZ241682080000"/>
    <m/>
    <s v="Kenmerk: 5210156260200006 / Omschrijving: Premie / januari 2021"/>
    <s v=" "/>
    <m/>
  </r>
  <r>
    <n v="2676"/>
    <x v="3"/>
    <m/>
    <x v="5"/>
    <x v="65"/>
    <d v="2021-01-19T00:00:00"/>
    <d v="2021-01-19T00:00:00"/>
    <n v="-6"/>
    <n v="6"/>
    <s v="NL28DEUT0265186439"/>
    <s v="STICHTING DERDENGELDEN BUCKAROO"/>
    <s v="UIT_VL"/>
    <s v="VASTELASTEN"/>
    <s v="foodlog"/>
    <s v="DEUTNL2A"/>
    <s v="ei"/>
    <m/>
    <s v="502386CA3F8C4794B20F24E980F2836D"/>
    <s v="0W6172F33C5F27B4B868E23B86086A29D5B"/>
    <s v="NL39ZZZ302317620000"/>
    <m/>
    <s v="Foodlog Media B.V. : Foodlog Lid (?202101-18444)"/>
    <s v=" "/>
    <m/>
  </r>
  <r>
    <n v="2678"/>
    <x v="3"/>
    <m/>
    <x v="5"/>
    <x v="65"/>
    <d v="2021-01-20T00:00:00"/>
    <d v="2021-01-20T00:00:00"/>
    <n v="-7"/>
    <n v="7"/>
    <s v="DE66700111104101891130"/>
    <s v="Blendle B.V."/>
    <s v="UIT_VL"/>
    <s v="VASTELASTEN"/>
    <s v="Blendle"/>
    <s v="DEKTDE7G"/>
    <s v="ei"/>
    <m/>
    <s v="38W9I12"/>
    <s v="APWBQB4QWWPHQ2CV"/>
    <s v="NL13ZZZ587241090000"/>
    <m/>
    <s v="BLENDLE PREMIUM"/>
    <s v=" "/>
    <m/>
  </r>
  <r>
    <n v="2679"/>
    <x v="3"/>
    <m/>
    <x v="5"/>
    <x v="65"/>
    <d v="2021-01-20T00:00:00"/>
    <d v="2021-01-20T00:00:00"/>
    <n v="107"/>
    <n v="107"/>
    <s v="NL86INGB0002445588"/>
    <s v="BELASTINGDIENST"/>
    <s v="UIT_VL"/>
    <s v="VASTELASTEN"/>
    <s v="zorgtoeslag"/>
    <s v="INGBNL2A"/>
    <s v="cb"/>
    <m/>
    <s v="GVSXX20210115004918842"/>
    <m/>
    <m/>
    <m/>
    <s v="MAAND FEB. NR. 103261187T100013 VOORSCHOT ZORGTOESLAG 2021 (SMIT ) MEER INFO OP WWW.TOESLAGEN.NL"/>
    <s v=" "/>
    <m/>
  </r>
  <r>
    <n v="2681"/>
    <x v="3"/>
    <m/>
    <x v="5"/>
    <x v="65"/>
    <d v="2021-01-24T00:00:00"/>
    <d v="2021-01-24T00:00:00"/>
    <n v="-5"/>
    <n v="5"/>
    <s v="NL46RABO0306722054"/>
    <s v="Vesta Payment Solutions"/>
    <s v="UIT_VL"/>
    <s v="VASTELASTEN"/>
    <s v="internet_telefoon_NL"/>
    <s v="RABONL2U"/>
    <s v="id"/>
    <m/>
    <s v="24-01-2021 14:12 0020004697724308"/>
    <m/>
    <m/>
    <m/>
    <s v="UCYHVFBSSEP 0020004697724308 EUR5 - Vodafone Opwaarderen x4934 pasnr.011"/>
    <s v=" "/>
    <m/>
  </r>
  <r>
    <n v="2682"/>
    <x v="3"/>
    <m/>
    <x v="5"/>
    <x v="65"/>
    <d v="2021-01-25T00:00:00"/>
    <d v="2021-01-25T00:00:00"/>
    <n v="-14.91"/>
    <n v="14.91"/>
    <s v="NL02RABO0129284432"/>
    <s v="Your Hosting B.V."/>
    <s v="UIT_VL"/>
    <s v="VASTELASTEN"/>
    <s v="internetsites"/>
    <s v="RABONL2U"/>
    <s v="ei"/>
    <m/>
    <s v="Ma9f2e6ff-3ac4-42da-B04837-T0709055"/>
    <n v="55535071"/>
    <s v="NL83ZZZ341282610000"/>
    <m/>
    <s v="55535071/2710367"/>
    <s v=" "/>
    <m/>
  </r>
  <r>
    <n v="2683"/>
    <x v="3"/>
    <m/>
    <x v="5"/>
    <x v="65"/>
    <d v="2021-01-25T00:00:00"/>
    <d v="2021-01-25T00:00:00"/>
    <n v="-59.73"/>
    <n v="59.73"/>
    <s v="NL40ABNA0537879099"/>
    <s v="NS GROEP IZ NS REIZIGERS"/>
    <s v="UIT_VL"/>
    <s v="VASTELASTEN"/>
    <s v="ovchipabo"/>
    <s v="ABNANL2A"/>
    <s v="ei"/>
    <m/>
    <n v="240007630986"/>
    <n v="200000512223"/>
    <s v="NL03ZZZ301243580000"/>
    <m/>
    <s v="Betaling factuur: 440002547884"/>
    <s v=" "/>
    <m/>
  </r>
  <r>
    <n v="2685"/>
    <x v="3"/>
    <m/>
    <x v="5"/>
    <x v="62"/>
    <d v="2021-02-01T00:00:00"/>
    <d v="2021-02-01T00:00:00"/>
    <n v="-124.5"/>
    <n v="124.5"/>
    <s v="NL11RABO0343685310"/>
    <s v="D.S.W. Zorgverzekeraar"/>
    <s v="UIT_VL"/>
    <s v="VASTELASTEN"/>
    <s v="zorgverzekering"/>
    <s v="RABONL2U"/>
    <s v="ei"/>
    <m/>
    <s v="f94aece13eef45d2a9a3b1fc24df9366"/>
    <n v="606796363200709"/>
    <s v="NL81ZZZ241682080000"/>
    <m/>
    <s v="Kenmerk: 3210156260200007 / Omschrijving: Premie / februari 2021"/>
    <s v=" "/>
    <m/>
  </r>
  <r>
    <n v="2686"/>
    <x v="3"/>
    <m/>
    <x v="5"/>
    <x v="62"/>
    <d v="2021-02-01T00:00:00"/>
    <d v="2021-02-01T00:00:00"/>
    <n v="-3.42"/>
    <n v="3.42"/>
    <s v="NL98INGB0002712510"/>
    <s v="OHRA Schadeverzekeringen"/>
    <s v="UIT_VL"/>
    <s v="VASTELASTEN"/>
    <s v="AVP verzekering"/>
    <s v="INGBNL2A"/>
    <s v="ei"/>
    <m/>
    <s v="OH-646929-2101290230-001-4288016"/>
    <n v="3272007"/>
    <s v="NL21ZZZ330520730000"/>
    <m/>
    <s v="Relatie 8405205 / Verschuldigd per 01/02/2021"/>
    <s v=" "/>
    <m/>
  </r>
  <r>
    <n v="2687"/>
    <x v="3"/>
    <m/>
    <x v="5"/>
    <x v="62"/>
    <d v="2021-02-03T00:00:00"/>
    <d v="2021-02-03T00:00:00"/>
    <n v="-0.05"/>
    <n v="0.05"/>
    <m/>
    <s v="Debetrente"/>
    <s v="UIT_VL"/>
    <s v="VASTELASTEN"/>
    <s v="bankkosten"/>
    <m/>
    <s v="db"/>
    <m/>
    <m/>
    <m/>
    <m/>
    <m/>
    <s v="Periode 01-01-2021 t/m 31-01-2021"/>
    <s v=" "/>
    <m/>
  </r>
  <r>
    <n v="2688"/>
    <x v="3"/>
    <m/>
    <x v="5"/>
    <x v="62"/>
    <d v="2021-02-03T00:00:00"/>
    <d v="2021-02-03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2-2021 t/m 28-02-2021"/>
    <s v=" "/>
    <m/>
  </r>
  <r>
    <n v="2689"/>
    <x v="3"/>
    <m/>
    <x v="5"/>
    <x v="62"/>
    <d v="2021-02-03T00:00:00"/>
    <d v="2021-02-03T00:00:00"/>
    <n v="-5"/>
    <n v="5"/>
    <m/>
    <s v="Kosten"/>
    <s v="UIT_VL"/>
    <s v="VASTELASTEN"/>
    <s v="bankkosten"/>
    <m/>
    <s v="db"/>
    <m/>
    <m/>
    <m/>
    <m/>
    <m/>
    <s v="Rabo TotaalPakket                  Periode 01-02-2021 t/m 28-02-2021"/>
    <s v=" "/>
    <m/>
  </r>
  <r>
    <n v="2695"/>
    <x v="3"/>
    <m/>
    <x v="5"/>
    <x v="62"/>
    <d v="2021-02-17T00:00:00"/>
    <d v="2021-02-17T00:00:00"/>
    <n v="-6"/>
    <n v="6"/>
    <s v="NL28DEUT0265186439"/>
    <s v="STICHTING DERDENGELDEN BUCKAROO"/>
    <s v="UIT_VL"/>
    <s v="VASTELASTEN"/>
    <s v="foodlog"/>
    <s v="DEUTNL2A"/>
    <s v="ei"/>
    <m/>
    <s v="B6BAA5D1A1154F22BBB7437AE24CFE15"/>
    <s v="0W6172F33C5F27B4B868E23B86086A29D5B"/>
    <s v="NL39ZZZ302317620000"/>
    <m/>
    <s v="Foodlog Media B.V. : Foodlog Lid (?202102-19971)"/>
    <s v=" "/>
    <m/>
  </r>
  <r>
    <n v="2700"/>
    <x v="3"/>
    <m/>
    <x v="5"/>
    <x v="62"/>
    <d v="2021-02-22T00:00:00"/>
    <d v="2021-02-22T00:00:00"/>
    <n v="-7"/>
    <n v="7"/>
    <s v="DE66700111104101891130"/>
    <s v="Blendle B.V."/>
    <s v="UIT_VL"/>
    <s v="VASTELASTEN"/>
    <s v="Blendle"/>
    <s v="DEKTDE7G"/>
    <s v="ei"/>
    <m/>
    <s v="3STMIR7"/>
    <s v="APWBQB4QWWPHQ2CV"/>
    <s v="NL13ZZZ587241090000"/>
    <m/>
    <s v="BLENDLE PREMIUM"/>
    <s v=" "/>
    <m/>
  </r>
  <r>
    <n v="2701"/>
    <x v="3"/>
    <m/>
    <x v="5"/>
    <x v="62"/>
    <d v="2021-02-22T00:00:00"/>
    <d v="2021-02-22T00:00:00"/>
    <n v="107"/>
    <n v="107"/>
    <s v="NL86INGB0002445588"/>
    <s v="BELASTINGDIENST"/>
    <s v="UIT_VL"/>
    <s v="VASTELASTEN"/>
    <s v="zorgtoeslag"/>
    <s v="INGBNL2A"/>
    <s v="cb"/>
    <m/>
    <s v="GVSXX20210217022949998"/>
    <m/>
    <m/>
    <m/>
    <s v="MAAND MRT. NR. 103261187T100013 VOORSCHOT ZORGTOESLAG 2021 (SMIT ) MEER INFO OP WWW.TOESLAGEN.NL"/>
    <s v=" "/>
    <m/>
  </r>
  <r>
    <n v="2702"/>
    <x v="3"/>
    <m/>
    <x v="5"/>
    <x v="62"/>
    <d v="2021-02-23T00:00:00"/>
    <d v="2021-02-23T00:00:00"/>
    <n v="-10"/>
    <n v="10"/>
    <m/>
    <s v="113  DIO-Readshop MUSSELKANAAL"/>
    <s v="UIT_VL"/>
    <s v="VASTELASTEN"/>
    <s v="internet_telefoon_NL"/>
    <s v="internet_telefoon_NL"/>
    <s v="bc"/>
    <m/>
    <m/>
    <m/>
    <m/>
    <m/>
    <s v="Betaalautomaat 16:21 pasnr. 022"/>
    <s v=" "/>
    <m/>
  </r>
  <r>
    <n v="2708"/>
    <x v="3"/>
    <m/>
    <x v="5"/>
    <x v="63"/>
    <d v="2021-03-01T00:00:00"/>
    <d v="2021-03-01T00:00:00"/>
    <n v="-124.5"/>
    <n v="124.5"/>
    <s v="NL11RABO0343685310"/>
    <s v="D.S.W. Zorgverzekeraar"/>
    <s v="UIT_VL"/>
    <s v="VASTELASTEN"/>
    <s v="zorgverzekering"/>
    <s v="RABONL2U"/>
    <s v="ei"/>
    <m/>
    <s v="07b0fe14ac364b27b900079825f84c7e"/>
    <n v="606796363200709"/>
    <s v="NL81ZZZ241682080000"/>
    <m/>
    <s v="Kenmerk: 1210156260200008 / Omschrijving: Premie / maart 2021"/>
    <s v=" "/>
    <m/>
  </r>
  <r>
    <n v="2709"/>
    <x v="3"/>
    <m/>
    <x v="5"/>
    <x v="63"/>
    <d v="2021-03-01T00:00:00"/>
    <d v="2021-03-01T00:00:00"/>
    <n v="-3.42"/>
    <n v="3.42"/>
    <s v="NL98INGB0002712510"/>
    <s v="OHRA Schadeverzekeringen"/>
    <s v="UIT_VL"/>
    <s v="VASTELASTEN"/>
    <s v="AVP verzekering"/>
    <s v="INGBNL2A"/>
    <s v="ei"/>
    <m/>
    <s v="OH-647929-2102260234-001-4787867"/>
    <n v="3272007"/>
    <s v="NL21ZZZ330520730000"/>
    <m/>
    <s v="Relatie 8405205 / Verschuldigd per 01/03/2021"/>
    <s v=" "/>
    <m/>
  </r>
  <r>
    <n v="2711"/>
    <x v="3"/>
    <m/>
    <x v="5"/>
    <x v="63"/>
    <d v="2021-03-02T00:00:00"/>
    <d v="2021-03-02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3-2021 t/m 31-03-2021"/>
    <s v=" "/>
    <m/>
  </r>
  <r>
    <n v="2712"/>
    <x v="3"/>
    <m/>
    <x v="5"/>
    <x v="63"/>
    <d v="2021-03-02T00:00:00"/>
    <d v="2021-03-02T00:00:00"/>
    <n v="-5"/>
    <n v="5"/>
    <m/>
    <s v="Kosten"/>
    <s v="UIT_VL"/>
    <s v="VASTELASTEN"/>
    <s v="bankkosten"/>
    <m/>
    <s v="db"/>
    <m/>
    <m/>
    <m/>
    <m/>
    <m/>
    <s v="Rabo TotaalPakket                  Periode 01-03-2021 t/m 31-03-2021"/>
    <s v=" "/>
    <m/>
  </r>
  <r>
    <n v="2719"/>
    <x v="3"/>
    <m/>
    <x v="5"/>
    <x v="63"/>
    <d v="2021-03-19T00:00:00"/>
    <d v="2021-03-19T00:00:00"/>
    <n v="-6"/>
    <n v="6"/>
    <s v="NL28DEUT0265186439"/>
    <s v="STICHTING DERDENGELDEN BUCKAROO"/>
    <s v="UIT_VL"/>
    <s v="VASTELASTEN"/>
    <s v="foodlog"/>
    <s v="DEUTNL2A"/>
    <s v="ei"/>
    <m/>
    <s v="725C5E28BB42498CA24C021F4F91BAAB"/>
    <s v="0W6172F33C5F27B4B868E23B86086A29D5B"/>
    <s v="NL39ZZZ302317620000"/>
    <m/>
    <s v="Foodlog Media B.V. : Foodlog Lid (?202103-21141)"/>
    <s v=" "/>
    <m/>
  </r>
  <r>
    <n v="2722"/>
    <x v="3"/>
    <m/>
    <x v="5"/>
    <x v="63"/>
    <d v="2021-03-22T00:00:00"/>
    <d v="2021-03-22T00:00:00"/>
    <n v="-7"/>
    <n v="7"/>
    <s v="DE66700111104101891130"/>
    <s v="Blendle B.V."/>
    <s v="UIT_VL"/>
    <s v="VASTELASTEN"/>
    <s v="Blendle"/>
    <s v="DEKTDE7G"/>
    <s v="ei"/>
    <m/>
    <s v="284JFT8"/>
    <s v="APWBQB4QWWPHQ2CV"/>
    <s v="NL13ZZZ587241090000"/>
    <m/>
    <s v="BLENDLE PREMIUM"/>
    <s v=" "/>
    <m/>
  </r>
  <r>
    <n v="2723"/>
    <x v="3"/>
    <m/>
    <x v="5"/>
    <x v="63"/>
    <d v="2021-03-22T00:00:00"/>
    <d v="2021-03-22T00:00:00"/>
    <n v="107"/>
    <n v="107"/>
    <s v="NL86INGB0002445588"/>
    <s v="BELASTINGDIENST"/>
    <s v="UIT_VL"/>
    <s v="VASTELASTEN"/>
    <s v="zorgtoeslag"/>
    <s v="INGBNL2A"/>
    <s v="cb"/>
    <m/>
    <s v="GVSXX20210317040701644"/>
    <m/>
    <m/>
    <m/>
    <s v="MAAND APR. NR. 103261187T100013 VOORSCHOT ZORGTOESLAG 2021 (SMIT ) MEER INFO OP WWW.TOESLAGEN.NL"/>
    <s v=" "/>
    <m/>
  </r>
  <r>
    <n v="2728"/>
    <x v="3"/>
    <m/>
    <x v="5"/>
    <x v="66"/>
    <d v="2021-04-01T00:00:00"/>
    <d v="2021-04-01T00:00:00"/>
    <n v="-124.5"/>
    <n v="124.5"/>
    <s v="NL11RABO0343685310"/>
    <s v="D.S.W. Zorgverzekeraar"/>
    <s v="UIT_VL"/>
    <s v="VASTELASTEN"/>
    <s v="zorgverzekering"/>
    <m/>
    <m/>
    <m/>
    <m/>
    <m/>
    <m/>
    <m/>
    <m/>
    <m/>
    <m/>
  </r>
  <r>
    <n v="2729"/>
    <x v="3"/>
    <m/>
    <x v="5"/>
    <x v="66"/>
    <d v="2021-04-01T00:00:00"/>
    <d v="2021-04-01T00:00:00"/>
    <n v="-3.42"/>
    <n v="3.42"/>
    <s v="NL98INGB0002712510"/>
    <s v="OHRA Schadeverzekeringen"/>
    <s v="UIT_VL"/>
    <s v="VASTELASTEN"/>
    <s v="AVP verzekering"/>
    <m/>
    <m/>
    <m/>
    <m/>
    <m/>
    <m/>
    <m/>
    <m/>
    <m/>
    <m/>
  </r>
  <r>
    <n v="2730"/>
    <x v="3"/>
    <m/>
    <x v="5"/>
    <x v="66"/>
    <d v="2021-04-02T00:00:00"/>
    <d v="2021-04-02T00:00:00"/>
    <n v="-0.7"/>
    <n v="0.7"/>
    <m/>
    <s v="Kosten"/>
    <s v="UIT_VL"/>
    <s v="VASTELASTEN"/>
    <s v="bankkosten"/>
    <m/>
    <m/>
    <m/>
    <m/>
    <m/>
    <m/>
    <m/>
    <m/>
    <m/>
    <m/>
  </r>
  <r>
    <n v="2731"/>
    <x v="3"/>
    <m/>
    <x v="5"/>
    <x v="66"/>
    <d v="2021-04-02T00:00:00"/>
    <d v="2021-04-02T00:00:00"/>
    <n v="-5.3"/>
    <n v="5.3"/>
    <m/>
    <s v="Kosten"/>
    <s v="UIT_VL"/>
    <s v="VASTELASTEN"/>
    <s v="bankkosten"/>
    <m/>
    <m/>
    <m/>
    <m/>
    <m/>
    <m/>
    <m/>
    <m/>
    <m/>
    <m/>
  </r>
  <r>
    <n v="2744"/>
    <x v="3"/>
    <m/>
    <x v="5"/>
    <x v="66"/>
    <d v="2021-04-20T00:00:00"/>
    <d v="2021-04-20T00:00:00"/>
    <n v="-6"/>
    <n v="6"/>
    <s v="NL28DEUT0265186439"/>
    <s v="STICHTING DERDENGELDEN BUCKAROO"/>
    <s v="UIT_VL"/>
    <s v="VASTELASTEN"/>
    <s v="foodlog"/>
    <m/>
    <m/>
    <m/>
    <m/>
    <m/>
    <m/>
    <m/>
    <m/>
    <m/>
    <m/>
  </r>
  <r>
    <n v="2745"/>
    <x v="3"/>
    <m/>
    <x v="5"/>
    <x v="66"/>
    <d v="2021-04-20T00:00:00"/>
    <d v="2021-04-20T00:00:00"/>
    <n v="107"/>
    <n v="107"/>
    <s v="NL86INGB0002445588"/>
    <s v="BELASTINGDIENST"/>
    <s v="UIT_VL"/>
    <s v="VASTELASTEN"/>
    <s v="zorgtoeslag"/>
    <m/>
    <m/>
    <m/>
    <m/>
    <m/>
    <m/>
    <m/>
    <m/>
    <m/>
    <m/>
  </r>
  <r>
    <n v="2747"/>
    <x v="3"/>
    <m/>
    <x v="5"/>
    <x v="66"/>
    <d v="2021-04-21T00:00:00"/>
    <d v="2021-04-21T00:00:00"/>
    <n v="-7"/>
    <n v="7"/>
    <s v="DE66700111104101891130"/>
    <s v="Blendle B.V."/>
    <s v="UIT_VL"/>
    <s v="VASTELASTEN"/>
    <s v="Blendle"/>
    <m/>
    <m/>
    <m/>
    <m/>
    <m/>
    <m/>
    <m/>
    <m/>
    <m/>
    <m/>
  </r>
  <r>
    <n v="2757"/>
    <x v="3"/>
    <m/>
    <x v="5"/>
    <x v="66"/>
    <d v="2021-04-25T00:00:00"/>
    <d v="2021-04-25T00:00:00"/>
    <n v="-35"/>
    <n v="35"/>
    <s v="NL24ABNA0462594874"/>
    <s v="Budget Mobiel"/>
    <s v="UIT_VL"/>
    <s v="VASTELASTEN"/>
    <s v="internet_telefoon_NL"/>
    <m/>
    <m/>
    <m/>
    <m/>
    <m/>
    <m/>
    <m/>
    <m/>
    <m/>
    <m/>
  </r>
  <r>
    <n v="2768"/>
    <x v="3"/>
    <m/>
    <x v="5"/>
    <x v="67"/>
    <d v="2021-05-03T00:00:00"/>
    <d v="2021-05-03T00:00:00"/>
    <n v="-3.42"/>
    <n v="3.42"/>
    <s v="NL98INGB0002712510"/>
    <s v="OHRA Schadeverzekeringen"/>
    <s v="UIT_VL"/>
    <s v="VASTELASTEN"/>
    <s v="AVP verzekering"/>
    <m/>
    <m/>
    <m/>
    <m/>
    <m/>
    <m/>
    <m/>
    <m/>
    <m/>
    <m/>
  </r>
  <r>
    <n v="2770"/>
    <x v="3"/>
    <m/>
    <x v="5"/>
    <x v="67"/>
    <d v="2021-05-04T00:00:00"/>
    <d v="2021-05-04T00:00:00"/>
    <n v="-124.5"/>
    <n v="124.5"/>
    <s v="NL11RABO0343685310"/>
    <s v="D.S.W. Zorgverzekeraar"/>
    <s v="UIT_VL"/>
    <s v="VASTELASTEN"/>
    <s v="zorgverzekering"/>
    <s v="RABONL2U"/>
    <s v="ei"/>
    <m/>
    <s v="4323e16f6b0a41ee81293c948fec5b17"/>
    <m/>
    <m/>
    <m/>
    <m/>
    <m/>
    <m/>
  </r>
  <r>
    <n v="2771"/>
    <x v="3"/>
    <m/>
    <x v="5"/>
    <x v="67"/>
    <d v="2021-05-04T00:00:00"/>
    <d v="2021-05-04T00:00:00"/>
    <n v="-0.08"/>
    <n v="0.08"/>
    <m/>
    <s v="Debetrente"/>
    <s v="UIT_VL"/>
    <s v="VASTELASTEN"/>
    <s v="bankkosten"/>
    <m/>
    <s v="db"/>
    <m/>
    <m/>
    <m/>
    <m/>
    <m/>
    <m/>
    <m/>
    <m/>
  </r>
  <r>
    <n v="2772"/>
    <x v="3"/>
    <m/>
    <x v="5"/>
    <x v="67"/>
    <d v="2021-05-04T00:00:00"/>
    <d v="2021-05-04T00:00:00"/>
    <n v="-0.7"/>
    <n v="0.7"/>
    <m/>
    <s v="Kosten"/>
    <s v="UIT_VL"/>
    <s v="VASTELASTEN"/>
    <s v="bankkosten"/>
    <m/>
    <s v="db"/>
    <m/>
    <m/>
    <m/>
    <m/>
    <m/>
    <m/>
    <m/>
    <m/>
  </r>
  <r>
    <n v="2773"/>
    <x v="3"/>
    <m/>
    <x v="5"/>
    <x v="67"/>
    <d v="2021-05-04T00:00:00"/>
    <d v="2021-05-04T00:00:00"/>
    <n v="-5.3"/>
    <n v="5.3"/>
    <m/>
    <s v="Kosten"/>
    <s v="UIT_VL"/>
    <s v="VASTELASTEN"/>
    <s v="bankkosten"/>
    <m/>
    <s v="db"/>
    <m/>
    <m/>
    <m/>
    <m/>
    <m/>
    <m/>
    <m/>
    <m/>
  </r>
  <r>
    <n v="2779"/>
    <x v="3"/>
    <m/>
    <x v="5"/>
    <x v="67"/>
    <d v="2021-05-14T00:00:00"/>
    <d v="2021-05-14T00:00:00"/>
    <n v="-166.82"/>
    <n v="166.82"/>
    <s v="NL02RABO0129284432"/>
    <s v="Your Hosting B.V."/>
    <s v="UIT_VL"/>
    <s v="VASTELASTEN"/>
    <s v="internetsites"/>
    <s v="RABONL2U"/>
    <s v="ei"/>
    <m/>
    <s v="M04766026-5ee4-4c2f-B04916-T0741240"/>
    <m/>
    <m/>
    <m/>
    <m/>
    <m/>
    <m/>
  </r>
  <r>
    <n v="2784"/>
    <x v="3"/>
    <m/>
    <x v="5"/>
    <x v="67"/>
    <d v="2021-05-17T00:00:00"/>
    <d v="2021-05-17T00:00:00"/>
    <n v="166.82"/>
    <n v="166.82"/>
    <s v="NL02RABO0129284432"/>
    <s v="Your Hosting B.V."/>
    <s v="UIT_VL"/>
    <s v="VASTELASTEN"/>
    <s v="internetsites"/>
    <s v="RABONL2U"/>
    <s v="st"/>
    <m/>
    <s v="M04766026-5ee4-4c2f-B04916-T0741240"/>
    <m/>
    <m/>
    <m/>
    <m/>
    <m/>
    <m/>
  </r>
  <r>
    <n v="2788"/>
    <x v="3"/>
    <m/>
    <x v="5"/>
    <x v="67"/>
    <d v="2021-05-19T00:00:00"/>
    <d v="2021-05-19T00:00:00"/>
    <n v="-6"/>
    <n v="6"/>
    <s v="NL28DEUT0265186439"/>
    <s v="STICHTING DERDENGELDEN BUCKAROO"/>
    <s v="UIT_VL"/>
    <s v="VASTELASTEN"/>
    <s v="foodlog"/>
    <s v="DEUTNL2A"/>
    <s v="ei"/>
    <m/>
    <s v="819380439EB64E45A83B4FC577A0866F"/>
    <m/>
    <m/>
    <m/>
    <m/>
    <m/>
    <m/>
  </r>
  <r>
    <n v="2789"/>
    <x v="3"/>
    <m/>
    <x v="5"/>
    <x v="67"/>
    <d v="2021-05-20T00:00:00"/>
    <d v="2021-05-20T00:00:00"/>
    <n v="-20"/>
    <n v="20"/>
    <s v="NL62ABNA0462625036"/>
    <s v="BUDGET MOBIEL"/>
    <s v="UIT_VL"/>
    <s v="VASTELASTEN"/>
    <s v="internet_telefoon_NL"/>
    <s v="ABNANL2A"/>
    <s v="ei"/>
    <m/>
    <n v="92569455"/>
    <m/>
    <m/>
    <m/>
    <m/>
    <m/>
    <m/>
  </r>
  <r>
    <n v="2790"/>
    <x v="3"/>
    <m/>
    <x v="5"/>
    <x v="67"/>
    <d v="2021-05-20T00:00:00"/>
    <d v="2021-05-20T00:00:00"/>
    <n v="-7"/>
    <n v="7"/>
    <s v="DE66700111104101891130"/>
    <s v="Blendle B.V."/>
    <s v="UIT_VL"/>
    <s v="VASTELASTEN"/>
    <s v="blendle"/>
    <s v="DEKTDE7G"/>
    <s v="ei"/>
    <m/>
    <s v="3GQ774H"/>
    <m/>
    <m/>
    <m/>
    <m/>
    <m/>
    <m/>
  </r>
  <r>
    <n v="2791"/>
    <x v="3"/>
    <m/>
    <x v="5"/>
    <x v="67"/>
    <d v="2021-05-20T00:00:00"/>
    <d v="2021-05-20T00:00:00"/>
    <n v="107"/>
    <n v="107"/>
    <s v="NL86INGB0002445588"/>
    <s v="BELASTINGDIENST"/>
    <s v="UIT_VL"/>
    <s v="VASTELASTEN"/>
    <s v="zorgtoeslag"/>
    <s v="INGBNL2A"/>
    <s v="cb"/>
    <m/>
    <s v="GVSXX20210517078287029"/>
    <m/>
    <m/>
    <m/>
    <m/>
    <m/>
    <m/>
  </r>
  <r>
    <n v="2796"/>
    <x v="3"/>
    <m/>
    <x v="5"/>
    <x v="67"/>
    <d v="2021-05-21T00:00:00"/>
    <d v="2021-05-21T00:00:00"/>
    <n v="-18.940000000000001"/>
    <n v="18.940000000000001"/>
    <s v="NL02RABO0129284432"/>
    <s v="Yourhosting"/>
    <s v="UIT_VL"/>
    <s v="VASTELASTEN"/>
    <s v="internetsites"/>
    <s v="RABONL2UXXX"/>
    <s v="bg"/>
    <m/>
    <m/>
    <m/>
    <m/>
    <m/>
    <m/>
    <m/>
    <m/>
  </r>
  <r>
    <n v="2817"/>
    <x v="3"/>
    <m/>
    <x v="5"/>
    <x v="68"/>
    <d v="2021-06-01T00:00:00"/>
    <d v="2021-06-01T00:00:00"/>
    <n v="-124.5"/>
    <n v="124.5"/>
    <s v="NL11RABO0343685310"/>
    <s v="D.S.W. Zorgverzekeraar"/>
    <s v="UIT_VL"/>
    <s v="VASTELASTEN"/>
    <s v="zorgverzekering"/>
    <s v="RABONL2U"/>
    <s v="ei"/>
    <m/>
    <s v="56f95a416f224827b1e282a70619b877"/>
    <m/>
    <m/>
    <m/>
    <m/>
    <m/>
    <m/>
  </r>
  <r>
    <n v="2818"/>
    <x v="3"/>
    <m/>
    <x v="5"/>
    <x v="68"/>
    <d v="2021-06-01T00:00:00"/>
    <d v="2021-06-01T00:00:00"/>
    <n v="-3.4"/>
    <n v="3.4"/>
    <s v="NL98INGB0002712510"/>
    <s v="OHRA Schadeverzekeringen"/>
    <s v="UIT_VL"/>
    <s v="VASTELASTEN"/>
    <s v="AVP verzekering"/>
    <s v="INGBNL2A"/>
    <s v="ei"/>
    <m/>
    <s v="OH-651297-2105290152-001-6423581"/>
    <m/>
    <m/>
    <m/>
    <m/>
    <m/>
    <m/>
  </r>
  <r>
    <n v="2819"/>
    <x v="3"/>
    <m/>
    <x v="5"/>
    <x v="68"/>
    <d v="2021-06-02T00:00:00"/>
    <d v="2021-06-02T00:00:00"/>
    <n v="-0.7"/>
    <n v="0.7"/>
    <m/>
    <s v="Kosten"/>
    <s v="UIT_VL"/>
    <s v="VASTELASTEN"/>
    <s v="bankkosten"/>
    <m/>
    <s v="db"/>
    <m/>
    <m/>
    <m/>
    <m/>
    <m/>
    <m/>
    <m/>
    <m/>
  </r>
  <r>
    <n v="2820"/>
    <x v="3"/>
    <m/>
    <x v="5"/>
    <x v="68"/>
    <d v="2021-06-02T00:00:00"/>
    <d v="2021-06-02T00:00:00"/>
    <n v="-5.3"/>
    <n v="5.3"/>
    <m/>
    <s v="Kosten"/>
    <s v="UIT_VL"/>
    <s v="VASTELASTEN"/>
    <s v="bankkosten"/>
    <m/>
    <s v="db"/>
    <m/>
    <m/>
    <m/>
    <m/>
    <m/>
    <m/>
    <m/>
    <m/>
  </r>
  <r>
    <n v="2852"/>
    <x v="3"/>
    <m/>
    <x v="5"/>
    <x v="68"/>
    <d v="2021-06-18T00:00:00"/>
    <d v="2021-06-18T00:00:00"/>
    <n v="-6"/>
    <n v="6"/>
    <s v="NL28DEUT0265186439"/>
    <s v="STICHTING DERDENGELDEN BUCKAROO"/>
    <s v="UIT_VL"/>
    <s v="VASTELASTEN"/>
    <s v="foodlog"/>
    <s v="DEUTNL2A"/>
    <s v="ei"/>
    <m/>
    <s v="9AF5D7B4ADAC4773ADEDFDA042EC547A"/>
    <s v="0W6172F33C5F27B4B868E23B86086A29D5B"/>
    <s v="NL39ZZZ302317620000"/>
    <m/>
    <s v="Foodlog Media B.V. : Foodlog Lid (?202106-21837)"/>
    <s v=" "/>
    <m/>
  </r>
  <r>
    <n v="2856"/>
    <x v="3"/>
    <m/>
    <x v="5"/>
    <x v="68"/>
    <d v="2021-06-21T00:00:00"/>
    <d v="2021-06-21T00:00:00"/>
    <n v="-20"/>
    <n v="20"/>
    <s v="NL62ABNA0462625036"/>
    <s v="BUDGET MOBIEL"/>
    <s v="UIT_VL"/>
    <s v="VASTELASTEN"/>
    <s v="internet_telefoon_NL"/>
    <s v="ABNANL2A"/>
    <s v="ei"/>
    <m/>
    <n v="95006199"/>
    <n v="3.1215405202104198E+17"/>
    <s v="NL74ZZZ569035880000"/>
    <m/>
    <s v="O215359363 - Onbeperkt (kenmerk: 1200-0000-3121-5405)"/>
    <s v=" "/>
    <m/>
  </r>
  <r>
    <n v="2857"/>
    <x v="3"/>
    <m/>
    <x v="5"/>
    <x v="68"/>
    <d v="2021-06-21T00:00:00"/>
    <d v="2021-06-21T00:00:00"/>
    <n v="107"/>
    <n v="107"/>
    <s v="NL86INGB0002445588"/>
    <s v="BELASTINGDIENST"/>
    <s v="UIT_VL"/>
    <s v="VASTELASTEN"/>
    <s v="zorgtoeslag"/>
    <s v="INGBNL2A"/>
    <s v="cb"/>
    <m/>
    <s v="GVSXX20210616000284180"/>
    <m/>
    <m/>
    <m/>
    <s v="MAAND JUL. NR. 103261187T100013 VOORSCHOT ZORGTOESLAG 2021 (SMIT ) MEER INFO OP WWW.TOESLAGEN.NL"/>
    <s v=" "/>
    <m/>
  </r>
  <r>
    <n v="2858"/>
    <x v="3"/>
    <m/>
    <x v="5"/>
    <x v="68"/>
    <d v="2021-06-22T00:00:00"/>
    <d v="2021-06-22T00:00:00"/>
    <n v="-7"/>
    <n v="7"/>
    <s v="DE66700111104101891130"/>
    <s v="Blendle B.V."/>
    <s v="UIT_VL"/>
    <s v="VASTELASTEN"/>
    <s v="blendle"/>
    <s v="DEKTDE7G"/>
    <s v="ei"/>
    <m/>
    <s v="4QRDUPY"/>
    <s v="APWBQB4QWWPHQ2CV"/>
    <s v="NL13ZZZ587241090000"/>
    <m/>
    <s v="BLENDLE PREMIUM"/>
    <s v=" "/>
    <m/>
  </r>
  <r>
    <n v="2872"/>
    <x v="3"/>
    <m/>
    <x v="5"/>
    <x v="69"/>
    <d v="2021-07-01T00:00:00"/>
    <d v="2021-07-01T00:00:00"/>
    <n v="-124.5"/>
    <n v="124.5"/>
    <s v="NL11RABO0343685310"/>
    <s v="D.S.W. Zorgverzekeraar"/>
    <s v="UIT_VL"/>
    <s v="VASTELASTEN"/>
    <s v="zorgverzekering"/>
    <s v="RABONL2U"/>
    <s v="ei"/>
    <m/>
    <s v="f369483cd32f4bc1820f20933fd7b467"/>
    <n v="606796363200709"/>
    <s v="NL81ZZZ241682080000"/>
    <m/>
    <s v="Kenmerk: 9210156260200012 / Omschrijving: Premie juli"/>
    <s v=" "/>
    <m/>
  </r>
  <r>
    <n v="2874"/>
    <x v="3"/>
    <m/>
    <x v="5"/>
    <x v="69"/>
    <d v="2021-07-01T00:00:00"/>
    <d v="2021-07-01T00:00:00"/>
    <n v="-3.42"/>
    <n v="3.42"/>
    <s v="NL98INGB0002712510"/>
    <s v="OHRA Schadeverzekeringen"/>
    <s v="UIT_VL"/>
    <s v="VASTELASTEN"/>
    <s v="AVP verzekering"/>
    <s v="INGBNL2A"/>
    <s v="ei"/>
    <m/>
    <s v="OH-652529-2106280212-001-6989463"/>
    <n v="3272007"/>
    <s v="NL21ZZZ330520730000"/>
    <m/>
    <s v="Relatie 8405205 / Verschuldigd per 01/07/2021"/>
    <s v=" "/>
    <m/>
  </r>
  <r>
    <n v="2876"/>
    <x v="3"/>
    <m/>
    <x v="5"/>
    <x v="69"/>
    <d v="2021-07-02T00:00:00"/>
    <d v="2021-07-02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7-2021 t/m 31-07-2021"/>
    <s v=" "/>
    <m/>
  </r>
  <r>
    <n v="2877"/>
    <x v="3"/>
    <m/>
    <x v="5"/>
    <x v="69"/>
    <d v="2021-07-02T00:00:00"/>
    <d v="2021-07-02T00:00:00"/>
    <n v="-5.3"/>
    <n v="5.3"/>
    <m/>
    <s v="Kosten"/>
    <s v="UIT_VL"/>
    <s v="VASTELASTEN"/>
    <s v="bankkosten"/>
    <m/>
    <s v="db"/>
    <m/>
    <m/>
    <m/>
    <m/>
    <m/>
    <s v="Rabo TotaalPakket                  Periode 01-07-2021 t/m 31-07-2021"/>
    <s v=" "/>
    <m/>
  </r>
  <r>
    <n v="2900"/>
    <x v="3"/>
    <m/>
    <x v="5"/>
    <x v="69"/>
    <d v="2021-07-20T00:00:00"/>
    <d v="2021-07-20T00:00:00"/>
    <n v="-6"/>
    <n v="6"/>
    <s v="NL28DEUT0265186439"/>
    <s v="STICHTING DERDENGELDEN BUCKAROO"/>
    <s v="UIT_VL"/>
    <s v="VASTELASTEN"/>
    <s v="foodlog"/>
    <s v="DEUTNL2A"/>
    <s v="ei"/>
    <m/>
    <s v="7C8B2531B03A464FB9904483169604FE"/>
    <s v="0W6172F33C5F27B4B868E23B86086A29D5B"/>
    <s v="NL39ZZZ302317620000"/>
    <m/>
    <s v="Foodlog Media B.V. : Foodlog Lid (?202107-22084)"/>
    <s v=" "/>
    <m/>
  </r>
  <r>
    <n v="2901"/>
    <x v="3"/>
    <m/>
    <x v="5"/>
    <x v="69"/>
    <d v="2021-07-20T00:00:00"/>
    <d v="2021-07-20T00:00:00"/>
    <n v="107"/>
    <n v="107"/>
    <s v="NL86INGB0002445588"/>
    <s v="BELASTINGDIENST"/>
    <s v="UIT_VL"/>
    <s v="VASTELASTEN"/>
    <s v="zorgtoeslag"/>
    <s v="INGBNL2A"/>
    <s v="cb"/>
    <m/>
    <s v="GVSXX20210715018723844"/>
    <m/>
    <m/>
    <m/>
    <s v="MAAND AUG. NR. 103261187T100013 VOORSCHOT ZORGTOESLAG 2021 (SMIT ) MEER INFO OP WWW.TOESLAGEN.NL"/>
    <s v=" "/>
    <m/>
  </r>
  <r>
    <n v="2905"/>
    <x v="3"/>
    <m/>
    <x v="5"/>
    <x v="69"/>
    <d v="2021-07-21T00:00:00"/>
    <d v="2021-07-21T00:00:00"/>
    <n v="-7"/>
    <n v="7"/>
    <s v="DE66700111104101891130"/>
    <s v="Blendle B.V."/>
    <s v="UIT_VL"/>
    <s v="VASTELASTEN"/>
    <s v="blendle"/>
    <s v="DEKTDE7G"/>
    <s v="ei"/>
    <m/>
    <s v="4TAAFNK"/>
    <s v="APWBQB4QWWPHQ2CV"/>
    <s v="NL13ZZZ587241090000"/>
    <m/>
    <s v="BLENDLE PREMIUM"/>
    <s v=" "/>
    <m/>
  </r>
  <r>
    <n v="2906"/>
    <x v="3"/>
    <m/>
    <x v="5"/>
    <x v="69"/>
    <d v="2021-07-21T00:00:00"/>
    <d v="2021-07-21T00:00:00"/>
    <n v="-20"/>
    <n v="20"/>
    <s v="NL62ABNA0462625036"/>
    <s v="BUDGET MOBIEL"/>
    <s v="UIT_VL"/>
    <s v="VASTELASTEN"/>
    <s v="internet_telefoon_NL"/>
    <s v="ABNANL2A"/>
    <s v="ei"/>
    <m/>
    <n v="96388998"/>
    <n v="3.1215405202104198E+17"/>
    <s v="NL74ZZZ569035880000"/>
    <m/>
    <s v="O215522081 - Onbeperkt (kenmerk: 1200-0000-3121-5405)"/>
    <s v=" "/>
    <m/>
  </r>
  <r>
    <n v="2918"/>
    <x v="3"/>
    <m/>
    <x v="5"/>
    <x v="70"/>
    <d v="2021-08-02T00:00:00"/>
    <d v="2021-08-02T00:00:00"/>
    <n v="-3.42"/>
    <n v="3.42"/>
    <s v="NL98INGB0002712510"/>
    <s v="OHRA Schadeverzekeringen"/>
    <s v="UIT_VL"/>
    <s v="VASTELASTEN"/>
    <s v="AVP verzekering"/>
    <s v="INGBNL2A"/>
    <s v="ei"/>
    <m/>
    <s v="OH-653585-2107290153-001-7579043"/>
    <n v="3272007"/>
    <s v="NL21ZZZ330520730000"/>
    <m/>
    <s v="Relatie 8405205 / Verschuldigd per 01/08/2021"/>
    <s v=" "/>
    <m/>
  </r>
  <r>
    <n v="2919"/>
    <x v="3"/>
    <m/>
    <x v="5"/>
    <x v="70"/>
    <d v="2021-08-03T00:00:00"/>
    <d v="2021-08-03T00:00:00"/>
    <n v="-124.5"/>
    <n v="124.5"/>
    <s v="NL11RABO0343685310"/>
    <s v="D.S.W. Zorgverzekeraar"/>
    <s v="UIT_VL"/>
    <s v="VASTELASTEN"/>
    <s v="zorgverzekering"/>
    <s v="RABONL2U"/>
    <s v="ei"/>
    <m/>
    <s v="0e36d9f875664cebbc488365d917d190"/>
    <n v="606796363200709"/>
    <s v="NL81ZZZ241682080000"/>
    <m/>
    <s v="Kenmerk: 7210156260200013 / Omschrijving: Premie augustus"/>
    <s v=" "/>
    <m/>
  </r>
  <r>
    <n v="2920"/>
    <x v="3"/>
    <m/>
    <x v="5"/>
    <x v="70"/>
    <d v="2021-08-03T00:00:00"/>
    <d v="2021-08-03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8-2021 t/m 31-08-2021"/>
    <s v=" "/>
    <m/>
  </r>
  <r>
    <n v="2921"/>
    <x v="3"/>
    <m/>
    <x v="5"/>
    <x v="70"/>
    <d v="2021-08-03T00:00:00"/>
    <d v="2021-08-03T00:00:00"/>
    <n v="-5.3"/>
    <n v="5.3"/>
    <m/>
    <s v="Kosten"/>
    <s v="UIT_VL"/>
    <s v="VASTELASTEN"/>
    <s v="bankkosten"/>
    <m/>
    <s v="db"/>
    <m/>
    <m/>
    <m/>
    <m/>
    <m/>
    <s v="Rabo TotaalPakket                  Periode 01-08-2021 t/m 31-08-2021"/>
    <s v=" "/>
    <m/>
  </r>
  <r>
    <n v="2936"/>
    <x v="3"/>
    <m/>
    <x v="5"/>
    <x v="70"/>
    <d v="2021-08-18T00:00:00"/>
    <d v="2021-08-18T00:00:00"/>
    <n v="-6"/>
    <n v="6"/>
    <s v="NL28DEUT0265186439"/>
    <s v="STICHTING DERDENGELDEN BUCKAROO"/>
    <s v="UIT_VL"/>
    <s v="VASTELASTEN"/>
    <s v="foodlog"/>
    <s v="DEUTNL2A"/>
    <s v="ei"/>
    <m/>
    <s v="SDD52C98F24C9D148CABFA9583E51C37BF3"/>
    <s v="0W6172F33C5F27B4B868E23B86086A29D5B"/>
    <s v="NL39ZZZ302317620000"/>
    <m/>
    <s v="Foodlog Media B.V. : Foodlog Lid (?202108-22307)"/>
    <s v=" "/>
    <m/>
  </r>
  <r>
    <n v="2937"/>
    <x v="3"/>
    <m/>
    <x v="5"/>
    <x v="70"/>
    <d v="2021-08-20T00:00:00"/>
    <d v="2021-08-20T00:00:00"/>
    <n v="-20"/>
    <n v="20"/>
    <s v="NL62ABNA0462625036"/>
    <s v="BUDGET MOBIEL"/>
    <s v="UIT_VL"/>
    <s v="VASTELASTEN"/>
    <s v="internet_telefoon_NL"/>
    <s v="ABNANL2A"/>
    <s v="ei"/>
    <m/>
    <n v="97648443"/>
    <n v="3.1215405202104198E+17"/>
    <s v="NL74ZZZ569035880000"/>
    <m/>
    <s v="O215690175 - Onbeperkt (kenmerk: 1200-0000-3121-5405)"/>
    <s v=" "/>
    <m/>
  </r>
  <r>
    <n v="2938"/>
    <x v="3"/>
    <m/>
    <x v="5"/>
    <x v="70"/>
    <d v="2021-08-20T00:00:00"/>
    <d v="2021-08-20T00:00:00"/>
    <n v="-7"/>
    <n v="7"/>
    <s v="DE66700111104101891130"/>
    <s v="Blendle B.V."/>
    <s v="UIT_VL"/>
    <s v="VASTELASTEN"/>
    <s v="blendle"/>
    <s v="DEKTDE7G"/>
    <s v="ei"/>
    <m/>
    <s v="2Q2BI6F"/>
    <s v="APWBQB4QWWPHQ2CV"/>
    <s v="NL13ZZZ587241090000"/>
    <m/>
    <s v="BLENDLE PREMIUM"/>
    <s v=" "/>
    <m/>
  </r>
  <r>
    <n v="2939"/>
    <x v="3"/>
    <m/>
    <x v="5"/>
    <x v="70"/>
    <d v="2021-08-20T00:00:00"/>
    <d v="2021-08-20T00:00:00"/>
    <n v="107"/>
    <n v="107"/>
    <s v="NL86INGB0002445588"/>
    <s v="BELASTINGDIENST"/>
    <s v="UIT_VL"/>
    <s v="VASTELASTEN"/>
    <s v="zorgtoeslag"/>
    <s v="INGBNL2A"/>
    <s v="cb"/>
    <m/>
    <s v="GVSXX20210817040038851"/>
    <m/>
    <m/>
    <m/>
    <s v="MAAND SEP. NR. 103261187T100013 VOORSCHOT ZORGTOESLAG 2021 (SMIT ) MEER INFO OP WWW.TOESLAGEN.NL"/>
    <s v=" "/>
    <m/>
  </r>
  <r>
    <n v="2951"/>
    <x v="3"/>
    <m/>
    <x v="5"/>
    <x v="64"/>
    <d v="2021-09-01T00:00:00"/>
    <d v="2021-09-01T00:00:00"/>
    <n v="-124.5"/>
    <n v="124.5"/>
    <s v="NL11RABO0343685310"/>
    <s v="D.S.W. Zorgverzekeraar"/>
    <s v="UIT_VL"/>
    <s v="VASTELASTEN"/>
    <s v="zorgverzekering"/>
    <s v="RABONL2U"/>
    <s v="ei"/>
    <m/>
    <s v="8cd9e0684e334ae0848c00a0d8b43f3b"/>
    <n v="606796363200709"/>
    <s v="NL81ZZZ241682080000"/>
    <m/>
    <s v="Kenmerk: 5210156260200014 / Omschrijving: Premie september"/>
    <s v=" "/>
    <m/>
  </r>
  <r>
    <n v="2952"/>
    <x v="3"/>
    <m/>
    <x v="5"/>
    <x v="64"/>
    <d v="2021-09-01T00:00:00"/>
    <d v="2021-09-01T00:00:00"/>
    <n v="-3.42"/>
    <n v="3.42"/>
    <s v="NL98INGB0002712510"/>
    <s v="OHRA Schadeverzekeringen"/>
    <s v="UIT_VL"/>
    <s v="VASTELASTEN"/>
    <s v="AVP verzekering"/>
    <s v="INGBNL2A"/>
    <s v="ei"/>
    <m/>
    <s v="OH-654457-2108290153-001-8189270"/>
    <n v="3272007"/>
    <s v="NL21ZZZ330520730000"/>
    <m/>
    <s v="Relatie 8405205 / Verschuldigd per 01/09/2021"/>
    <s v=" "/>
    <m/>
  </r>
  <r>
    <n v="2953"/>
    <x v="3"/>
    <m/>
    <x v="5"/>
    <x v="64"/>
    <d v="2021-09-02T00:00:00"/>
    <d v="2021-09-02T00:00:00"/>
    <n v="-0.7"/>
    <n v="0.7"/>
    <m/>
    <s v="Kosten"/>
    <s v="UIT_VL"/>
    <s v="VASTELASTEN"/>
    <s v="bankkosten"/>
    <m/>
    <s v="db"/>
    <m/>
    <m/>
    <m/>
    <m/>
    <m/>
    <s v="Abonnement maandelijks papieren    rekeningafschrift                  Periode 01-09-2021 t/m 30-09-2021"/>
    <s v=" "/>
    <m/>
  </r>
  <r>
    <n v="2954"/>
    <x v="3"/>
    <m/>
    <x v="5"/>
    <x v="64"/>
    <d v="2021-09-02T00:00:00"/>
    <d v="2021-09-02T00:00:00"/>
    <n v="-5.3"/>
    <n v="5.3"/>
    <m/>
    <s v="Kosten"/>
    <s v="UIT_VL"/>
    <s v="VASTELASTEN"/>
    <s v="bankkosten"/>
    <m/>
    <s v="db"/>
    <m/>
    <m/>
    <m/>
    <m/>
    <m/>
    <s v="Rabo TotaalPakket                  Periode 01-09-2021 t/m 30-09-2021"/>
    <s v=" "/>
    <m/>
  </r>
  <r>
    <n v="2975"/>
    <x v="3"/>
    <m/>
    <x v="5"/>
    <x v="64"/>
    <d v="2021-09-17T00:00:00"/>
    <d v="2021-09-17T00:00:00"/>
    <n v="-6"/>
    <n v="6"/>
    <s v="NL28DEUT0265186439"/>
    <s v="STICHTING DERDENGELDEN BUCKAROO"/>
    <s v="UIT_VL"/>
    <s v="VASTELASTEN"/>
    <s v="foodlog"/>
    <s v="DEUTNL2A"/>
    <s v="ei"/>
    <m/>
    <s v="SDD986F711F1C884CA1AF64B2449AD19657"/>
    <s v="0W6172F33C5F27B4B868E23B86086A29D5B"/>
    <s v="NL39ZZZ302317620000"/>
    <m/>
    <s v="Foodlog Media B.V. : Foodlog Lid (?202109-22540)"/>
    <s v=" "/>
    <m/>
  </r>
  <r>
    <n v="2980"/>
    <x v="3"/>
    <m/>
    <x v="5"/>
    <x v="64"/>
    <d v="2021-09-20T00:00:00"/>
    <d v="2021-09-20T00:00:00"/>
    <n v="108"/>
    <n v="108"/>
    <s v="NL86INGB0002445588"/>
    <s v="BELASTINGDIENST"/>
    <s v="UIT_VL"/>
    <s v="VASTELASTEN"/>
    <s v="zorgtoeslag"/>
    <s v="INGBNL2A"/>
    <s v="cb"/>
    <m/>
    <s v="GVSXX20210915058376494"/>
    <m/>
    <m/>
    <m/>
    <s v="MAAND OKT. NR. 103261187T100013 VOORSCHOT ZORGTOESLAG 2021 (SMIT ) MEER INFO OP WWW.TOESLAGEN.NL"/>
    <s v=" "/>
    <m/>
  </r>
  <r>
    <n v="2981"/>
    <x v="3"/>
    <m/>
    <x v="5"/>
    <x v="64"/>
    <d v="2021-09-21T00:00:00"/>
    <d v="2021-09-21T00:00:00"/>
    <n v="-20"/>
    <n v="20"/>
    <s v="NL62ABNA0462625036"/>
    <s v="BUDGET MOBIEL"/>
    <s v="UIT_VL"/>
    <s v="VASTELASTEN"/>
    <s v="internet_telefoon_NL"/>
    <s v="ABNANL2A"/>
    <s v="ei"/>
    <m/>
    <n v="98966434"/>
    <n v="3.1215405202104198E+17"/>
    <s v="NL74ZZZ569035880000"/>
    <m/>
    <s v="O215864021/+31610322450 - Onbeperkt (kenmerk: 1200-0000-3121-5405)"/>
    <s v=" "/>
    <m/>
  </r>
  <r>
    <n v="2985"/>
    <x v="3"/>
    <m/>
    <x v="5"/>
    <x v="64"/>
    <d v="2021-09-22T00:00:00"/>
    <d v="2021-09-22T00:00:00"/>
    <n v="-7"/>
    <n v="7"/>
    <s v="DE66700111104101891130"/>
    <s v="Blendle B.V."/>
    <s v="UIT_VL"/>
    <s v="VASTELASTEN"/>
    <s v="blendle"/>
    <m/>
    <m/>
    <s v="3PJVECV"/>
    <s v="APWBQB4QWWPHQ2CV"/>
    <s v="NL13ZZZ587241090000"/>
    <m/>
    <s v="BLENDLE PREMIUM"/>
    <s v=" "/>
    <m/>
    <m/>
  </r>
  <r>
    <n v="2990"/>
    <x v="3"/>
    <m/>
    <x v="5"/>
    <x v="64"/>
    <d v="2021-09-28T00:00:00"/>
    <d v="2021-09-28T00:00:00"/>
    <n v="-20"/>
    <n v="20"/>
    <s v="NL40TRIO0198396716"/>
    <s v="N.V.V."/>
    <s v="UIT_VL"/>
    <s v="VASTELASTEN"/>
    <s v="nvv"/>
    <m/>
    <m/>
    <s v="P:A4808-I36733+"/>
    <s v="M20200921-0381604934"/>
    <s v="NL03ZZZ401236030000"/>
    <m/>
    <s v="Jaarlijkse contributie Nederlandse Vereniging voor Veganisme. Dank voor je steun."/>
    <s v=" "/>
    <m/>
    <m/>
  </r>
  <r>
    <n v="2994"/>
    <x v="3"/>
    <m/>
    <x v="5"/>
    <x v="25"/>
    <d v="2021-10-01T00:00:00"/>
    <d v="2021-10-01T00:00:00"/>
    <n v="-124.5"/>
    <n v="124.5"/>
    <s v="NL11RABO0343685310"/>
    <s v="D.S.W. Zorgverzekeraar"/>
    <s v="UIT_VL"/>
    <s v="VASTELASTEN"/>
    <s v="zorgverzekering"/>
    <m/>
    <m/>
    <s v="617f4388d02b4312905e3b51a09ded0f"/>
    <n v="606796363200709"/>
    <s v="NL81ZZZ241682080000"/>
    <m/>
    <s v="Kenmerk: 3210156260200015 / Omschrijving: Premie oktober"/>
    <s v=" "/>
    <m/>
    <m/>
  </r>
  <r>
    <n v="2995"/>
    <x v="3"/>
    <m/>
    <x v="5"/>
    <x v="25"/>
    <d v="2021-10-01T00:00:00"/>
    <d v="2021-10-01T00:00:00"/>
    <n v="-3.42"/>
    <n v="3.42"/>
    <s v="NL98INGB0002712510"/>
    <s v="OHRA Schadeverzekeringen"/>
    <s v="UIT_VL"/>
    <s v="VASTELASTEN"/>
    <s v="AVP verzekering"/>
    <m/>
    <m/>
    <s v="OH-655627-2109280151-001-8809150"/>
    <n v="3272007"/>
    <s v="NL21ZZZ330520730000"/>
    <m/>
    <s v="Relatie 8405205 / Verschuldigd per 01/10/2021"/>
    <s v=" "/>
    <m/>
    <m/>
  </r>
  <r>
    <n v="2996"/>
    <x v="3"/>
    <m/>
    <x v="5"/>
    <x v="25"/>
    <d v="2021-10-02T00:00:00"/>
    <d v="2021-10-01T00:00:00"/>
    <n v="-0.7"/>
    <n v="0.7"/>
    <m/>
    <s v="Kosten"/>
    <s v="UIT_VL"/>
    <s v="VASTELASTEN"/>
    <s v="bankkosten"/>
    <m/>
    <m/>
    <m/>
    <m/>
    <m/>
    <m/>
    <s v="Abonnement maandelijks papieren    rekeningafschrift                  Periode 01-10-2021 t/m 31-10-2021"/>
    <s v=" "/>
    <m/>
    <m/>
  </r>
  <r>
    <n v="2997"/>
    <x v="3"/>
    <m/>
    <x v="5"/>
    <x v="25"/>
    <d v="2021-10-02T00:00:00"/>
    <d v="2021-10-01T00:00:00"/>
    <n v="-5.3"/>
    <n v="5.3"/>
    <m/>
    <s v="Kosten"/>
    <s v="UIT_VL"/>
    <s v="VASTELASTEN"/>
    <s v="bankkosten"/>
    <m/>
    <m/>
    <m/>
    <m/>
    <m/>
    <m/>
    <s v="Rabo TotaalPakket                  Periode 01-10-2021 t/m 31-10-2021"/>
    <s v=" "/>
    <m/>
    <m/>
  </r>
  <r>
    <n v="3046"/>
    <x v="3"/>
    <m/>
    <x v="5"/>
    <x v="25"/>
    <d v="2021-10-20T00:00:00"/>
    <d v="2021-10-20T00:00:00"/>
    <n v="-6"/>
    <n v="6"/>
    <s v="NL28DEUT0265186439"/>
    <s v="STICHTING DERDENGELDEN BUCKAROO"/>
    <s v="UIT_VL"/>
    <s v="VASTELASTEN"/>
    <s v="foodlog"/>
    <s v="ei"/>
    <m/>
    <s v="SDDD95FE88A25F7428DB3EA057160C0786D"/>
    <s v="0W6172F33C5F27B4B868E23B86086A29D5B"/>
    <s v="NL39ZZZ302317620000"/>
    <m/>
    <s v="Foodlog Media B.V. : Foodlog Lid (?202110-22795)"/>
    <s v=" "/>
    <m/>
    <m/>
  </r>
  <r>
    <n v="3047"/>
    <x v="3"/>
    <m/>
    <x v="5"/>
    <x v="25"/>
    <d v="2021-10-20T00:00:00"/>
    <d v="2021-10-20T00:00:00"/>
    <n v="-7"/>
    <n v="7"/>
    <s v="DE56100700000634600100"/>
    <s v="PPRO Payment Services S.A."/>
    <s v="UIT_VL"/>
    <s v="VASTELASTEN"/>
    <s v="Blendle"/>
    <s v="ei"/>
    <m/>
    <s v="4JMX1MV"/>
    <s v="APWBQB4QWWPHQ2CV"/>
    <s v="NL13ZZZ587241090000"/>
    <m/>
    <s v="Blendle B.V. - BLENDLE PREMIUM"/>
    <s v=" "/>
    <m/>
    <m/>
  </r>
  <r>
    <n v="3048"/>
    <x v="3"/>
    <m/>
    <x v="5"/>
    <x v="25"/>
    <d v="2021-10-20T00:00:00"/>
    <d v="2021-10-20T00:00:00"/>
    <n v="108"/>
    <n v="108"/>
    <s v="NL86INGB0002445588"/>
    <s v="BELASTINGDIENST"/>
    <s v="UIT_VL"/>
    <s v="VASTELASTEN"/>
    <s v="zorgtoeslag"/>
    <s v="cb"/>
    <m/>
    <s v="GVSXX20211015076707561"/>
    <m/>
    <m/>
    <m/>
    <s v="MAAND NOV. NR. 103261187T100013 VOORSCHOT ZORGTOESLAG 2021 (SMIT ) MEER INFO OP WWW.TOESLAGEN.NL"/>
    <s v=" "/>
    <m/>
    <m/>
  </r>
  <r>
    <n v="3054"/>
    <x v="3"/>
    <m/>
    <x v="5"/>
    <x v="25"/>
    <d v="2021-10-21T00:00:00"/>
    <d v="2021-10-21T00:00:00"/>
    <n v="-20"/>
    <n v="20"/>
    <s v="NL62ABNA0462625036"/>
    <s v="BUDGET MOBIEL"/>
    <s v="UIT_VL"/>
    <s v="VASTELASTEN"/>
    <s v="internet_telefoon_NL"/>
    <s v="ei"/>
    <m/>
    <n v="100337297"/>
    <n v="3.1215405202104198E+17"/>
    <s v="NL74ZZZ569035880000"/>
    <m/>
    <s v="O216039898/+31610322450 - Onbeperkt (kenmerk: 1200-0000-3121-5405)"/>
    <s v=" "/>
    <m/>
    <m/>
  </r>
  <r>
    <n v="3083"/>
    <x v="3"/>
    <m/>
    <x v="5"/>
    <x v="26"/>
    <d v="2021-11-01T00:00:00"/>
    <d v="2021-11-01T00:00:00"/>
    <n v="-124.5"/>
    <n v="124.5"/>
    <s v="NL11RABO0343685310"/>
    <s v="D.S.W. Zorgverzekeraar"/>
    <s v="UIT_VL"/>
    <s v="VASTELASTEN"/>
    <s v="zorgverzekering"/>
    <s v="ei"/>
    <m/>
    <s v="bcd20b7ef1ff48349693d1476d3d97c1"/>
    <n v="606796363200709"/>
    <s v="NL81ZZZ241682080000"/>
    <m/>
    <s v="Kenmerk: 1210156260200016 / Omschrijving: Premie november"/>
    <s v=" "/>
    <m/>
    <m/>
  </r>
  <r>
    <n v="3084"/>
    <x v="3"/>
    <m/>
    <x v="5"/>
    <x v="26"/>
    <d v="2021-11-01T00:00:00"/>
    <d v="2021-11-01T00:00:00"/>
    <n v="-3.42"/>
    <n v="3.42"/>
    <s v="NL98INGB0002712510"/>
    <s v="OHRA Schadeverzekeringen"/>
    <s v="UIT_VL"/>
    <s v="VASTELASTEN"/>
    <s v="avp verzekering"/>
    <s v="ei"/>
    <m/>
    <s v="OH-656736-2110290156-001-9434123"/>
    <n v="3272007"/>
    <s v="NL21ZZZ330520730000"/>
    <m/>
    <s v="Relatie 8405205 / Verschuldigd per 01/11/2021"/>
    <s v=" "/>
    <m/>
    <m/>
  </r>
  <r>
    <n v="3088"/>
    <x v="3"/>
    <m/>
    <x v="5"/>
    <x v="26"/>
    <d v="2021-11-02T00:00:00"/>
    <d v="2021-11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11-2021 t/m 30-11-2021"/>
    <s v=" "/>
    <m/>
    <m/>
  </r>
  <r>
    <n v="3089"/>
    <x v="3"/>
    <m/>
    <x v="5"/>
    <x v="26"/>
    <d v="2021-11-02T00:00:00"/>
    <d v="2021-11-01T00:00:00"/>
    <n v="-5.3"/>
    <n v="5.3"/>
    <m/>
    <s v="Kosten"/>
    <s v="UIT_VL"/>
    <s v="VASTELASTEN"/>
    <s v="bankkosten"/>
    <s v="db"/>
    <m/>
    <m/>
    <m/>
    <m/>
    <m/>
    <s v="Rabo TotaalPakket                  Periode 01-11-2021 t/m 30-11-2021"/>
    <s v=" "/>
    <m/>
    <m/>
  </r>
  <r>
    <n v="3130"/>
    <x v="3"/>
    <m/>
    <x v="5"/>
    <x v="26"/>
    <d v="2021-11-17T00:00:00"/>
    <d v="2021-11-17T00:00:00"/>
    <n v="-6"/>
    <n v="6"/>
    <s v="NL28DEUT0265186439"/>
    <s v="STICHTING DERDENGELDEN BUCKAROO"/>
    <s v="UIT_VL"/>
    <s v="VASTELASTEN"/>
    <s v="foodlog"/>
    <s v="ei"/>
    <m/>
    <s v="SDD7E3C53FEAFF94A8B9B035F8604EEF4A3"/>
    <s v="0W6172F33C5F27B4B868E23B86086A29D5B"/>
    <s v="NL39ZZZ302317620000"/>
    <m/>
    <s v="Foodlog Media B.V. : Foodlog Lid (?202111-23280)"/>
    <s v=" "/>
    <m/>
    <m/>
  </r>
  <r>
    <n v="3132"/>
    <x v="3"/>
    <m/>
    <x v="5"/>
    <x v="26"/>
    <d v="2021-11-19T00:00:00"/>
    <d v="2021-11-19T00:00:00"/>
    <n v="-20"/>
    <n v="20"/>
    <s v="NL62ABNA0462625036"/>
    <s v="BUDGET MOBIEL"/>
    <s v="UIT_VL"/>
    <s v="VASTELASTEN"/>
    <s v="internet_telefoon_NL"/>
    <s v="ei"/>
    <m/>
    <n v="101551159"/>
    <n v="3.1215405202104198E+17"/>
    <s v="NL74ZZZ569035880000"/>
    <m/>
    <s v="O216222230/+31610322450 - Onbeperkt (kenmerk: 1200-0000-3121-5405)"/>
    <s v=" "/>
    <m/>
    <m/>
  </r>
  <r>
    <n v="3133"/>
    <x v="3"/>
    <m/>
    <x v="5"/>
    <x v="26"/>
    <d v="2021-11-21T00:00:00"/>
    <d v="2021-11-19T00:00:00"/>
    <n v="20"/>
    <n v="20"/>
    <s v="NL62ABNA0462625036"/>
    <s v="BUDGET MOBIEL"/>
    <s v="UIT_VL"/>
    <s v="VASTELASTEN"/>
    <s v="internet_telefoon_NL"/>
    <s v="st"/>
    <m/>
    <n v="101551159"/>
    <n v="3.1215405202104198E+17"/>
    <s v="NL74ZZZ569035880000"/>
    <m/>
    <s v="O216222230/+31610322450 - Onbeperkt (kenmerk: 1200-0000-3121-5405)"/>
    <s v=" "/>
    <m/>
    <s v="MD06-Oneens met incasso"/>
  </r>
  <r>
    <n v="3134"/>
    <x v="3"/>
    <m/>
    <x v="5"/>
    <x v="26"/>
    <d v="2021-11-22T00:00:00"/>
    <d v="2021-11-22T00:00:00"/>
    <n v="-20"/>
    <n v="20"/>
    <s v="NL94TRIO0212486934"/>
    <s v="Partij voor de Dieren"/>
    <s v="UIT_VL"/>
    <s v="VASTELASTEN"/>
    <s v="pvdd"/>
    <s v="ei"/>
    <m/>
    <s v="63690-6335452"/>
    <s v="20201117-63690"/>
    <s v="NL91ZZZ341810130000"/>
    <m/>
    <s v=" "/>
    <s v=" "/>
    <m/>
    <m/>
  </r>
  <r>
    <n v="3135"/>
    <x v="3"/>
    <m/>
    <x v="5"/>
    <x v="26"/>
    <d v="2021-11-22T00:00:00"/>
    <d v="2021-11-22T00:00:00"/>
    <n v="-7"/>
    <n v="7"/>
    <s v="DE14120700700090007583"/>
    <s v="Blendle B.V. by Stripe via PPRO"/>
    <s v="UIT_VL"/>
    <s v="VASTELASTEN"/>
    <s v="blendle"/>
    <s v="ei"/>
    <m/>
    <s v="2ZWK1XD"/>
    <s v="APWBQB4QWWPHQ2CV"/>
    <s v="NL13ZZZ587241090000"/>
    <m/>
    <s v="Blendle B.V. by Stripe via PPRO - BLENDLE PREMIUM"/>
    <s v=" "/>
    <m/>
    <m/>
  </r>
  <r>
    <n v="3136"/>
    <x v="3"/>
    <m/>
    <x v="5"/>
    <x v="26"/>
    <d v="2021-11-22T00:00:00"/>
    <d v="2021-11-22T00:00:00"/>
    <n v="108"/>
    <n v="108"/>
    <s v="NL86INGB0002445588"/>
    <s v="BELASTINGDIENST"/>
    <s v="UIT_VL"/>
    <s v="VASTELASTEN"/>
    <s v="zorgtoeslag"/>
    <s v="cb"/>
    <m/>
    <s v="GVSXX20211117093678136"/>
    <m/>
    <m/>
    <m/>
    <s v="MAAND DEC. NR. 103261187T100013 VOORSCHOT ZORGTOESLAG 2021 (SMIT ) MEER INFO OP WWW.TOESLAGEN.NL"/>
    <s v=" "/>
    <m/>
    <m/>
  </r>
  <r>
    <n v="3137"/>
    <x v="3"/>
    <m/>
    <x v="5"/>
    <x v="26"/>
    <d v="2021-11-24T00:00:00"/>
    <d v="2021-11-24T00:00:00"/>
    <n v="-20"/>
    <n v="20"/>
    <s v="NL24ABNA0462594874"/>
    <s v="Budget Mobiel"/>
    <s v="UIT_VL"/>
    <s v="VASTELASTEN"/>
    <s v="internet_telefoon_NL"/>
    <s v="id"/>
    <m/>
    <s v="24-11-2021 10:41 0030008723874428"/>
    <m/>
    <m/>
    <m/>
    <s v="O216222230-02 0030008723874428 Betaling openstaand Budget Mobiel x4934 pasnr.032"/>
    <s v=" "/>
    <m/>
    <m/>
  </r>
  <r>
    <n v="3139"/>
    <x v="3"/>
    <m/>
    <x v="5"/>
    <x v="27"/>
    <d v="2021-12-01T00:00:00"/>
    <d v="2021-12-01T00:00:00"/>
    <n v="-124.5"/>
    <n v="124.5"/>
    <s v="NL11RABO0343685310"/>
    <s v="D.S.W. Zorgverzekeraar"/>
    <s v="UIT_VL"/>
    <s v="VASTELASTEN"/>
    <s v="zorgverzekering"/>
    <s v="ei"/>
    <m/>
    <s v="193b40b91cb14dfaae94072977ec9378"/>
    <n v="606796363200709"/>
    <s v="NL81ZZZ241682080000"/>
    <m/>
    <s v="Kenmerk: 1210156260200017 / Omschrijving: Premie december"/>
    <s v=" "/>
    <m/>
    <m/>
  </r>
  <r>
    <n v="3140"/>
    <x v="3"/>
    <m/>
    <x v="5"/>
    <x v="27"/>
    <d v="2021-12-01T00:00:00"/>
    <d v="2021-12-01T00:00:00"/>
    <n v="-3.42"/>
    <n v="3.42"/>
    <s v="NL98INGB0002712510"/>
    <s v="OHRA Schadeverzekeringen"/>
    <s v="UIT_VL"/>
    <s v="VASTELASTEN"/>
    <s v="avp verzekering"/>
    <s v="ei"/>
    <m/>
    <s v="OH-657680-2111280156-001-10047895"/>
    <n v="3272007"/>
    <s v="NL21ZZZ330520730000"/>
    <m/>
    <s v="Relatie 8405205 / Verschuldigd per 01/12/2021"/>
    <s v=" "/>
    <m/>
    <m/>
  </r>
  <r>
    <n v="3142"/>
    <x v="3"/>
    <m/>
    <x v="5"/>
    <x v="27"/>
    <d v="2021-12-02T00:00:00"/>
    <d v="2021-12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12-2021 t/m 31-12-2021"/>
    <s v=" "/>
    <m/>
    <m/>
  </r>
  <r>
    <n v="3143"/>
    <x v="3"/>
    <m/>
    <x v="5"/>
    <x v="27"/>
    <d v="2021-12-02T00:00:00"/>
    <d v="2021-12-01T00:00:00"/>
    <n v="-5.3"/>
    <n v="5.3"/>
    <m/>
    <s v="Kosten"/>
    <s v="UIT_VL"/>
    <s v="VASTELASTEN"/>
    <s v="bankkosten"/>
    <s v="db"/>
    <m/>
    <m/>
    <m/>
    <m/>
    <m/>
    <s v="Rabo TotaalPakket                  Periode 01-12-2021 t/m 31-12-2021"/>
    <s v=" "/>
    <m/>
    <m/>
  </r>
  <r>
    <n v="3144"/>
    <x v="3"/>
    <m/>
    <x v="5"/>
    <x v="27"/>
    <d v="2021-12-17T00:00:00"/>
    <d v="2021-12-17T00:00:00"/>
    <n v="-6"/>
    <n v="6"/>
    <n v="-6"/>
    <s v="STICHTING DERDENGELDEN BUCKAROO"/>
    <s v="UIT_VL"/>
    <s v="VASTELASTEN"/>
    <s v="foodlog"/>
    <s v="ei"/>
    <m/>
    <s v="SDDF15425729329471C8939BA21F4A3ACD6"/>
    <s v="0W6172F33C5F27B4B868E23B86086A29D5B"/>
    <s v="NL39ZZZ302317620000"/>
    <m/>
    <s v="Foodlog Media B.V. : Foodlog Lid (?202112-24422)"/>
    <s v=" "/>
    <m/>
    <m/>
  </r>
  <r>
    <n v="3145"/>
    <x v="3"/>
    <m/>
    <x v="5"/>
    <x v="27"/>
    <d v="2021-12-20T00:00:00"/>
    <d v="2021-12-20T00:00:00"/>
    <n v="111"/>
    <n v="111"/>
    <s v="NL86INGB0002445588"/>
    <s v="BELASTINGDIENST"/>
    <s v="UIT_VL"/>
    <s v="VASTELASTEN"/>
    <s v="zorgtoeslag"/>
    <s v="cb"/>
    <m/>
    <s v="GVSXX20211215013135964"/>
    <m/>
    <m/>
    <m/>
    <s v="MAAND JAN. NR. 103261187T200013 VOORSCHOT ZORGTOESLAG 2022 (SMIT ) MEER INFO OP WWW.TOESLAGEN.NL"/>
    <s v=" "/>
    <m/>
    <m/>
  </r>
  <r>
    <n v="3147"/>
    <x v="3"/>
    <m/>
    <x v="5"/>
    <x v="27"/>
    <d v="2021-12-22T00:00:00"/>
    <d v="2021-12-22T00:00:00"/>
    <n v="-9.99"/>
    <n v="9.99"/>
    <s v="DE14120700700090007583"/>
    <s v="Blendle B.V. by Stripe via PPRO"/>
    <s v="UIT_VL"/>
    <s v="VASTELASTEN"/>
    <s v="blendle"/>
    <s v="ei"/>
    <m/>
    <s v="4TD6PT0"/>
    <s v="APWBQB4QWWPHQ2CV"/>
    <s v="NL13ZZZ587241090000"/>
    <m/>
    <s v="Blendle B.V. by Stripe via PPRO - BLENDLE PREMIUM"/>
    <s v=" "/>
    <m/>
    <m/>
  </r>
  <r>
    <n v="3168"/>
    <x v="0"/>
    <m/>
    <x v="5"/>
    <x v="65"/>
    <d v="2021-01-04T00:00:00"/>
    <d v="2021-01-04T00:00:00"/>
    <n v="-4.99"/>
    <n v="4.99"/>
    <n v="-4.99"/>
    <s v="GOOGLE  Google Play Apps London       GBR"/>
    <s v="UIT_VL"/>
    <s v="VASTELASTEN"/>
    <s v="Medium"/>
    <m/>
    <m/>
    <m/>
    <m/>
    <m/>
    <m/>
    <m/>
    <m/>
    <m/>
    <m/>
  </r>
  <r>
    <n v="3169"/>
    <x v="0"/>
    <m/>
    <x v="5"/>
    <x v="65"/>
    <d v="2021-01-18T00:00:00"/>
    <d v="2021-01-18T00:00:00"/>
    <n v="-2.99"/>
    <n v="2.99"/>
    <n v="-2.99"/>
    <s v="GOOGLE*GOOGLE STORAGE    INTERNET     GBR"/>
    <s v="UIT_VL"/>
    <s v="VASTELASTEN"/>
    <s v="google storage"/>
    <m/>
    <m/>
    <m/>
    <m/>
    <m/>
    <m/>
    <m/>
    <m/>
    <m/>
    <m/>
  </r>
  <r>
    <n v="3170"/>
    <x v="0"/>
    <m/>
    <x v="5"/>
    <x v="65"/>
    <d v="2021-01-23T00:00:00"/>
    <d v="2021-01-23T00:00:00"/>
    <n v="-6.99"/>
    <n v="6.99"/>
    <n v="-6.99"/>
    <s v="PAYPAL *CHESS COM        402-935-7733 USACA"/>
    <s v="UIT_VL"/>
    <s v="VASTELASTEN"/>
    <s v="Chess.com"/>
    <m/>
    <m/>
    <m/>
    <m/>
    <m/>
    <m/>
    <m/>
    <m/>
    <m/>
    <m/>
  </r>
  <r>
    <n v="3171"/>
    <x v="0"/>
    <m/>
    <x v="5"/>
    <x v="65"/>
    <d v="2021-01-23T00:00:00"/>
    <d v="2021-01-23T00:00:00"/>
    <n v="-7"/>
    <n v="7"/>
    <n v="-7"/>
    <s v="PAYPAL *MICROSOFT MICR   35314369001  GBR"/>
    <s v="UIT_VL"/>
    <s v="VASTELASTEN"/>
    <s v="microsoft"/>
    <m/>
    <m/>
    <m/>
    <m/>
    <m/>
    <m/>
    <m/>
    <m/>
    <m/>
    <m/>
  </r>
  <r>
    <n v="3173"/>
    <x v="0"/>
    <m/>
    <x v="5"/>
    <x v="62"/>
    <d v="2021-02-04T00:00:00"/>
    <d v="2021-02-04T00:00:00"/>
    <n v="-4.99"/>
    <n v="4.99"/>
    <n v="-4.99"/>
    <s v="GOOGLE *Google Play Ap   g.co/helppay#GBR"/>
    <s v="UIT_VL"/>
    <s v="VASTELASTEN"/>
    <s v="Medium"/>
    <m/>
    <m/>
    <m/>
    <m/>
    <m/>
    <m/>
    <m/>
    <m/>
    <m/>
    <m/>
  </r>
  <r>
    <n v="3174"/>
    <x v="0"/>
    <m/>
    <x v="5"/>
    <x v="62"/>
    <d v="2021-02-06T00:00:00"/>
    <d v="2021-02-06T00:00:00"/>
    <n v="-0.5"/>
    <n v="0.5"/>
    <n v="-0.5"/>
    <s v="PAYPAL *A CHUECA         35314369001  ESP"/>
    <s v="UIT_VL"/>
    <s v="VASTELASTEN"/>
    <s v="Chess.com"/>
    <m/>
    <m/>
    <m/>
    <m/>
    <m/>
    <m/>
    <m/>
    <m/>
    <m/>
    <m/>
  </r>
  <r>
    <n v="3175"/>
    <x v="0"/>
    <m/>
    <x v="5"/>
    <x v="62"/>
    <d v="2021-02-18T00:00:00"/>
    <d v="2021-02-18T00:00:00"/>
    <n v="-2.99"/>
    <n v="2.99"/>
    <n v="-2.99"/>
    <s v="GOOGLE*GOOGLE STORAGE    INTERNET     GBR"/>
    <s v="UIT_VL"/>
    <s v="VASTELASTEN"/>
    <s v="google storage"/>
    <m/>
    <m/>
    <m/>
    <m/>
    <m/>
    <m/>
    <m/>
    <m/>
    <m/>
    <m/>
  </r>
  <r>
    <n v="3176"/>
    <x v="0"/>
    <m/>
    <x v="5"/>
    <x v="62"/>
    <d v="2021-02-23T00:00:00"/>
    <d v="2021-02-23T00:00:00"/>
    <n v="-7"/>
    <n v="7"/>
    <n v="-7"/>
    <s v="PAYPAL *MICROSOFT MICR   35314369001  GBR"/>
    <s v="UIT_VL"/>
    <s v="VASTELASTEN"/>
    <s v="microsoft"/>
    <m/>
    <m/>
    <m/>
    <m/>
    <m/>
    <m/>
    <m/>
    <m/>
    <m/>
    <m/>
  </r>
  <r>
    <n v="3177"/>
    <x v="0"/>
    <m/>
    <x v="5"/>
    <x v="62"/>
    <d v="2021-02-23T00:00:00"/>
    <d v="2021-02-23T00:00:00"/>
    <n v="-6.99"/>
    <n v="6.99"/>
    <n v="-6.99"/>
    <s v="PAYPAL *CHESS COM        402-935-7733 USACA"/>
    <s v="UIT_VL"/>
    <s v="VASTELASTEN"/>
    <s v="Chess.com"/>
    <m/>
    <m/>
    <m/>
    <m/>
    <m/>
    <m/>
    <m/>
    <m/>
    <m/>
    <m/>
  </r>
  <r>
    <n v="3179"/>
    <x v="0"/>
    <m/>
    <x v="5"/>
    <x v="63"/>
    <d v="2021-03-04T00:00:00"/>
    <d v="2021-03-04T00:00:00"/>
    <n v="-4.99"/>
    <n v="4.99"/>
    <n v="-4.99"/>
    <s v="GOOGLE  Google Play Apps London       GBR"/>
    <s v="UIT_VL"/>
    <s v="VASTELASTEN"/>
    <s v="Medium"/>
    <m/>
    <m/>
    <m/>
    <m/>
    <m/>
    <m/>
    <m/>
    <m/>
    <m/>
    <m/>
  </r>
  <r>
    <n v="3180"/>
    <x v="0"/>
    <m/>
    <x v="5"/>
    <x v="63"/>
    <d v="2021-03-19T00:00:00"/>
    <d v="2021-03-19T00:00:00"/>
    <n v="-2.99"/>
    <n v="2.99"/>
    <n v="-2.99"/>
    <s v="GOOGLE *Google Storage   g.co/helppay#GBR"/>
    <s v="UIT_VL"/>
    <s v="VASTELASTEN"/>
    <s v="google storage"/>
    <m/>
    <m/>
    <m/>
    <m/>
    <m/>
    <m/>
    <m/>
    <m/>
    <m/>
    <m/>
  </r>
  <r>
    <n v="3181"/>
    <x v="0"/>
    <m/>
    <x v="5"/>
    <x v="63"/>
    <d v="2021-03-23T00:00:00"/>
    <d v="2021-03-23T00:00:00"/>
    <n v="-7"/>
    <n v="7"/>
    <n v="-7"/>
    <s v="PAYPAL *MICROSOFT MICR   35314369001  GBR"/>
    <s v="UIT_VL"/>
    <s v="VASTELASTEN"/>
    <s v="microsoft"/>
    <m/>
    <m/>
    <m/>
    <m/>
    <m/>
    <m/>
    <m/>
    <m/>
    <m/>
    <m/>
  </r>
  <r>
    <n v="3182"/>
    <x v="0"/>
    <m/>
    <x v="5"/>
    <x v="63"/>
    <d v="2021-03-23T00:00:00"/>
    <d v="2021-03-23T00:00:00"/>
    <n v="-6.99"/>
    <n v="6.99"/>
    <n v="-6.99"/>
    <s v="PAYPAL *CHESS COM        402-935-7733 USACA"/>
    <s v="UIT_VL"/>
    <s v="VASTELASTEN"/>
    <s v="Chess.com"/>
    <m/>
    <m/>
    <m/>
    <m/>
    <m/>
    <m/>
    <m/>
    <m/>
    <m/>
    <m/>
  </r>
  <r>
    <n v="3184"/>
    <x v="0"/>
    <m/>
    <x v="5"/>
    <x v="66"/>
    <d v="2021-04-04T00:00:00"/>
    <d v="2021-04-04T00:00:00"/>
    <n v="-4.99"/>
    <n v="4.99"/>
    <m/>
    <s v="GOOGLE*GOOGLE PLAY APP   INTERNET     GBR"/>
    <s v="UIT_VL"/>
    <s v="VASTELASTEN"/>
    <s v="medium"/>
    <m/>
    <m/>
    <m/>
    <m/>
    <m/>
    <m/>
    <m/>
    <m/>
    <m/>
    <m/>
  </r>
  <r>
    <n v="3185"/>
    <x v="0"/>
    <m/>
    <x v="5"/>
    <x v="66"/>
    <d v="2021-04-18T00:00:00"/>
    <d v="2021-04-18T00:00:00"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186"/>
    <x v="0"/>
    <m/>
    <x v="5"/>
    <x v="66"/>
    <d v="2021-04-23T00:00:00"/>
    <d v="2021-04-23T00:00:00"/>
    <n v="-7"/>
    <n v="7"/>
    <m/>
    <s v="PAYPAL *MICROSOFT MICR   35314369001  GBR"/>
    <s v="UIT_VL"/>
    <s v="VASTELASTEN"/>
    <s v="microsoft"/>
    <m/>
    <m/>
    <m/>
    <m/>
    <m/>
    <m/>
    <m/>
    <m/>
    <m/>
    <m/>
  </r>
  <r>
    <n v="3187"/>
    <x v="0"/>
    <m/>
    <x v="5"/>
    <x v="66"/>
    <d v="2021-04-23T00:00:00"/>
    <d v="2021-04-23T00:00:00"/>
    <n v="-6.99"/>
    <n v="6.99"/>
    <m/>
    <s v="PAYPAL *CHESS COM        402-935-7733 USACA"/>
    <s v="UIT_VL"/>
    <s v="VASTELASTEN"/>
    <s v="Chess.com"/>
    <m/>
    <m/>
    <m/>
    <m/>
    <m/>
    <m/>
    <m/>
    <m/>
    <m/>
    <m/>
  </r>
  <r>
    <n v="3189"/>
    <x v="0"/>
    <m/>
    <x v="5"/>
    <x v="67"/>
    <d v="2021-05-28T00:00:00"/>
    <d v="2021-05-28T00:00:00"/>
    <n v="-4.99"/>
    <n v="4.99"/>
    <n v="-4.99"/>
    <s v="GOOGLE  Google Play Apps London       GBR"/>
    <s v="UIT_VL"/>
    <s v="VASTELASTEN"/>
    <s v="Medium"/>
    <m/>
    <m/>
    <m/>
    <m/>
    <m/>
    <m/>
    <m/>
    <m/>
    <m/>
    <m/>
  </r>
  <r>
    <n v="3190"/>
    <x v="0"/>
    <m/>
    <x v="5"/>
    <x v="67"/>
    <d v="2021-05-28T00:00:00"/>
    <d v="2021-05-28T00:00:00"/>
    <n v="-2.99"/>
    <n v="2.99"/>
    <n v="-2.99"/>
    <s v="GOOGLE *Google Storage   g.co/helppay#GBR"/>
    <s v="UIT_VL"/>
    <s v="VASTELASTEN"/>
    <s v="google storage"/>
    <m/>
    <m/>
    <m/>
    <m/>
    <m/>
    <m/>
    <m/>
    <m/>
    <m/>
    <m/>
  </r>
  <r>
    <n v="3191"/>
    <x v="0"/>
    <m/>
    <x v="5"/>
    <x v="67"/>
    <d v="2021-05-28T00:00:00"/>
    <d v="2021-05-28T00:00:00"/>
    <n v="-7"/>
    <n v="7"/>
    <n v="-7"/>
    <s v="PAYPAL *MICROSOFT MICR   35314369001  GBR"/>
    <s v="UIT_VL"/>
    <s v="VASTELASTEN"/>
    <s v="microsoft"/>
    <m/>
    <m/>
    <m/>
    <m/>
    <m/>
    <m/>
    <m/>
    <m/>
    <m/>
    <m/>
  </r>
  <r>
    <n v="3193"/>
    <x v="0"/>
    <m/>
    <x v="5"/>
    <x v="68"/>
    <d v="2021-06-09T00:00:00"/>
    <d v="2021-06-09T00:00:00"/>
    <n v="-4.99"/>
    <n v="4.99"/>
    <n v="-4.99"/>
    <s v="GOOGLE*GOOGLE PLAY APP   INTERNET     GBR"/>
    <s v="UIT_VL"/>
    <s v="VASTELASTEN"/>
    <s v="medium"/>
    <m/>
    <m/>
    <m/>
    <m/>
    <m/>
    <m/>
    <m/>
    <m/>
    <m/>
    <m/>
  </r>
  <r>
    <n v="3194"/>
    <x v="0"/>
    <m/>
    <x v="5"/>
    <x v="68"/>
    <d v="2021-06-19T00:00:00"/>
    <d v="2021-06-19T00:00:00"/>
    <n v="-2.99"/>
    <n v="2.99"/>
    <m/>
    <s v="GOOGLE *Google Storage   g.co/helppay#GBR"/>
    <s v="UIT_VL"/>
    <s v="VASTELASTEN"/>
    <s v="google storage"/>
    <m/>
    <m/>
    <m/>
    <m/>
    <m/>
    <m/>
    <m/>
    <m/>
    <m/>
    <m/>
  </r>
  <r>
    <n v="3195"/>
    <x v="0"/>
    <m/>
    <x v="5"/>
    <x v="68"/>
    <d v="2021-06-23T00:00:00"/>
    <d v="2021-06-23T00:00:00"/>
    <n v="-7"/>
    <n v="7"/>
    <m/>
    <s v="PAYPAL *MICROSOFT MICR   35314369001  GBR"/>
    <s v="UIT_VL"/>
    <s v="VASTELASTEN"/>
    <s v="microsoft"/>
    <m/>
    <m/>
    <m/>
    <m/>
    <m/>
    <m/>
    <m/>
    <m/>
    <m/>
    <m/>
  </r>
  <r>
    <n v="3198"/>
    <x v="0"/>
    <m/>
    <x v="5"/>
    <x v="69"/>
    <d v="2021-07-04T00:00:00"/>
    <d v="2021-07-04T00:00:00"/>
    <n v="-4.99"/>
    <n v="4.99"/>
    <m/>
    <s v="GOOGLE*GOOGLE PLAY APP   INTERNET     GBR"/>
    <s v="UIT_VL"/>
    <s v="VASTELASTEN"/>
    <s v="medium"/>
    <m/>
    <m/>
    <m/>
    <m/>
    <m/>
    <m/>
    <m/>
    <m/>
    <m/>
    <m/>
  </r>
  <r>
    <n v="3199"/>
    <x v="0"/>
    <m/>
    <x v="5"/>
    <x v="69"/>
    <d v="2021-07-18T00:00:00"/>
    <d v="2021-07-18T00:00:00"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200"/>
    <x v="0"/>
    <m/>
    <x v="5"/>
    <x v="69"/>
    <d v="2021-07-23T00:00:00"/>
    <d v="2021-07-23T00:00:00"/>
    <n v="-7"/>
    <n v="7"/>
    <m/>
    <s v="PAYPAL *MICROSOFT MICR   35314369001  GBR"/>
    <s v="UIT_VL"/>
    <s v="VASTELASTEN"/>
    <s v="microsoft"/>
    <m/>
    <m/>
    <m/>
    <m/>
    <m/>
    <m/>
    <m/>
    <m/>
    <m/>
    <m/>
  </r>
  <r>
    <n v="3202"/>
    <x v="0"/>
    <m/>
    <x v="5"/>
    <x v="70"/>
    <d v="2021-08-04T00:00:00"/>
    <d v="2021-08-04T00:00:00"/>
    <n v="-4.99"/>
    <n v="4.99"/>
    <m/>
    <s v="GOOGLE *Google Play Ap   g.co/HelpPay#IRL"/>
    <s v="UIT_VL"/>
    <s v="VASTELASTEN"/>
    <s v="medium"/>
    <m/>
    <m/>
    <m/>
    <m/>
    <m/>
    <m/>
    <m/>
    <m/>
    <m/>
    <m/>
  </r>
  <r>
    <n v="3203"/>
    <x v="0"/>
    <m/>
    <x v="5"/>
    <x v="70"/>
    <d v="2021-08-18T00:00:00"/>
    <d v="2021-08-18T00:00:00"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205"/>
    <x v="0"/>
    <m/>
    <x v="5"/>
    <x v="64"/>
    <d v="2021-09-03T00:00:00"/>
    <d v="2021-09-03T00:00:00"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209"/>
    <x v="0"/>
    <m/>
    <x v="5"/>
    <x v="64"/>
    <d v="2021-09-18T00:00:00"/>
    <d v="2021-09-18T00:00:00"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211"/>
    <x v="0"/>
    <m/>
    <x v="5"/>
    <x v="25"/>
    <d v="2021-10-04T00:00:00"/>
    <m/>
    <n v="-4.99"/>
    <n v="4.99"/>
    <m/>
    <s v="GOOGLE *Google Play Ap   g.co/HelpPay#IRL"/>
    <s v="UIT_VL"/>
    <s v="VASTELASTEN"/>
    <s v="medium"/>
    <m/>
    <m/>
    <m/>
    <m/>
    <m/>
    <m/>
    <m/>
    <m/>
    <m/>
    <m/>
  </r>
  <r>
    <n v="3220"/>
    <x v="0"/>
    <m/>
    <x v="5"/>
    <x v="25"/>
    <d v="2021-10-18T00:00:00"/>
    <m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224"/>
    <x v="0"/>
    <m/>
    <x v="5"/>
    <x v="26"/>
    <d v="2021-11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226"/>
    <x v="0"/>
    <m/>
    <x v="5"/>
    <x v="26"/>
    <d v="2021-11-18T00:00:00"/>
    <m/>
    <n v="-2.99"/>
    <n v="2.99"/>
    <m/>
    <s v="GOOGLE*GOOGLE STORAGE    INTERNET     GBR"/>
    <s v="UIT_VL"/>
    <s v="VASTELASTEN"/>
    <s v="google storage"/>
    <m/>
    <m/>
    <m/>
    <m/>
    <m/>
    <m/>
    <m/>
    <m/>
    <m/>
    <m/>
  </r>
  <r>
    <n v="3233"/>
    <x v="0"/>
    <m/>
    <x v="5"/>
    <x v="27"/>
    <d v="2021-12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234"/>
    <x v="0"/>
    <m/>
    <x v="5"/>
    <x v="27"/>
    <d v="2021-12-19T00:00:00"/>
    <m/>
    <n v="-2.99"/>
    <n v="2.99"/>
    <m/>
    <s v="GOOGLE *Google Storage   g.co/HelpPay#IRL"/>
    <s v="UIT_VL"/>
    <s v="VASTELASTEN"/>
    <s v="google storage"/>
    <m/>
    <m/>
    <m/>
    <m/>
    <m/>
    <m/>
    <m/>
    <m/>
    <m/>
    <m/>
  </r>
  <r>
    <n v="3264"/>
    <x v="3"/>
    <m/>
    <x v="6"/>
    <x v="28"/>
    <d v="2022-01-03T00:00:00"/>
    <d v="2022-01-03T00:00:00"/>
    <n v="-3.42"/>
    <n v="3.42"/>
    <s v="NL98INGB0002712510"/>
    <s v="OHRA Schadeverzekeringen"/>
    <s v="UIT_VL"/>
    <s v="VASTELASTEN"/>
    <s v="avp verzekering"/>
    <s v="ei"/>
    <m/>
    <s v="OH-658859-2112290225-001-10667237"/>
    <n v="3272007"/>
    <s v="NL21ZZZ330520730000"/>
    <m/>
    <s v="Relatie 8405205 / Verschuldigd per 01/01/2022"/>
    <s v=" "/>
    <m/>
    <m/>
  </r>
  <r>
    <n v="3265"/>
    <x v="3"/>
    <m/>
    <x v="6"/>
    <x v="28"/>
    <d v="2022-01-04T00:00:00"/>
    <d v="2022-01-01T00:00:00"/>
    <n v="-5.3"/>
    <n v="5.3"/>
    <m/>
    <s v="Kosten"/>
    <s v="UIT_VL"/>
    <s v="VASTELASTEN"/>
    <s v="bankkosten"/>
    <s v="db"/>
    <m/>
    <m/>
    <m/>
    <m/>
    <m/>
    <s v="Rabo TotaalPakket                  Periode 01-01-2022 t/m 31-01-2022"/>
    <s v=" "/>
    <m/>
    <m/>
  </r>
  <r>
    <n v="3266"/>
    <x v="3"/>
    <m/>
    <x v="6"/>
    <x v="28"/>
    <d v="2022-01-04T00:00:00"/>
    <d v="2022-01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01-2022 t/m 31-01-2022"/>
    <s v=" "/>
    <m/>
    <m/>
  </r>
  <r>
    <n v="3268"/>
    <x v="3"/>
    <m/>
    <x v="6"/>
    <x v="28"/>
    <d v="2022-01-07T00:00:00"/>
    <d v="2022-01-07T00:00:00"/>
    <n v="-127.75"/>
    <n v="127.75"/>
    <s v="NL11RABO0343685310"/>
    <s v="D.S.W. Zorgverzekeraar"/>
    <s v="UIT_VL"/>
    <s v="VASTELASTEN"/>
    <s v="zorgverzekering"/>
    <s v="ei"/>
    <m/>
    <s v="aa834e4709794c17b8ecee2dccbd1f7d"/>
    <n v="606796363200709"/>
    <s v="NL81ZZZ241682080000"/>
    <m/>
    <s v="Kenmerk: 8210156260200018 / Omschrijving: Premie januari"/>
    <s v=" "/>
    <m/>
    <m/>
  </r>
  <r>
    <n v="3269"/>
    <x v="3"/>
    <m/>
    <x v="6"/>
    <x v="28"/>
    <d v="2022-01-17T00:00:00"/>
    <d v="2022-01-17T00:00:00"/>
    <n v="-5"/>
    <n v="5"/>
    <s v="NL46RABO0306722054"/>
    <s v="Vesta Payment Solutions"/>
    <s v="UIT_VL"/>
    <s v="VASTELASTEN"/>
    <s v="internet_telefoon_NL"/>
    <s v="id"/>
    <m/>
    <s v="17-01-2022 13:57 0020006195047494"/>
    <m/>
    <m/>
    <m/>
    <s v="Y6T2YZ6IZVR 0020006195047494 EUR5 - Vodafone Opwaarderen x4934 pasnr.032"/>
    <s v=" "/>
    <m/>
    <m/>
  </r>
  <r>
    <n v="3270"/>
    <x v="3"/>
    <m/>
    <x v="6"/>
    <x v="28"/>
    <d v="2022-01-19T00:00:00"/>
    <d v="2022-01-19T00:00:00"/>
    <n v="-6"/>
    <n v="6"/>
    <s v="NL28DEUT0265186439"/>
    <s v="STICHTING DERDENGELDEN BUCKAROO"/>
    <s v="UIT_VL"/>
    <s v="VASTELASTEN"/>
    <s v="foodlog"/>
    <s v="ei"/>
    <m/>
    <s v="SDD74B9560BB56C4352A1D150737EC19077"/>
    <s v="0W6172F33C5F27B4B868E23B86086A29D5B"/>
    <s v="NL39ZZZ302317620000"/>
    <m/>
    <s v="Foodlog Media B.V. : Foodlog Lid (?202201-25403)"/>
    <s v=" "/>
    <m/>
    <m/>
  </r>
  <r>
    <n v="3271"/>
    <x v="3"/>
    <m/>
    <x v="6"/>
    <x v="28"/>
    <d v="2022-01-20T00:00:00"/>
    <d v="2022-01-20T00:00:00"/>
    <n v="-9.99"/>
    <n v="9.99"/>
    <s v="DE14120700700090007583"/>
    <s v="Blendle B.V. by Stripe via PPRO"/>
    <s v="UIT_VL"/>
    <s v="VASTELASTEN"/>
    <s v="blendle"/>
    <s v="ei"/>
    <m/>
    <s v="4A8BU3O"/>
    <s v="APWBQB4QWWPHQ2CV"/>
    <s v="NL13ZZZ587241090000"/>
    <m/>
    <s v="Blendle B.V. by Stripe via PPRO - BLENDLE PREMIUM"/>
    <s v=" "/>
    <m/>
    <m/>
  </r>
  <r>
    <n v="3272"/>
    <x v="3"/>
    <m/>
    <x v="6"/>
    <x v="28"/>
    <d v="2022-01-20T00:00:00"/>
    <d v="2022-01-20T00:00:00"/>
    <n v="111"/>
    <n v="111"/>
    <s v="NL86INGB0002445588"/>
    <s v="BELASTINGDIENST"/>
    <s v="UIT_VL"/>
    <s v="VASTELASTEN"/>
    <s v="zorgtoeslag"/>
    <s v="cb"/>
    <m/>
    <s v="GVSXX20220117004827966"/>
    <m/>
    <m/>
    <m/>
    <s v="MAAND FEB. NR. 103261187T200013 VOORSCHOT ZORGTOESLAG 2022 (SMIT ) MEER INFO OP WWW.TOESLAGEN.NL"/>
    <s v=" "/>
    <m/>
    <m/>
  </r>
  <r>
    <n v="3275"/>
    <x v="3"/>
    <m/>
    <x v="6"/>
    <x v="28"/>
    <d v="2022-01-21T00:00:00"/>
    <d v="2022-01-21T00:00:00"/>
    <n v="-61.2"/>
    <n v="61.2"/>
    <s v="NL40ABNA0537879099"/>
    <s v="NS GROEP IZ NS REIZIGERS"/>
    <s v="UIT_VL"/>
    <s v="VASTELASTEN"/>
    <s v="ovchipabo"/>
    <s v="ei"/>
    <m/>
    <n v="240013634843"/>
    <n v="200000512223"/>
    <s v="NL03ZZZ301243580000"/>
    <m/>
    <s v="Betaling factuur: 410005347512"/>
    <s v=" "/>
    <m/>
    <m/>
  </r>
  <r>
    <n v="3276"/>
    <x v="3"/>
    <m/>
    <x v="6"/>
    <x v="28"/>
    <d v="2022-01-21T00:00:00"/>
    <d v="2022-01-21T00:00:00"/>
    <n v="-5"/>
    <n v="5"/>
    <s v="NL74INGB0004527327"/>
    <s v="STICHTING J O H O"/>
    <s v="UIT_VL"/>
    <s v="VASTELASTEN"/>
    <s v="div"/>
    <s v="ei"/>
    <m/>
    <s v="D20220119-4598346519-13361527813020"/>
    <n v="316648"/>
    <s v="NL87ZZZ281004790000"/>
    <m/>
    <s v="Jaarbijdrage JoHo Donatie PN:268468-316648"/>
    <s v=" "/>
    <m/>
    <m/>
  </r>
  <r>
    <n v="3278"/>
    <x v="3"/>
    <m/>
    <x v="6"/>
    <x v="29"/>
    <d v="2022-02-01T00:00:00"/>
    <d v="2022-02-01T00:00:00"/>
    <n v="-127.75"/>
    <n v="127.75"/>
    <s v="NL11RABO0343685310"/>
    <s v="D.S.W. Zorgverzekeraar"/>
    <s v="UIT_VL"/>
    <s v="VASTELASTEN"/>
    <s v="zorgverzekering"/>
    <s v="ei"/>
    <m/>
    <s v="4dc2188daac2432c96daaa6820f3d8e1"/>
    <n v="606796363200709"/>
    <s v="NL81ZZZ241682080000"/>
    <m/>
    <s v="Kenmerk: 6210156260200019 / Omschrijving: Premie februari"/>
    <s v=" "/>
    <m/>
    <m/>
  </r>
  <r>
    <n v="3280"/>
    <x v="3"/>
    <m/>
    <x v="6"/>
    <x v="29"/>
    <d v="2022-02-01T00:00:00"/>
    <d v="2022-02-01T00:00:00"/>
    <n v="-3.42"/>
    <n v="3.42"/>
    <s v="NL98INGB0002712510"/>
    <s v="OHRA Schadeverzekeringen"/>
    <s v="UIT_VL"/>
    <s v="VASTELASTEN"/>
    <s v="avp verzekering"/>
    <s v="ei"/>
    <m/>
    <s v="OH-660056-2201290201-001-11286120"/>
    <n v="3272007"/>
    <s v="NL21ZZZ330520730000"/>
    <m/>
    <s v="Relatie 8405205 / Verschuldigd per 01/02/2022"/>
    <s v=" "/>
    <m/>
    <m/>
  </r>
  <r>
    <n v="3281"/>
    <x v="3"/>
    <m/>
    <x v="6"/>
    <x v="29"/>
    <d v="2022-02-02T00:00:00"/>
    <d v="2022-02-01T00:00:00"/>
    <n v="-5.3"/>
    <n v="5.3"/>
    <m/>
    <s v="Kosten"/>
    <s v="UIT_VL"/>
    <s v="VASTELASTEN"/>
    <s v="bankkosten"/>
    <s v="db"/>
    <m/>
    <m/>
    <m/>
    <m/>
    <m/>
    <s v="Rabo TotaalPakket                  Periode 01-02-2022 t/m 28-02-2022"/>
    <s v=" "/>
    <m/>
    <m/>
  </r>
  <r>
    <n v="3282"/>
    <x v="3"/>
    <m/>
    <x v="6"/>
    <x v="29"/>
    <d v="2022-02-02T00:00:00"/>
    <d v="2022-02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02-2022 t/m 28-02-2022"/>
    <s v=" "/>
    <m/>
    <m/>
  </r>
  <r>
    <n v="3283"/>
    <x v="3"/>
    <m/>
    <x v="6"/>
    <x v="29"/>
    <d v="2022-02-16T00:00:00"/>
    <d v="2022-02-16T00:00:00"/>
    <n v="-6"/>
    <n v="6"/>
    <s v="NL28DEUT0265186439"/>
    <s v="STICHTING DERDENGELDEN BUCKAROO"/>
    <s v="UIT_VL"/>
    <s v="VASTELASTEN"/>
    <s v="foodlog"/>
    <s v="ei"/>
    <m/>
    <s v="SDD81ED1A05B99541BAABA15D76052D86AA"/>
    <s v="0W6172F33C5F27B4B868E23B86086A29D5B"/>
    <s v="NL39ZZZ302317620000"/>
    <m/>
    <s v="Foodlog Media B.V. : Foodlog Lid (?202202-26523)"/>
    <s v=" "/>
    <m/>
    <m/>
  </r>
  <r>
    <n v="3285"/>
    <x v="3"/>
    <m/>
    <x v="6"/>
    <x v="29"/>
    <d v="2022-02-21T00:00:00"/>
    <d v="2022-02-21T00:00:00"/>
    <n v="111"/>
    <n v="111"/>
    <s v="NL86INGB0002445588"/>
    <s v="BELASTINGDIENST"/>
    <s v="UIT_VL"/>
    <s v="VASTELASTEN"/>
    <s v="zorgtoeslag"/>
    <s v="cb"/>
    <m/>
    <s v="GVSXX20220216020787243"/>
    <m/>
    <m/>
    <m/>
    <s v="MAAND MRT. NR. 103261187T200013 VOORSCHOT ZORGTOESLAG 2022 (SMIT ) MEER INFO OP WWW.TOESLAGEN.NL"/>
    <s v=" "/>
    <m/>
    <m/>
  </r>
  <r>
    <n v="3286"/>
    <x v="3"/>
    <m/>
    <x v="6"/>
    <x v="29"/>
    <d v="2022-02-22T00:00:00"/>
    <d v="2022-02-22T00:00:00"/>
    <n v="-9.99"/>
    <n v="9.99"/>
    <s v="DE14120700700090007583"/>
    <s v="Blendle B.V. by Stripe via PPRO"/>
    <s v="UIT_VL"/>
    <s v="VASTELASTEN"/>
    <s v="blendle"/>
    <s v="ei"/>
    <m/>
    <s v="2SOWYN1"/>
    <s v="APWBQB4QWWPHQ2CV"/>
    <s v="NL13ZZZ587241090000"/>
    <m/>
    <s v="Blendle B.V. by Stripe via PPRO - BLENDLE PREMIUM"/>
    <s v=" "/>
    <m/>
    <m/>
  </r>
  <r>
    <n v="3288"/>
    <x v="3"/>
    <m/>
    <x v="6"/>
    <x v="30"/>
    <d v="2022-03-01T00:00:00"/>
    <d v="2022-03-01T00:00:00"/>
    <n v="-127.75"/>
    <n v="127.75"/>
    <s v="NL11RABO0343685310"/>
    <s v="D.S.W. Zorgverzekeraar"/>
    <s v="UIT_VL"/>
    <s v="VASTELASTEN"/>
    <s v="zorgverzekering"/>
    <s v="ei"/>
    <m/>
    <s v="b96b3a8692fb4f868b59f225e46bf3eb"/>
    <n v="606796363200709"/>
    <s v="NL81ZZZ241682080000"/>
    <m/>
    <s v="Kenmerk: 9210156260200020 / Omschrijving: Premie maart"/>
    <s v=" "/>
    <m/>
    <m/>
  </r>
  <r>
    <n v="3290"/>
    <x v="3"/>
    <m/>
    <x v="6"/>
    <x v="30"/>
    <d v="2022-03-01T00:00:00"/>
    <d v="2022-03-01T00:00:00"/>
    <n v="-3.42"/>
    <n v="3.42"/>
    <s v="NL98INGB0002712510"/>
    <s v="OHRA Schadeverzekeringen"/>
    <s v="UIT_VL"/>
    <s v="VASTELASTEN"/>
    <s v="avp verzekering"/>
    <s v="ei"/>
    <m/>
    <s v="OH-661282-2202260204-001-11894223"/>
    <n v="3272007"/>
    <s v="NL21ZZZ330520730000"/>
    <m/>
    <s v="Relatie 8405205 / Verschuldigd per 01/03/2022"/>
    <s v=" "/>
    <m/>
    <m/>
  </r>
  <r>
    <n v="3292"/>
    <x v="3"/>
    <m/>
    <x v="6"/>
    <x v="30"/>
    <d v="2022-03-02T00:00:00"/>
    <d v="2022-03-01T00:00:00"/>
    <n v="-5.3"/>
    <n v="5.3"/>
    <m/>
    <s v="Kosten"/>
    <s v="UIT_VL"/>
    <s v="VASTELASTEN"/>
    <s v="bankkosten"/>
    <s v="db"/>
    <m/>
    <m/>
    <m/>
    <m/>
    <m/>
    <s v="Rabo TotaalPakket                  Periode 01-03-2022 t/m 31-03-2022"/>
    <s v=" "/>
    <m/>
    <m/>
  </r>
  <r>
    <n v="3293"/>
    <x v="3"/>
    <m/>
    <x v="6"/>
    <x v="30"/>
    <d v="2022-03-02T00:00:00"/>
    <d v="2022-03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03-2022 t/m 31-03-2022"/>
    <s v=" "/>
    <m/>
    <m/>
  </r>
  <r>
    <n v="3294"/>
    <x v="3"/>
    <m/>
    <x v="6"/>
    <x v="30"/>
    <d v="2022-03-21T00:00:00"/>
    <d v="2022-03-21T00:00:00"/>
    <n v="-6"/>
    <n v="6"/>
    <s v="NL28DEUT0265186439"/>
    <s v="STICHTING DERDENGELDEN BUCKAROO"/>
    <s v="UIT_VL"/>
    <s v="VASTELASTEN"/>
    <s v="foodlog"/>
    <s v="ei"/>
    <m/>
    <s v="SDDC66B22F97B744C92B6E426BE878ED133"/>
    <s v="0W6172F33C5F27B4B868E23B86086A29D5B"/>
    <s v="NL39ZZZ302317620000"/>
    <m/>
    <s v="Foodlog Media B.V. : Foodlog Lid (?202203-27421)"/>
    <s v=" "/>
    <m/>
    <m/>
  </r>
  <r>
    <n v="3295"/>
    <x v="3"/>
    <m/>
    <x v="6"/>
    <x v="30"/>
    <d v="2022-03-21T00:00:00"/>
    <d v="2022-03-21T00:00:00"/>
    <n v="111"/>
    <n v="111"/>
    <s v="NL86INGB0002445588"/>
    <s v="BELASTINGDIENST"/>
    <s v="UIT_VL"/>
    <s v="VASTELASTEN"/>
    <s v="zorgtoeslag"/>
    <s v="cb"/>
    <m/>
    <s v="GVSXX20220316038987721"/>
    <m/>
    <m/>
    <m/>
    <s v="MAAND APR. NR. 103261187T200013 VOORSCHOT ZORGTOESLAG 2022 (SMIT ) MEER INFO OP WWW.TOESLAGEN.NL"/>
    <s v=" "/>
    <m/>
    <m/>
  </r>
  <r>
    <n v="3296"/>
    <x v="3"/>
    <m/>
    <x v="6"/>
    <x v="30"/>
    <d v="2022-03-22T00:00:00"/>
    <d v="2022-03-22T00:00:00"/>
    <n v="-9.99"/>
    <n v="9.99"/>
    <s v="DE14120700700090007583"/>
    <s v="Blendle B.V. by Stripe via PPRO"/>
    <s v="UIT_VL"/>
    <s v="VASTELASTEN"/>
    <s v="blendle"/>
    <s v="ei"/>
    <m/>
    <s v="2WOFQVX"/>
    <s v="APWBQB4QWWPHQ2CV"/>
    <s v="NL13ZZZ587241090000"/>
    <m/>
    <s v="Blendle B.V. by Stripe via PPRO - BLENDLE PREMIUM"/>
    <s v=" "/>
    <m/>
    <m/>
  </r>
  <r>
    <n v="3301"/>
    <x v="3"/>
    <m/>
    <x v="6"/>
    <x v="31"/>
    <d v="2022-04-01T00:00:00"/>
    <d v="2022-04-01T00:00:00"/>
    <n v="-127.75"/>
    <n v="127.75"/>
    <s v="NL11RABO0343685310"/>
    <s v="D.S.W. Zorgverzekeraar"/>
    <s v="UIT_VL"/>
    <s v="VASTELASTEN"/>
    <s v="zorgverzekering"/>
    <s v="ei"/>
    <m/>
    <s v="506b1a52346648d4a9cf00ec5bff9937"/>
    <n v="606796363200709"/>
    <s v="NL81ZZZ241682080000"/>
    <m/>
    <s v="Kenmerk: 7210156260200021 / Omschrijving: Premie april"/>
    <s v=" "/>
    <m/>
    <m/>
  </r>
  <r>
    <n v="3303"/>
    <x v="3"/>
    <m/>
    <x v="6"/>
    <x v="31"/>
    <d v="2022-04-01T00:00:00"/>
    <d v="2022-04-01T00:00:00"/>
    <n v="-3.42"/>
    <n v="3.42"/>
    <s v="NL98INGB0002712510"/>
    <s v="OHRA Schadeverzekeringen"/>
    <s v="UIT_VL"/>
    <s v="VASTELASTEN"/>
    <s v="avp verzekering"/>
    <s v="ei"/>
    <m/>
    <s v="OH-662393-2203290239-001-12540177"/>
    <n v="3272007"/>
    <s v="NL21ZZZ330520730000"/>
    <m/>
    <s v="Relatie 8405205 / Verschuldigd per 01/04/2022"/>
    <s v=" "/>
    <m/>
    <m/>
  </r>
  <r>
    <n v="3304"/>
    <x v="3"/>
    <m/>
    <x v="6"/>
    <x v="31"/>
    <d v="2022-04-02T00:00:00"/>
    <d v="2022-04-01T00:00:00"/>
    <n v="-5.65"/>
    <n v="5.65"/>
    <m/>
    <s v="Kosten"/>
    <s v="UIT_VL"/>
    <s v="VASTELASTEN"/>
    <s v="bankkosten"/>
    <s v="db"/>
    <m/>
    <m/>
    <m/>
    <m/>
    <m/>
    <s v="Rabo TotaalPakket                  Periode 01-04-2022 t/m 30-04-2022"/>
    <s v=" "/>
    <m/>
    <m/>
  </r>
  <r>
    <n v="3305"/>
    <x v="3"/>
    <m/>
    <x v="6"/>
    <x v="31"/>
    <d v="2022-04-02T00:00:00"/>
    <d v="2022-04-01T00:00:00"/>
    <n v="-0.7"/>
    <n v="0.7"/>
    <m/>
    <s v="Kosten"/>
    <s v="UIT_VL"/>
    <s v="VASTELASTEN"/>
    <s v="bankkosten"/>
    <s v="db"/>
    <m/>
    <m/>
    <m/>
    <m/>
    <m/>
    <s v="Abonnement maandelijks papieren    rekeningafschrift                  Periode 01-04-2022 t/m 30-04-2022"/>
    <s v=" "/>
    <m/>
    <m/>
  </r>
  <r>
    <n v="3308"/>
    <x v="3"/>
    <m/>
    <x v="6"/>
    <x v="31"/>
    <d v="2022-04-20T00:00:00"/>
    <d v="2022-04-20T00:00:00"/>
    <n v="111"/>
    <n v="111"/>
    <s v="NL86INGB0002445588"/>
    <s v="BELASTINGDIENST"/>
    <s v="UIT_VL"/>
    <s v="VASTELASTEN"/>
    <s v="zorgtoeslag"/>
    <s v="cb"/>
    <m/>
    <s v="GVSXX20220413058069847"/>
    <m/>
    <m/>
    <m/>
    <s v="MAAND MEI NR. 103261187T200013 VOORSCHOT ZORGTOESLAG 2022 (SMIT ) MEER INFO OP WWW.TOESLAGEN.NL"/>
    <s v=" "/>
    <m/>
    <m/>
  </r>
  <r>
    <n v="3309"/>
    <x v="3"/>
    <m/>
    <x v="6"/>
    <x v="31"/>
    <d v="2022-04-21T00:00:00"/>
    <d v="2022-04-21T00:00:00"/>
    <n v="-9.99"/>
    <n v="9.99"/>
    <s v="DE14120700700090007583"/>
    <s v="Blendle B.V. by Stripe via PPRO"/>
    <s v="UIT_VL"/>
    <s v="VASTELASTEN"/>
    <s v="blendle"/>
    <s v="ei"/>
    <m/>
    <s v="2Z9F4VI"/>
    <s v="APWBQB4QWWPHQ2CV"/>
    <s v="NL13ZZZ587241090000"/>
    <m/>
    <s v="Blendle B.V. by Stripe via PPRO - BLENDLE PREMIUM"/>
    <s v=" "/>
    <m/>
    <m/>
  </r>
  <r>
    <n v="3310"/>
    <x v="3"/>
    <m/>
    <x v="6"/>
    <x v="31"/>
    <d v="2022-04-21T00:00:00"/>
    <d v="2022-04-21T00:00:00"/>
    <n v="-6"/>
    <n v="6"/>
    <s v="NL28DEUT0265186439"/>
    <s v="STICHTING DERDENGELDEN BUCKAROO"/>
    <s v="UIT_VL"/>
    <s v="VASTELASTEN"/>
    <s v="foodlog"/>
    <s v="ei"/>
    <m/>
    <s v="SDD27EDD220BA094EC19125A86F768E8F4B"/>
    <s v="0W6172F33C5F27B4B868E23B86086A29D5B"/>
    <s v="NL39ZZZ302317620000"/>
    <m/>
    <s v="Foodlog Media B.V. : Foodlog Lid (?202204-27657)"/>
    <s v=" "/>
    <m/>
    <m/>
  </r>
  <r>
    <n v="3312"/>
    <x v="3"/>
    <m/>
    <x v="6"/>
    <x v="32"/>
    <d v="2022-05-02T00:00:00"/>
    <d v="2022-05-02T00:00:00"/>
    <n v="-127.75"/>
    <n v="127.75"/>
    <s v="NL11RABO0343685310"/>
    <s v="D.S.W. Zorgverzekeraar"/>
    <s v="UIT_VL"/>
    <s v="VASTELASTEN"/>
    <s v="zorgverzekering"/>
    <s v="ei"/>
    <m/>
    <s v="296396b4a0604b4fa1efddab3d70b274"/>
    <n v="606796363200709"/>
    <s v="NL81ZZZ241682080000"/>
    <m/>
    <s v="Kenmerk: 5210156260200022 / Omschrijving: Premie mei"/>
    <s v=" "/>
    <m/>
    <m/>
  </r>
  <r>
    <n v="3313"/>
    <x v="3"/>
    <m/>
    <x v="6"/>
    <x v="32"/>
    <d v="2022-05-02T00:00:00"/>
    <d v="2022-05-02T00:00:00"/>
    <n v="-3.42"/>
    <n v="3.42"/>
    <s v="NL98INGB0002712510"/>
    <s v="OHRA Schadeverzekeringen"/>
    <s v="UIT_VL"/>
    <s v="VASTELASTEN"/>
    <s v="avp verzekering"/>
    <s v="ei"/>
    <m/>
    <s v="OH-663483-2204280157-001-13175136"/>
    <n v="3272007"/>
    <s v="NL21ZZZ330520730000"/>
    <m/>
    <s v="Relatie 8405205 / Verschuldigd per 01/05/2022"/>
    <s v=" "/>
    <m/>
    <m/>
  </r>
  <r>
    <n v="3314"/>
    <x v="3"/>
    <m/>
    <x v="6"/>
    <x v="32"/>
    <d v="2022-05-03T00:00:00"/>
    <d v="2022-05-01T00:00:00"/>
    <n v="-5.65"/>
    <n v="5.65"/>
    <m/>
    <s v="Kosten"/>
    <s v="UIT_VL"/>
    <s v="VASTELASTEN"/>
    <s v="bankkosten"/>
    <s v="db"/>
    <m/>
    <m/>
    <m/>
    <m/>
    <m/>
    <s v="Rabo TotaalPakket                  Periode 01-05-2022 t/m 31-05-2022"/>
    <s v=" "/>
    <m/>
    <m/>
  </r>
  <r>
    <n v="3315"/>
    <x v="3"/>
    <m/>
    <x v="6"/>
    <x v="32"/>
    <d v="2022-05-03T00:00:00"/>
    <d v="2022-05-01T00:00:00"/>
    <n v="-0.8"/>
    <n v="0.8"/>
    <m/>
    <s v="Kosten"/>
    <s v="UIT_VL"/>
    <s v="VASTELASTEN"/>
    <s v="bankkosten"/>
    <s v="db"/>
    <m/>
    <m/>
    <m/>
    <m/>
    <m/>
    <s v="Abonnement maandelijks papieren    rekeningafschrift                  Periode 01-05-2022 t/m 31-05-2022"/>
    <s v=" "/>
    <m/>
    <m/>
  </r>
  <r>
    <n v="3316"/>
    <x v="3"/>
    <m/>
    <x v="6"/>
    <x v="32"/>
    <d v="2022-05-09T00:00:00"/>
    <d v="2022-05-09T00:00:00"/>
    <n v="-5"/>
    <n v="5"/>
    <s v="NL46RABO0306722054"/>
    <s v="Vesta Payment Solutions"/>
    <s v="UIT_VL"/>
    <s v="VASTELASTEN"/>
    <s v="internet_telefoon_NL"/>
    <s v="id"/>
    <m/>
    <s v="09-05-2022 16:51 0020006630243602"/>
    <m/>
    <m/>
    <m/>
    <s v="Y6T2Z3ZUE5E 0020006630243602 EUR5 - Vodafone Opwaarderen x4934 pasnr.032"/>
    <s v=" "/>
    <m/>
    <m/>
  </r>
  <r>
    <n v="3318"/>
    <x v="3"/>
    <m/>
    <x v="6"/>
    <x v="32"/>
    <d v="2022-05-19T00:00:00"/>
    <d v="2022-05-19T00:00:00"/>
    <n v="-6"/>
    <n v="6"/>
    <s v="NL28DEUT0265186439"/>
    <s v="STICHTING DERDENGELDEN BUCKAROO"/>
    <s v="UIT_VL"/>
    <s v="VASTELASTEN"/>
    <s v="foodlog"/>
    <s v="ei"/>
    <m/>
    <s v="SDDC48F014C13124BEBA40F5E6A59B9BD70"/>
    <s v="0W6172F33C5F27B4B868E23B86086A29D5B"/>
    <s v="NL39ZZZ302317620000"/>
    <m/>
    <s v="Foodlog Media B.V. : Foodlog Lid (?202205-27867)"/>
    <s v=" "/>
    <m/>
    <m/>
  </r>
  <r>
    <n v="3319"/>
    <x v="3"/>
    <m/>
    <x v="6"/>
    <x v="32"/>
    <d v="2022-05-20T00:00:00"/>
    <d v="2022-05-20T00:00:00"/>
    <n v="-9.99"/>
    <n v="9.99"/>
    <s v="DE14120700700090007583"/>
    <s v="Blendle B.V. by Stripe via PPRO"/>
    <s v="UIT_VL"/>
    <s v="VASTELASTEN"/>
    <s v="blendle"/>
    <s v="ei"/>
    <m/>
    <s v="3HNYG98"/>
    <s v="APWBQB4QWWPHQ2CV"/>
    <s v="NL13ZZZ587241090000"/>
    <m/>
    <s v="Blendle B.V. by Stripe via PPRO - BLENDLE PREMIUM"/>
    <s v=" "/>
    <m/>
    <m/>
  </r>
  <r>
    <n v="3320"/>
    <x v="3"/>
    <m/>
    <x v="6"/>
    <x v="32"/>
    <d v="2022-05-20T00:00:00"/>
    <d v="2022-05-20T00:00:00"/>
    <n v="-5"/>
    <n v="5"/>
    <s v="NL46RABO0306722054"/>
    <s v="Vesta Payment Solutions"/>
    <s v="UIT_VL"/>
    <s v="VASTELASTEN"/>
    <s v="internet_telefoon_NL"/>
    <s v="id"/>
    <m/>
    <s v="20-05-2022 22:49 0020006674450182"/>
    <m/>
    <m/>
    <m/>
    <s v="Y6T2Z4JNG7E 0020006674450182 EUR5 - Vodafone Opwaarderen x4934 pasnr.032"/>
    <s v=" "/>
    <m/>
    <m/>
  </r>
  <r>
    <n v="3321"/>
    <x v="3"/>
    <m/>
    <x v="6"/>
    <x v="32"/>
    <d v="2022-05-20T00:00:00"/>
    <d v="2022-05-20T00:00:00"/>
    <n v="111"/>
    <n v="111"/>
    <s v="NL86INGB0002445588"/>
    <s v="BELASTINGDIENST"/>
    <s v="UIT_VL"/>
    <s v="VASTELASTEN"/>
    <s v="zorgtoeslag"/>
    <s v="cb"/>
    <m/>
    <s v="GVSXX20220517068194814"/>
    <m/>
    <m/>
    <m/>
    <s v="MAAND JUN. NR. 103261187T200013 VOORSCHOT ZORGTOESLAG 2022 (SMIT ) MEER INFO OP WWW.TOESLAGEN.NL"/>
    <s v=" "/>
    <m/>
    <m/>
  </r>
  <r>
    <n v="3323"/>
    <x v="3"/>
    <m/>
    <x v="6"/>
    <x v="32"/>
    <d v="2022-05-21T00:00:00"/>
    <d v="2022-05-21T00:00:00"/>
    <n v="-0.7"/>
    <n v="0.7"/>
    <m/>
    <s v="Zwolle 4208-25101 Zwolle"/>
    <s v="UIT_VL"/>
    <s v="VASTELASTEN"/>
    <s v="bankkosten"/>
    <s v="bc"/>
    <m/>
    <m/>
    <m/>
    <m/>
    <m/>
    <s v="Betaalautomaat 12:05 pasnr. 032"/>
    <s v=" "/>
    <m/>
    <m/>
  </r>
  <r>
    <n v="3325"/>
    <x v="3"/>
    <m/>
    <x v="6"/>
    <x v="32"/>
    <d v="2022-05-22T00:00:00"/>
    <d v="2022-05-23T00:00:00"/>
    <n v="-0.01"/>
    <n v="0.01"/>
    <s v="NL14BNPA0227680723"/>
    <s v="TELE2"/>
    <s v="UIT_VL"/>
    <s v="VASTELASTEN"/>
    <s v="internet_telefoon_NL"/>
    <s v="id"/>
    <m/>
    <s v="22-05-2022 15:06 0170006679844272"/>
    <m/>
    <m/>
    <m/>
    <s v="72033516 0170006679844272 72033516 x4934 pasnr.032"/>
    <s v=" "/>
    <m/>
    <m/>
  </r>
  <r>
    <n v="3337"/>
    <x v="0"/>
    <m/>
    <x v="6"/>
    <x v="28"/>
    <d v="2022-01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340"/>
    <x v="0"/>
    <m/>
    <x v="6"/>
    <x v="28"/>
    <d v="2022-01-18T00:00:00"/>
    <m/>
    <n v="-2.99"/>
    <n v="2.99"/>
    <m/>
    <s v="GOOGLE*GOOGLE STORAGE    IRELAND      IRL"/>
    <s v="UIT_VL"/>
    <s v="VASTELASTEN"/>
    <s v="google storage"/>
    <m/>
    <m/>
    <m/>
    <m/>
    <m/>
    <m/>
    <m/>
    <m/>
    <m/>
    <m/>
  </r>
  <r>
    <n v="3347"/>
    <x v="0"/>
    <m/>
    <x v="6"/>
    <x v="29"/>
    <d v="2022-02-04T00:00:00"/>
    <m/>
    <n v="-4.99"/>
    <n v="4.99"/>
    <m/>
    <s v="GOOGLE *Google Play Ap   g.co/HelpPay#IRL"/>
    <s v="UIT_VL"/>
    <s v="VASTELASTEN"/>
    <s v="medium"/>
    <m/>
    <m/>
    <m/>
    <m/>
    <m/>
    <m/>
    <m/>
    <m/>
    <m/>
    <m/>
  </r>
  <r>
    <n v="3350"/>
    <x v="0"/>
    <m/>
    <x v="6"/>
    <x v="29"/>
    <d v="2022-02-19T00:00:00"/>
    <m/>
    <n v="-2.99"/>
    <n v="2.99"/>
    <m/>
    <s v="GOOGLE *Google Storage   g.co/HelpPay#IRL"/>
    <s v="UIT_VL"/>
    <s v="VASTELASTEN"/>
    <s v="google storage"/>
    <m/>
    <m/>
    <m/>
    <m/>
    <m/>
    <m/>
    <m/>
    <m/>
    <m/>
    <m/>
  </r>
  <r>
    <n v="3351"/>
    <x v="0"/>
    <m/>
    <x v="6"/>
    <x v="29"/>
    <d v="2022-02-23T00:00:00"/>
    <m/>
    <n v="-3.49"/>
    <n v="3.49"/>
    <m/>
    <s v="PAYPAL *MICROSOFT MICR   35314369001  GBR"/>
    <s v="UIT_VL"/>
    <s v="VASTELASTEN"/>
    <s v="microsoft"/>
    <m/>
    <m/>
    <m/>
    <m/>
    <m/>
    <m/>
    <m/>
    <m/>
    <m/>
    <m/>
  </r>
  <r>
    <n v="3355"/>
    <x v="0"/>
    <m/>
    <x v="6"/>
    <x v="30"/>
    <d v="2022-03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369"/>
    <x v="0"/>
    <m/>
    <x v="6"/>
    <x v="30"/>
    <d v="2022-03-18T00:00:00"/>
    <m/>
    <n v="-2.99"/>
    <n v="2.99"/>
    <m/>
    <s v="GOOGLE*GOOGLE STORAGE    IRELAND      IRL"/>
    <s v="UIT_VL"/>
    <s v="VASTELASTEN"/>
    <s v="google storage"/>
    <m/>
    <m/>
    <m/>
    <m/>
    <m/>
    <m/>
    <m/>
    <m/>
    <m/>
    <m/>
  </r>
  <r>
    <n v="3374"/>
    <x v="0"/>
    <m/>
    <x v="6"/>
    <x v="30"/>
    <d v="2022-03-23T00:00:00"/>
    <m/>
    <n v="-7"/>
    <n v="7"/>
    <m/>
    <s v="PAYPAL *MICROSOFT MICR   35314369001  GBR"/>
    <s v="UIT_VL"/>
    <s v="VASTELASTEN"/>
    <s v="microsoft"/>
    <m/>
    <m/>
    <m/>
    <m/>
    <m/>
    <m/>
    <m/>
    <m/>
    <m/>
    <m/>
  </r>
  <r>
    <n v="3379"/>
    <x v="0"/>
    <m/>
    <x v="6"/>
    <x v="31"/>
    <d v="2022-04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380"/>
    <x v="0"/>
    <m/>
    <x v="6"/>
    <x v="31"/>
    <d v="2022-04-19T00:00:00"/>
    <m/>
    <n v="-2.99"/>
    <n v="2.99"/>
    <m/>
    <s v="GOOGLE *Google Storage   g.co/HelpPay#IRL"/>
    <s v="UIT_VL"/>
    <s v="VASTELASTEN"/>
    <s v="google storage"/>
    <m/>
    <m/>
    <m/>
    <m/>
    <m/>
    <m/>
    <m/>
    <m/>
    <m/>
    <m/>
  </r>
  <r>
    <n v="3381"/>
    <x v="0"/>
    <m/>
    <x v="6"/>
    <x v="31"/>
    <d v="2022-04-23T00:00:00"/>
    <m/>
    <n v="-7"/>
    <n v="7"/>
    <m/>
    <s v="PAYPAL *MICROSOFT MICR   35314369001  GBR"/>
    <s v="UIT_VL"/>
    <s v="VASTELASTEN"/>
    <s v="microsoft"/>
    <m/>
    <m/>
    <m/>
    <m/>
    <m/>
    <m/>
    <m/>
    <m/>
    <m/>
    <m/>
  </r>
  <r>
    <n v="3383"/>
    <x v="0"/>
    <m/>
    <x v="6"/>
    <x v="32"/>
    <d v="2022-05-03T00:00:00"/>
    <m/>
    <n v="-4.99"/>
    <n v="4.99"/>
    <m/>
    <s v="GOOGLE*GOOGLE PLAY APP   IRELAND      IRL"/>
    <s v="UIT_VL"/>
    <s v="VASTELASTEN"/>
    <s v="medium"/>
    <m/>
    <m/>
    <m/>
    <m/>
    <m/>
    <m/>
    <m/>
    <m/>
    <m/>
    <m/>
  </r>
  <r>
    <n v="3386"/>
    <x v="0"/>
    <m/>
    <x v="6"/>
    <x v="32"/>
    <d v="2022-05-19T00:00:00"/>
    <m/>
    <n v="-2.99"/>
    <n v="2.99"/>
    <m/>
    <s v="Google Payment IE LTD GooDublin       IRL"/>
    <s v="UIT_VL"/>
    <s v="VASTELASTEN"/>
    <s v="google storage"/>
    <m/>
    <m/>
    <m/>
    <m/>
    <m/>
    <m/>
    <m/>
    <m/>
    <m/>
    <m/>
  </r>
  <r>
    <n v="3388"/>
    <x v="0"/>
    <m/>
    <x v="6"/>
    <x v="32"/>
    <d v="2022-05-21T00:00:00"/>
    <m/>
    <n v="-0.78"/>
    <n v="0.78"/>
    <m/>
    <s v="JACKSON TRD CO LLC       DUBAI        ARE"/>
    <s v="UIT_VL"/>
    <s v="VASTELASTEN"/>
    <s v="bankkosten"/>
    <m/>
    <m/>
    <m/>
    <n v="3"/>
    <s v="AED"/>
    <n v="3.8461500000000002"/>
    <m/>
    <m/>
    <m/>
    <m/>
  </r>
  <r>
    <n v="202208008"/>
    <x v="3"/>
    <s v="EUR"/>
    <x v="6"/>
    <x v="71"/>
    <d v="2022-06-01T00:00:00"/>
    <d v="2022-06-01T00:00:00"/>
    <n v="-127.75"/>
    <n v="127.75"/>
    <s v="NL11RABO0343685310"/>
    <s v="D.S.W. Zorgverzekeraar"/>
    <s v="UIT_VL"/>
    <s v="VASTELASTEN"/>
    <s v="zorgverzekering"/>
    <s v="ei"/>
    <m/>
    <s v="0b1d989f31794fd0b24638697161ec67"/>
    <n v="606796363200709"/>
    <s v="NL81ZZZ241682080000"/>
    <m/>
    <s v="Kenmerk: 3210156260200023 / Omschrijving: Premie juni"/>
    <s v=" "/>
    <m/>
    <m/>
  </r>
  <r>
    <n v="202208009"/>
    <x v="3"/>
    <s v="EUR"/>
    <x v="6"/>
    <x v="71"/>
    <d v="2022-06-01T00:00:00"/>
    <d v="2022-06-01T00:00:00"/>
    <n v="-3.4"/>
    <n v="3.4"/>
    <s v="NL98INGB0002712510"/>
    <s v="OHRA Schadeverzekeringen"/>
    <s v="UIT_VL"/>
    <s v="VASTELASTEN"/>
    <s v="avp verzekering"/>
    <s v="ei"/>
    <m/>
    <s v="OH-664561-2205290154-001-13806351"/>
    <n v="3272007"/>
    <s v="NL21ZZZ330520730000"/>
    <m/>
    <s v="Relatie 8405205 / Verschuldigd per 01/06/2022"/>
    <s v=" "/>
    <m/>
    <m/>
  </r>
  <r>
    <n v="202208010"/>
    <x v="3"/>
    <s v="EUR"/>
    <x v="6"/>
    <x v="71"/>
    <d v="2022-06-01T00:00:00"/>
    <d v="2022-06-02T00:00:00"/>
    <n v="-0.01"/>
    <n v="0.01"/>
    <s v="NL14BNPA0227680723"/>
    <s v="TELE2"/>
    <s v="UIT_VL"/>
    <s v="VASTELASTEN"/>
    <s v="internet_telefoon_NL"/>
    <s v="id"/>
    <m/>
    <s v="01-06-2022 18:59 0170006728227964"/>
    <m/>
    <m/>
    <m/>
    <s v="72352610 0170006728227964 72352610 x4934 pasnr.032"/>
    <s v=" "/>
    <m/>
    <m/>
  </r>
  <r>
    <n v="202208011"/>
    <x v="3"/>
    <s v="EUR"/>
    <x v="6"/>
    <x v="71"/>
    <d v="2022-06-02T00:00:00"/>
    <d v="2022-06-01T00:00:00"/>
    <n v="-0.8"/>
    <n v="0.8"/>
    <m/>
    <s v="Kosten"/>
    <s v="UIT_VL"/>
    <s v="VASTELASTEN"/>
    <s v="bankkosten"/>
    <s v="db"/>
    <m/>
    <m/>
    <m/>
    <m/>
    <m/>
    <s v="Abonnement maandelijks papieren    rekeningafschrift                  Periode 01-06-2022 t/m 30-06-2022"/>
    <s v=" "/>
    <m/>
    <m/>
  </r>
  <r>
    <n v="202208012"/>
    <x v="3"/>
    <s v="EUR"/>
    <x v="6"/>
    <x v="71"/>
    <d v="2022-06-02T00:00:00"/>
    <d v="2022-06-01T00:00:00"/>
    <n v="-5.65"/>
    <n v="5.65"/>
    <m/>
    <s v="Kosten"/>
    <s v="UIT_VL"/>
    <s v="VASTELASTEN"/>
    <s v="bankkosten"/>
    <s v="db"/>
    <m/>
    <m/>
    <m/>
    <m/>
    <m/>
    <s v="Rabo TotaalPakket                  Periode 01-06-2022 t/m 30-06-2022"/>
    <s v=" "/>
    <m/>
    <m/>
  </r>
  <r>
    <n v="202208036"/>
    <x v="3"/>
    <s v="EUR"/>
    <x v="6"/>
    <x v="71"/>
    <d v="2022-06-20T00:00:00"/>
    <d v="2022-06-20T00:00:00"/>
    <n v="-6"/>
    <n v="6"/>
    <s v="NL28DEUT0265186439"/>
    <s v="STICHTING DERDENGELDEN BUCKAROO"/>
    <s v="UIT_VL"/>
    <s v="VASTELASTEN"/>
    <s v="foodlog"/>
    <s v="ei"/>
    <m/>
    <s v="SDDACF3AA5F1C7E496BBDCB0A132E3980B0"/>
    <s v="0W6172F33C5F27B4B868E23B86086A29D5B"/>
    <s v="NL39ZZZ302317620000"/>
    <m/>
    <s v="Foodlog Media B.V. : Foodlog Lid (?202206-28076)"/>
    <s v=" "/>
    <m/>
    <m/>
  </r>
  <r>
    <n v="202208037"/>
    <x v="3"/>
    <s v="EUR"/>
    <x v="6"/>
    <x v="71"/>
    <d v="2022-06-20T00:00:00"/>
    <d v="2022-06-20T00:00:00"/>
    <n v="111"/>
    <n v="111"/>
    <s v="NL86INGB0002445588"/>
    <s v="BELASTINGDIENST"/>
    <s v="UIT_VL"/>
    <s v="VASTELASTEN"/>
    <s v="zorgtoeslag"/>
    <s v="cb"/>
    <m/>
    <s v="GVSXX20220615081775613"/>
    <m/>
    <m/>
    <m/>
    <s v="MAAND JUL. NR. 103261187T200013 VOORSCHOT ZORGTOESLAG 2022 (SMIT ) MEER INFO OP WWW.TOESLAGEN.NL"/>
    <s v=" "/>
    <m/>
    <m/>
  </r>
  <r>
    <n v="202208039"/>
    <x v="3"/>
    <s v="EUR"/>
    <x v="6"/>
    <x v="71"/>
    <d v="2022-06-22T00:00:00"/>
    <d v="2022-06-22T00:00:00"/>
    <n v="-9.99"/>
    <n v="9.99"/>
    <s v="DE14120700700090007583"/>
    <s v="Blendle B.V. by Stripe via PPRO"/>
    <s v="UIT_VL"/>
    <s v="VASTELASTEN"/>
    <s v="blendle"/>
    <s v="ei"/>
    <m/>
    <s v="4F6Q8AQ"/>
    <s v="APWBQB4QWWPHQ2CV"/>
    <s v="NL13ZZZ587241090000"/>
    <m/>
    <s v="Blendle B.V. by Stripe via PPRO - BLENDLE PREMIUM"/>
    <s v=" "/>
    <m/>
    <m/>
  </r>
  <r>
    <n v="202208052"/>
    <x v="3"/>
    <s v="EUR"/>
    <x v="6"/>
    <x v="72"/>
    <d v="2022-07-01T00:00:00"/>
    <d v="2022-07-01T00:00:00"/>
    <n v="-127.75"/>
    <n v="127.75"/>
    <s v="NL11RABO0343685310"/>
    <s v="D.S.W. Zorgverzekeraar"/>
    <s v="UIT_VL"/>
    <s v="VASTELASTEN"/>
    <s v="zorgverzekering"/>
    <s v="ei"/>
    <m/>
    <s v="210c09dfbbe64c42ab4f608931742e98"/>
    <n v="606796363200709"/>
    <s v="NL81ZZZ241682080000"/>
    <m/>
    <s v="Kenmerk: 1210156260200024 / Omschrijving: Premie juli"/>
    <s v=" "/>
    <m/>
    <m/>
  </r>
  <r>
    <n v="202208053"/>
    <x v="3"/>
    <s v="EUR"/>
    <x v="6"/>
    <x v="72"/>
    <d v="2022-07-01T00:00:00"/>
    <d v="2022-07-01T00:00:00"/>
    <n v="-3.52"/>
    <n v="3.52"/>
    <s v="NL98INGB0002712510"/>
    <s v="OHRA Schadeverzekeringen"/>
    <s v="UIT_VL"/>
    <s v="VASTELASTEN"/>
    <s v="avp verzekering"/>
    <s v="ei"/>
    <m/>
    <s v="OH-665633-2206280158-001-14430120"/>
    <n v="3272007"/>
    <s v="NL21ZZZ330520730000"/>
    <m/>
    <s v="Relatie 8405205 / Verschuldigd per 01/07/2022"/>
    <s v=" "/>
    <m/>
    <m/>
  </r>
  <r>
    <n v="202208054"/>
    <x v="3"/>
    <s v="EUR"/>
    <x v="6"/>
    <x v="72"/>
    <d v="2022-07-02T00:00:00"/>
    <d v="2022-07-01T00:00:00"/>
    <n v="-0.8"/>
    <n v="0.8"/>
    <m/>
    <s v="Kosten"/>
    <s v="UIT_VL"/>
    <s v="VASTELASTEN"/>
    <s v="bankkosten"/>
    <s v="db"/>
    <m/>
    <m/>
    <m/>
    <m/>
    <m/>
    <s v="Abonnement maandelijks papieren    rekeningafschrift                  Periode 01-07-2022 t/m 31-07-2022"/>
    <s v=" "/>
    <m/>
    <m/>
  </r>
  <r>
    <n v="202208055"/>
    <x v="3"/>
    <s v="EUR"/>
    <x v="6"/>
    <x v="72"/>
    <d v="2022-07-02T00:00:00"/>
    <d v="2022-07-01T00:00:00"/>
    <n v="-5.65"/>
    <n v="5.65"/>
    <m/>
    <s v="Kosten"/>
    <s v="UIT_VL"/>
    <s v="VASTELASTEN"/>
    <s v="bankkosten"/>
    <s v="db"/>
    <m/>
    <m/>
    <m/>
    <m/>
    <m/>
    <s v="Rabo TotaalPakket                  Periode 01-07-2022 t/m 31-07-2022"/>
    <s v=" "/>
    <m/>
    <m/>
  </r>
  <r>
    <n v="202208081"/>
    <x v="3"/>
    <s v="EUR"/>
    <x v="6"/>
    <x v="72"/>
    <d v="2022-07-20T00:00:00"/>
    <d v="2022-07-20T00:00:00"/>
    <n v="-9.99"/>
    <n v="9.99"/>
    <s v="DE14120700700090007583"/>
    <s v="Blendle B.V. by Stripe via PPRO"/>
    <s v="UIT_VL"/>
    <s v="VASTELASTEN"/>
    <s v="blendle"/>
    <s v="ei"/>
    <m/>
    <s v="3ZMXPCT"/>
    <s v="APWBQB4QWWPHQ2CV"/>
    <s v="NL13ZZZ587241090000"/>
    <m/>
    <s v="Blendle B.V. by Stripe via PPRO - BLENDLE PREMIUM"/>
    <s v=" "/>
    <m/>
    <m/>
  </r>
  <r>
    <n v="202208082"/>
    <x v="3"/>
    <s v="EUR"/>
    <x v="6"/>
    <x v="72"/>
    <d v="2022-07-20T00:00:00"/>
    <d v="2022-07-20T00:00:00"/>
    <n v="-6"/>
    <n v="6"/>
    <s v="NL28DEUT0265186439"/>
    <s v="STICHTING DERDENGELDEN BUCKAROO"/>
    <s v="UIT_VL"/>
    <s v="VASTELASTEN"/>
    <s v="foodlog"/>
    <s v="ei"/>
    <m/>
    <s v="SDDA156668C41934CE5B4E89FEFB3B82FB6"/>
    <s v="0W6172F33C5F27B4B868E23B86086A29D5B"/>
    <s v="NL39ZZZ302317620000"/>
    <m/>
    <s v="Foodlog Media B.V. : Foodlog Lid (?202207-28278)"/>
    <s v=" "/>
    <m/>
    <m/>
  </r>
  <r>
    <n v="202208083"/>
    <x v="3"/>
    <s v="EUR"/>
    <x v="6"/>
    <x v="72"/>
    <d v="2022-07-20T00:00:00"/>
    <d v="2022-07-20T00:00:00"/>
    <n v="111"/>
    <n v="111"/>
    <s v="NL86INGB0002445588"/>
    <s v="BELASTINGDIENST"/>
    <s v="UIT_VL"/>
    <s v="VASTELASTEN"/>
    <s v="zorgtoeslag"/>
    <s v="cb"/>
    <m/>
    <s v="GVSXX20220715090982489"/>
    <m/>
    <m/>
    <m/>
    <s v="MAAND AUG. NR. 103261187T200013 VOORSCHOT ZORGTOESLAG 2022 (SMIT ) MEER INFO OP WWW.TOESLAGEN.NL"/>
    <s v=" "/>
    <m/>
    <m/>
  </r>
  <r>
    <n v="202208094"/>
    <x v="3"/>
    <s v="EUR"/>
    <x v="6"/>
    <x v="72"/>
    <d v="2022-07-26T00:00:00"/>
    <d v="2022-07-26T00:00:00"/>
    <n v="-46.33"/>
    <n v="46.33"/>
    <s v="NL84COBA0733959520"/>
    <s v="TELE2"/>
    <s v="UIT_VL"/>
    <s v="VASTELASTEN"/>
    <s v="internet_telefoon_NL"/>
    <s v="ei"/>
    <m/>
    <n v="500527127140"/>
    <n v="121325018"/>
    <s v="NL12T2N333034180000"/>
    <m/>
    <s v="Klant 1.21325018 Factuur 901463510395"/>
    <s v=" "/>
    <m/>
    <m/>
  </r>
  <r>
    <n v="202208103"/>
    <x v="3"/>
    <s v="EUR"/>
    <x v="6"/>
    <x v="72"/>
    <d v="2022-07-28T00:00:00"/>
    <d v="2022-07-28T00:00:00"/>
    <n v="-4.33"/>
    <n v="4.33"/>
    <m/>
    <s v="Holland &amp; Barrett VENLO"/>
    <s v="UIT_VL"/>
    <s v="VASTELASTEN"/>
    <s v="medium"/>
    <s v="bc"/>
    <m/>
    <m/>
    <m/>
    <m/>
    <m/>
    <s v="Betaalautomaat 16:36 pasnr. 032"/>
    <s v=" "/>
    <m/>
    <m/>
  </r>
  <r>
    <n v="202208114"/>
    <x v="3"/>
    <s v="EUR"/>
    <x v="6"/>
    <x v="40"/>
    <d v="2022-08-01T00:00:00"/>
    <d v="2022-08-01T00:00:00"/>
    <n v="-127.75"/>
    <n v="127.75"/>
    <s v="NL11RABO0343685310"/>
    <s v="D.S.W. Zorgverzekeraar"/>
    <s v="UIT_VL"/>
    <s v="VASTELASTEN"/>
    <s v="zorgverzekering"/>
    <s v="ei"/>
    <m/>
    <s v="b6d55c087da0421c9e47072412364cbe"/>
    <n v="606796363200709"/>
    <s v="NL81ZZZ241682080000"/>
    <m/>
    <s v="Kenmerk: 1210156260200025 / Omschrijving: Premie augustus"/>
    <s v=" "/>
    <m/>
    <m/>
  </r>
  <r>
    <n v="202208115"/>
    <x v="3"/>
    <s v="EUR"/>
    <x v="6"/>
    <x v="40"/>
    <d v="2022-08-01T00:00:00"/>
    <d v="2022-08-01T00:00:00"/>
    <n v="-3.52"/>
    <n v="3.52"/>
    <s v="NL98INGB0002712510"/>
    <s v="OHRA Schadeverzekeringen"/>
    <s v="UIT_VL"/>
    <s v="VASTELASTEN"/>
    <s v="avp verzekering"/>
    <s v="ei"/>
    <m/>
    <s v="OH-666674-2207290252-001-15062902"/>
    <n v="3272007"/>
    <s v="NL21ZZZ330520730000"/>
    <m/>
    <s v="Relatie 8405205 / Verschuldigd per 01/08/2022"/>
    <s v=" "/>
    <m/>
    <m/>
  </r>
  <r>
    <n v="202208117"/>
    <x v="3"/>
    <s v="EUR"/>
    <x v="6"/>
    <x v="40"/>
    <d v="2022-08-02T00:00:00"/>
    <d v="2022-08-01T00:00:00"/>
    <n v="-0.8"/>
    <n v="0.8"/>
    <m/>
    <s v="Kosten"/>
    <s v="UIT_VL"/>
    <s v="VASTELASTEN"/>
    <s v="bankkosten"/>
    <s v="db"/>
    <m/>
    <m/>
    <m/>
    <m/>
    <m/>
    <s v="Abonnement maandelijks papieren    rekeningafschrift                  Periode 01-08-2022 t/m 31-08-2022"/>
    <s v=" "/>
    <m/>
    <m/>
  </r>
  <r>
    <n v="202208118"/>
    <x v="3"/>
    <s v="EUR"/>
    <x v="6"/>
    <x v="40"/>
    <d v="2022-08-02T00:00:00"/>
    <d v="2022-08-01T00:00:00"/>
    <n v="-2.25"/>
    <n v="2.25"/>
    <m/>
    <s v="Kosten"/>
    <s v="UIT_VL"/>
    <s v="VASTELASTEN"/>
    <s v="bankkosten"/>
    <s v="db"/>
    <m/>
    <m/>
    <m/>
    <m/>
    <m/>
    <s v="Stortingsapparaat (eigen storting) Periode 01-07-2022 t/m 31-07-2022"/>
    <s v=" "/>
    <m/>
    <m/>
  </r>
  <r>
    <n v="202208119"/>
    <x v="3"/>
    <s v="EUR"/>
    <x v="6"/>
    <x v="40"/>
    <d v="2022-08-02T00:00:00"/>
    <d v="2022-08-01T00:00:00"/>
    <n v="-5.65"/>
    <n v="5.65"/>
    <m/>
    <s v="Kosten"/>
    <s v="UIT_VL"/>
    <s v="VASTELASTEN"/>
    <s v="bankkosten"/>
    <s v="db"/>
    <m/>
    <m/>
    <m/>
    <m/>
    <m/>
    <s v="Rabo TotaalPakket                  Periode 01-08-2022 t/m 31-08-2022"/>
    <s v=" "/>
    <m/>
    <m/>
  </r>
  <r>
    <n v="202208150"/>
    <x v="3"/>
    <s v="EUR"/>
    <x v="6"/>
    <x v="40"/>
    <d v="2022-08-18T00:00:00"/>
    <d v="2022-08-18T00:00:00"/>
    <n v="-6"/>
    <n v="6"/>
    <s v="NL28DEUT0265186439"/>
    <s v="STICHTING DERDENGELDEN BUCKAROO"/>
    <s v="UIT_VL"/>
    <s v="VASTELASTEN"/>
    <s v="foodlog"/>
    <s v="ei"/>
    <m/>
    <s v="SDDBE9689FCCBC84224836D3F28CDC74D85"/>
    <s v="0W6172F33C5F27B4B868E23B86086A29D5B"/>
    <s v="NL39ZZZ302317620000"/>
    <m/>
    <s v="Foodlog Media B.V. : Foodlog Lid (?202208-28457)"/>
    <s v=" "/>
    <m/>
    <m/>
  </r>
  <r>
    <n v="202208159"/>
    <x v="3"/>
    <s v="EUR"/>
    <x v="6"/>
    <x v="40"/>
    <d v="2022-08-22T00:00:00"/>
    <d v="2022-08-22T00:00:00"/>
    <n v="-9.99"/>
    <n v="9.99"/>
    <s v="DE14120700700090007583"/>
    <s v="Blendle B.V. by Stripe via PPRO"/>
    <s v="UIT_VL"/>
    <s v="VASTELASTEN"/>
    <s v="blendle"/>
    <s v="ei"/>
    <m/>
    <s v="3AQXMK8"/>
    <s v="APWBQB4QWWPHQ2CV"/>
    <s v="NL13ZZZ587241090000"/>
    <m/>
    <s v="Blendle B.V. by Stripe via PPRO - BLENDLE PREMIUM"/>
    <s v=" "/>
    <m/>
    <m/>
  </r>
  <r>
    <n v="202208160"/>
    <x v="3"/>
    <s v="EUR"/>
    <x v="6"/>
    <x v="40"/>
    <d v="2022-08-22T00:00:00"/>
    <d v="2022-08-22T00:00:00"/>
    <n v="112"/>
    <n v="112"/>
    <s v="NL86INGB0002445588"/>
    <s v="BELASTINGDIENST"/>
    <s v="UIT_VL"/>
    <s v="VASTELASTEN"/>
    <s v="zorgtoeslag"/>
    <s v="cb"/>
    <m/>
    <s v="GVSXX20220817004059001"/>
    <m/>
    <m/>
    <m/>
    <s v="MAAND SEP. NR. 103261187T200013 VOORSCHOT ZORGTOESLAG 2022 (SMIT ) MEER INFO OP WWW.TOESLAGEN.NL"/>
    <s v=" "/>
    <m/>
    <m/>
  </r>
  <r>
    <n v="202208161"/>
    <x v="3"/>
    <s v="EUR"/>
    <x v="6"/>
    <x v="40"/>
    <d v="2022-08-25T00:00:00"/>
    <d v="2022-08-22T00:00:00"/>
    <n v="-27"/>
    <n v="27"/>
    <m/>
    <s v="Tele2"/>
    <s v="UIT_VL"/>
    <s v="VASTELASTEN"/>
    <s v="internet_telefoon_NL"/>
    <s v="cb"/>
    <m/>
    <m/>
    <m/>
    <m/>
    <m/>
    <m/>
    <m/>
    <m/>
    <m/>
  </r>
  <r>
    <n v="202208168"/>
    <x v="0"/>
    <m/>
    <x v="6"/>
    <x v="32"/>
    <d v="2022-05-23T00:00:00"/>
    <d v="2022-05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02208170"/>
    <x v="0"/>
    <m/>
    <x v="6"/>
    <x v="71"/>
    <d v="2022-06-04T00:00:00"/>
    <d v="2022-06-04T00:00:00"/>
    <n v="-4.99"/>
    <n v="4.99"/>
    <m/>
    <s v="GOOGLE *Google Play Ap g.co/HelpPay"/>
    <s v="UIT_VL"/>
    <s v="VASTELASTEN"/>
    <s v="medium"/>
    <m/>
    <m/>
    <m/>
    <m/>
    <m/>
    <m/>
    <m/>
    <m/>
    <m/>
    <m/>
  </r>
  <r>
    <n v="202208171"/>
    <x v="0"/>
    <m/>
    <x v="6"/>
    <x v="71"/>
    <d v="2022-06-18T00:00:00"/>
    <d v="2022-06-18T00:00:00"/>
    <n v="-2.99"/>
    <n v="2.99"/>
    <m/>
    <s v="GOOGLE*GOOGLE STORAGE IRELAND IRL"/>
    <s v="UIT_VL"/>
    <s v="VASTELASTEN"/>
    <s v="google storage"/>
    <m/>
    <m/>
    <m/>
    <m/>
    <m/>
    <m/>
    <m/>
    <m/>
    <m/>
    <m/>
  </r>
  <r>
    <n v="202208172"/>
    <x v="0"/>
    <m/>
    <x v="6"/>
    <x v="71"/>
    <d v="2022-06-23T00:00:00"/>
    <d v="2022-06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02208174"/>
    <x v="0"/>
    <m/>
    <x v="6"/>
    <x v="72"/>
    <d v="2022-07-03T00:00:00"/>
    <d v="2022-07-03T00:00:00"/>
    <n v="-4.99"/>
    <n v="4.99"/>
    <m/>
    <s v="GOOGLE*GOOGLE PLAY APP IRELAND IRL"/>
    <s v="UIT_VL"/>
    <s v="VASTELASTEN"/>
    <s v="medium"/>
    <m/>
    <m/>
    <m/>
    <m/>
    <m/>
    <m/>
    <m/>
    <m/>
    <m/>
    <m/>
  </r>
  <r>
    <n v="202208177"/>
    <x v="0"/>
    <m/>
    <x v="6"/>
    <x v="72"/>
    <d v="2022-07-20T00:00:00"/>
    <d v="2022-07-20T00:00:00"/>
    <n v="-2.99"/>
    <n v="2.99"/>
    <m/>
    <s v="GOOGLE *Google Storage g.co/HelpPay"/>
    <s v="UIT_VL"/>
    <s v="VASTELASTEN"/>
    <s v="google storage"/>
    <m/>
    <m/>
    <m/>
    <m/>
    <m/>
    <m/>
    <m/>
    <m/>
    <m/>
    <m/>
  </r>
  <r>
    <n v="202208180"/>
    <x v="0"/>
    <m/>
    <x v="6"/>
    <x v="72"/>
    <d v="2022-07-23T00:00:00"/>
    <d v="2022-07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02208181"/>
    <x v="0"/>
    <m/>
    <x v="6"/>
    <x v="40"/>
    <d v="2022-08-04T00:00:00"/>
    <d v="2022-08-04T00:00:00"/>
    <n v="-4.99"/>
    <n v="4.99"/>
    <m/>
    <s v="GOOGLE *Google Play Ap g.co/HelpPay"/>
    <s v="UIT_VL"/>
    <s v="VASTELASTEN"/>
    <s v="medium"/>
    <m/>
    <m/>
    <m/>
    <m/>
    <m/>
    <m/>
    <m/>
    <m/>
    <m/>
    <m/>
  </r>
  <r>
    <n v="202208185"/>
    <x v="0"/>
    <m/>
    <x v="6"/>
    <x v="40"/>
    <d v="2022-08-19T00:00:00"/>
    <d v="2022-08-19T00:00:00"/>
    <n v="-2.99"/>
    <n v="2.99"/>
    <m/>
    <s v="GOOGLE *Google Storage g.co/HelpPay"/>
    <s v="UIT_VL"/>
    <s v="VASTELASTEN"/>
    <s v="google storage"/>
    <m/>
    <m/>
    <m/>
    <m/>
    <m/>
    <m/>
    <m/>
    <m/>
    <m/>
    <m/>
  </r>
  <r>
    <n v="202208186"/>
    <x v="0"/>
    <m/>
    <x v="6"/>
    <x v="40"/>
    <d v="2022-08-23T00:00:00"/>
    <d v="2022-08-23T00:00:00"/>
    <n v="-7"/>
    <n v="7"/>
    <m/>
    <s v="PAYPAL *MICROSOFT MICR 35314369001 GBR"/>
    <s v="UIT_VL"/>
    <s v="VASTELASTEN"/>
    <s v="microsoft"/>
    <m/>
    <m/>
    <m/>
    <m/>
    <m/>
    <m/>
    <m/>
    <m/>
    <m/>
    <m/>
  </r>
  <r>
    <n v="202210009"/>
    <x v="3"/>
    <s v="EUR"/>
    <x v="6"/>
    <x v="73"/>
    <d v="2022-09-01T00:00:00"/>
    <d v="2022-09-01T00:00:00"/>
    <n v="-127.75"/>
    <n v="127.75"/>
    <s v="NL11RABO0343685310"/>
    <s v="D.S.W. Zorgverzekeraar"/>
    <s v="UIT_VL"/>
    <s v="VASTELASTEN"/>
    <s v="zorgverzekering"/>
    <s v="ei"/>
    <m/>
    <s v="4164f87b42294104b07c56388433cff3"/>
    <n v="606796363200709"/>
    <s v="NL81ZZZ241682080000"/>
    <m/>
    <s v="Kenmerk: 8210156260200026 / Omschrijving: Premie september"/>
    <s v=" "/>
    <m/>
    <m/>
  </r>
  <r>
    <n v="202210010"/>
    <x v="3"/>
    <s v="EUR"/>
    <x v="6"/>
    <x v="73"/>
    <d v="2022-09-01T00:00:00"/>
    <d v="2022-09-01T00:00:00"/>
    <n v="-3.52"/>
    <n v="3.52"/>
    <s v="NL98INGB0002712510"/>
    <s v="OHRA Schadeverzekeringen"/>
    <s v="UIT_VL"/>
    <s v="VASTELASTEN"/>
    <s v="avp verzekering"/>
    <s v="ei"/>
    <m/>
    <s v="OH-667640-2208290152-001-15691262"/>
    <n v="3272007"/>
    <s v="NL21ZZZ330520730000"/>
    <m/>
    <s v="Relatie 8405205 / Verschuldigd per 01/09/2022"/>
    <s v=" "/>
    <m/>
    <m/>
  </r>
  <r>
    <n v="202210011"/>
    <x v="3"/>
    <s v="EUR"/>
    <x v="6"/>
    <x v="73"/>
    <d v="2022-09-02T00:00:00"/>
    <d v="2022-09-01T00:00:00"/>
    <n v="-0.8"/>
    <n v="0.8"/>
    <m/>
    <s v="Kosten"/>
    <s v="UIT_VL"/>
    <s v="VASTELASTEN"/>
    <s v="bankkosten"/>
    <s v="db"/>
    <m/>
    <m/>
    <m/>
    <m/>
    <m/>
    <s v="Abonnement maandelijks papieren    rekeningafschrift                  Periode 01-09-2022 t/m 30-09-2022"/>
    <s v=" "/>
    <m/>
    <m/>
  </r>
  <r>
    <n v="202210012"/>
    <x v="3"/>
    <s v="EUR"/>
    <x v="6"/>
    <x v="73"/>
    <d v="2022-09-02T00:00:00"/>
    <d v="2022-09-01T00:00:00"/>
    <n v="-5.65"/>
    <n v="5.65"/>
    <m/>
    <s v="Kosten"/>
    <s v="UIT_VL"/>
    <s v="VASTELASTEN"/>
    <s v="bankkosten"/>
    <s v="db"/>
    <m/>
    <m/>
    <m/>
    <m/>
    <m/>
    <s v="Rabo TotaalPakket                  Periode 01-09-2022 t/m 30-09-2022"/>
    <s v=" "/>
    <m/>
    <m/>
  </r>
  <r>
    <n v="202210034"/>
    <x v="3"/>
    <s v="EUR"/>
    <x v="6"/>
    <x v="73"/>
    <d v="2022-09-19T00:00:00"/>
    <d v="2022-09-19T00:00:00"/>
    <n v="-6"/>
    <n v="6"/>
    <s v="NL28DEUT0265186439"/>
    <s v="STICHTING DERDENGELDEN BUCKAROO"/>
    <s v="UIT_VL"/>
    <s v="VASTELASTEN"/>
    <s v="foodlog"/>
    <s v="ei"/>
    <m/>
    <s v="SDD9989F5ACDB7A405EBD8496C96D274883"/>
    <s v="0W6172F33C5F27B4B868E23B86086A29D5B"/>
    <s v="NL39ZZZ302317620000"/>
    <m/>
    <s v="Foodlog Media B.V. : Foodlog Lid (?202209-29228)"/>
    <s v=" "/>
    <m/>
    <m/>
  </r>
  <r>
    <n v="202210035"/>
    <x v="3"/>
    <s v="EUR"/>
    <x v="6"/>
    <x v="73"/>
    <d v="2022-09-20T00:00:00"/>
    <d v="2022-09-20T00:00:00"/>
    <n v="112"/>
    <n v="112"/>
    <s v="NL86INGB0002445588"/>
    <s v="BELASTINGDIENST"/>
    <s v="UIT_VL"/>
    <s v="VASTELASTEN"/>
    <s v="zorgtoeslag"/>
    <s v="cb"/>
    <m/>
    <s v="GVSXX20220915013775029"/>
    <m/>
    <m/>
    <m/>
    <s v="MAAND OKT. NR. 103261187T200013 VOORSCHOT ZORGTOESLAG 2022 (SMIT ) MEER INFO OP WWW.TOESLAGEN.NL"/>
    <s v=" "/>
    <m/>
    <m/>
  </r>
  <r>
    <n v="202210037"/>
    <x v="3"/>
    <s v="EUR"/>
    <x v="6"/>
    <x v="73"/>
    <d v="2022-09-21T00:00:00"/>
    <d v="2022-09-21T00:00:00"/>
    <n v="-9.99"/>
    <n v="9.99"/>
    <s v="DE14120700700090007583"/>
    <s v="Blendle B.V. by Stripe via PPRO"/>
    <s v="UIT_VL"/>
    <s v="VASTELASTEN"/>
    <s v="blendle"/>
    <s v="ei"/>
    <m/>
    <s v="4KWBLX4"/>
    <s v="APWBQB4QWWPHQ2CV"/>
    <s v="NL13ZZZ587241090000"/>
    <m/>
    <s v="Blendle B.V. by Stripe via PPRO - BLENDLE PREMIUM"/>
    <s v=" "/>
    <m/>
    <m/>
  </r>
  <r>
    <n v="202210043"/>
    <x v="3"/>
    <s v="EUR"/>
    <x v="6"/>
    <x v="73"/>
    <d v="2022-09-26T00:00:00"/>
    <d v="2022-09-26T00:00:00"/>
    <n v="-20"/>
    <n v="20"/>
    <s v="NL40TRIO0198396716"/>
    <s v="N.V.V."/>
    <s v="UIT_VL"/>
    <s v="VASTELASTEN"/>
    <s v="nvv"/>
    <s v="ei"/>
    <m/>
    <s v="P:A4808-I54296+"/>
    <s v="M20200921-0381604934"/>
    <s v="NL03ZZZ401236030000"/>
    <m/>
    <s v="Jaarlijkse contributie Nederlandse Vereniging voor Veganisme. Dank voor je steun."/>
    <s v=" "/>
    <m/>
    <m/>
  </r>
  <r>
    <n v="202210046"/>
    <x v="3"/>
    <s v="EUR"/>
    <x v="6"/>
    <x v="73"/>
    <d v="2022-09-27T00:00:00"/>
    <d v="2022-09-27T00:00:00"/>
    <n v="-27"/>
    <n v="27"/>
    <s v="NL84COBA0733959520"/>
    <s v="TELE2"/>
    <s v="UIT_VL"/>
    <s v="VASTELASTEN"/>
    <s v="internet_telefoon_NL"/>
    <s v="ei"/>
    <m/>
    <n v="500527935132"/>
    <n v="121325018"/>
    <s v="NL12T2N333034180000"/>
    <m/>
    <s v="Klant 1.21325018 Factuur 901470994974"/>
    <s v=" "/>
    <m/>
    <m/>
  </r>
  <r>
    <n v="202210055"/>
    <x v="0"/>
    <s v="EUR"/>
    <x v="6"/>
    <x v="73"/>
    <d v="2022-09-04T00:00:00"/>
    <m/>
    <n v="-4.99"/>
    <n v="4.99"/>
    <m/>
    <s v="Google Payment IE LTD GooDublin       IRL"/>
    <s v="UIT_VL"/>
    <s v="VASTELASTEN"/>
    <s v="medium"/>
    <m/>
    <m/>
    <m/>
    <m/>
    <m/>
    <m/>
    <m/>
    <m/>
    <m/>
    <m/>
  </r>
  <r>
    <n v="202210057"/>
    <x v="0"/>
    <s v="EUR"/>
    <x v="6"/>
    <x v="72"/>
    <d v="2022-09-18T00:00:00"/>
    <m/>
    <n v="-2.99"/>
    <n v="2.99"/>
    <m/>
    <s v="GOOGLE*GOOGLE STORAGE    IRELAND      IRL"/>
    <s v="UIT_VL"/>
    <s v="VASTELASTEN"/>
    <s v="google storage"/>
    <m/>
    <m/>
    <m/>
    <m/>
    <m/>
    <m/>
    <m/>
    <m/>
    <m/>
    <m/>
  </r>
  <r>
    <n v="202210058"/>
    <x v="0"/>
    <s v="EUR"/>
    <x v="6"/>
    <x v="73"/>
    <d v="2022-09-23T00:00:00"/>
    <m/>
    <n v="-7"/>
    <n v="7"/>
    <m/>
    <s v="PAYPAL *MICROSOFT MICR   35314369001  GBR"/>
    <s v="UIT_VL"/>
    <s v="VASTELASTEN"/>
    <s v="microsoft"/>
    <m/>
    <m/>
    <m/>
    <m/>
    <m/>
    <m/>
    <m/>
    <m/>
    <m/>
    <m/>
  </r>
  <r>
    <n v="202301001"/>
    <x v="3"/>
    <s v="EUR"/>
    <x v="6"/>
    <x v="34"/>
    <d v="2022-10-03T00:00:00"/>
    <d v="2022-10-03T00:00:00"/>
    <n v="-127.75"/>
    <m/>
    <s v="NL11RABO0343685310"/>
    <s v="D.S.W. Zorgverzekeraar"/>
    <s v="UIT_VL"/>
    <s v="VASTELASTEN"/>
    <s v="zorgverzekering"/>
    <s v="ei"/>
    <m/>
    <s v="0535178fb4d24fbf92791e2f8ab62b53"/>
    <n v="606796363200709"/>
    <s v="NL81ZZZ241682080000"/>
    <m/>
    <s v="Kenmerk: 6210156260200027 / Omschrijving: Premie oktober"/>
    <s v=" "/>
    <m/>
    <m/>
  </r>
  <r>
    <n v="202301002"/>
    <x v="3"/>
    <s v="EUR"/>
    <x v="6"/>
    <x v="34"/>
    <d v="2022-10-03T00:00:00"/>
    <d v="2022-10-03T00:00:00"/>
    <n v="-3.52"/>
    <m/>
    <s v="NL98INGB0002712510"/>
    <s v="OHRA Schadeverzekeringen"/>
    <s v="UIT_VL"/>
    <s v="VASTELASTEN"/>
    <s v="avp verzekering"/>
    <s v="ei"/>
    <m/>
    <s v="OH-668654-2209280159-001-16323992"/>
    <n v="3272007"/>
    <s v="NL21ZZZ330520730000"/>
    <m/>
    <s v="Relatie 8405205 / Verschuldigd per 01/10/2022"/>
    <s v=" "/>
    <m/>
    <m/>
  </r>
  <r>
    <n v="202301006"/>
    <x v="3"/>
    <s v="EUR"/>
    <x v="6"/>
    <x v="34"/>
    <d v="2022-10-04T00:00:00"/>
    <d v="2022-10-01T00:00:00"/>
    <n v="-0.8"/>
    <m/>
    <m/>
    <s v="Kosten"/>
    <s v="UIT_VL"/>
    <s v="VASTELASTEN"/>
    <s v="bankkosten"/>
    <s v="db"/>
    <m/>
    <m/>
    <m/>
    <m/>
    <m/>
    <s v="Abonnement maandelijks papieren    rekeningafschrift                  Periode 01-10-2022 t/m 31-10-2022"/>
    <s v=" "/>
    <m/>
    <m/>
  </r>
  <r>
    <n v="202301007"/>
    <x v="3"/>
    <s v="EUR"/>
    <x v="6"/>
    <x v="34"/>
    <d v="2022-10-04T00:00:00"/>
    <d v="2022-10-01T00:00:00"/>
    <n v="-5.65"/>
    <m/>
    <m/>
    <s v="Kosten"/>
    <s v="UIT_VL"/>
    <s v="VASTELASTEN"/>
    <s v="bankkosten"/>
    <s v="db"/>
    <m/>
    <m/>
    <m/>
    <m/>
    <m/>
    <s v="Rabo TotaalPakket                  Periode 01-10-2022 t/m 31-10-2022"/>
    <s v=" "/>
    <m/>
    <m/>
  </r>
  <r>
    <n v="202301017"/>
    <x v="3"/>
    <s v="EUR"/>
    <x v="6"/>
    <x v="34"/>
    <d v="2022-10-10T00:00:00"/>
    <d v="2022-10-10T00:00:00"/>
    <n v="-10"/>
    <m/>
    <s v="NL46RABO0306722054"/>
    <s v="Vesta Payment Solutions"/>
    <s v="UIT_VL"/>
    <s v="VASTELASTEN"/>
    <s v="internet_telefoon_NL"/>
    <s v="id"/>
    <m/>
    <s v="10-10-2022 10:57 0020007261152480"/>
    <m/>
    <m/>
    <m/>
    <s v="Y6T2ZA7VPKV 0020007261152480 EUR10 - Vodafone Opwaarderen x4934 pasnr.032"/>
    <s v=" "/>
    <m/>
    <m/>
  </r>
  <r>
    <n v="202301033"/>
    <x v="3"/>
    <s v="EUR"/>
    <x v="6"/>
    <x v="34"/>
    <d v="2022-10-19T00:00:00"/>
    <d v="2022-10-19T00:00:00"/>
    <n v="-6"/>
    <m/>
    <s v="NL28DEUT0265186439"/>
    <s v="STICHTING DERDENGELDEN BUCKAROO"/>
    <s v="UIT_VL"/>
    <s v="VASTELASTEN"/>
    <s v="foodlog"/>
    <s v="ei"/>
    <m/>
    <s v="SDD123799F19C4E44D8916916BBF179E9A0"/>
    <s v="0W6172F33C5F27B4B868E23B86086A29D5B"/>
    <s v="NL39ZZZ302317620000"/>
    <m/>
    <s v="Foodlog Media B.V. : Foodlog Lid (?202210-29451)"/>
    <s v=" "/>
    <m/>
    <m/>
  </r>
  <r>
    <n v="202301034"/>
    <x v="3"/>
    <s v="EUR"/>
    <x v="6"/>
    <x v="34"/>
    <d v="2022-10-20T00:00:00"/>
    <d v="2022-10-20T00:00:00"/>
    <n v="-9.99"/>
    <m/>
    <s v="DE14120700700090007583"/>
    <s v="Blendle B.V. by Stripe via PPRO"/>
    <s v="UIT_VL"/>
    <s v="VASTELASTEN"/>
    <s v="blendle"/>
    <s v="ei"/>
    <m/>
    <s v="4HKCU6A"/>
    <s v="APWBQB4QWWPHQ2CV"/>
    <s v="NL13ZZZ587241090000"/>
    <m/>
    <s v="Blendle B.V. by Stripe via PPRO - BLENDLE PREMIUM"/>
    <s v=" "/>
    <m/>
    <m/>
  </r>
  <r>
    <n v="202301035"/>
    <x v="3"/>
    <s v="EUR"/>
    <x v="6"/>
    <x v="34"/>
    <d v="2022-10-20T00:00:00"/>
    <d v="2022-10-20T00:00:00"/>
    <n v="112"/>
    <m/>
    <s v="NL86INGB0002445588"/>
    <s v="BELASTINGDIENST"/>
    <s v="UIT_VL"/>
    <s v="VASTELASTEN"/>
    <s v="zorgtoeslag"/>
    <s v="cb"/>
    <m/>
    <s v="COAXX184422682202210171010196611387"/>
    <m/>
    <m/>
    <m/>
    <s v="MAAND NOV. NR. 103261187T200013 VOORSCHOT ZORGTOESLAG 2022 (SMIT ) MEER INFO OP WWW.TOESLAGEN.NL"/>
    <s v=" "/>
    <m/>
    <m/>
  </r>
  <r>
    <n v="202301037"/>
    <x v="3"/>
    <s v="EUR"/>
    <x v="6"/>
    <x v="34"/>
    <d v="2022-10-25T00:00:00"/>
    <d v="2022-10-25T00:00:00"/>
    <n v="-27"/>
    <m/>
    <s v="NL84COBA0733959520"/>
    <s v="TELE2"/>
    <s v="UIT_VL"/>
    <s v="VASTELASTEN"/>
    <s v="internet_telefoon_NL"/>
    <s v="ei"/>
    <m/>
    <n v="501825625804"/>
    <n v="121325018"/>
    <s v="NL12T2N333034180000"/>
    <m/>
    <s v="Klant 1.21325018 Factuur 901474593582"/>
    <s v=" "/>
    <m/>
    <m/>
  </r>
  <r>
    <n v="202301040"/>
    <x v="3"/>
    <s v="EUR"/>
    <x v="6"/>
    <x v="35"/>
    <d v="2022-11-01T00:00:00"/>
    <d v="2022-11-01T00:00:00"/>
    <n v="-127.75"/>
    <m/>
    <s v="NL11RABO0343685310"/>
    <s v="D.S.W. Zorgverzekeraar"/>
    <s v="UIT_VL"/>
    <s v="VASTELASTEN"/>
    <s v="zorgverzekering"/>
    <s v="ei"/>
    <m/>
    <s v="0ed1a4f9d30f49cab2581c3fe1ad79a3"/>
    <n v="606796363200709"/>
    <s v="NL81ZZZ241682080000"/>
    <m/>
    <s v="Kenmerk: 4210156260200028 / Omschrijving: Premie november"/>
    <s v=" "/>
    <m/>
    <m/>
  </r>
  <r>
    <n v="202301041"/>
    <x v="3"/>
    <s v="EUR"/>
    <x v="6"/>
    <x v="35"/>
    <d v="2022-11-01T00:00:00"/>
    <d v="2022-11-01T00:00:00"/>
    <n v="-3.52"/>
    <m/>
    <s v="NL98INGB0002712510"/>
    <s v="OHRA Schadeverzekeringen"/>
    <s v="UIT_VL"/>
    <s v="VASTELASTEN"/>
    <s v="avp verzekering"/>
    <s v="ei"/>
    <m/>
    <s v="OH-669696-2210290609-001-16956304"/>
    <n v="3272007"/>
    <s v="NL21ZZZ330520730000"/>
    <m/>
    <s v="Relatie 8405205 / Verschuldigd per 01/11/2022"/>
    <s v=" "/>
    <m/>
    <m/>
  </r>
  <r>
    <n v="202301042"/>
    <x v="3"/>
    <s v="EUR"/>
    <x v="6"/>
    <x v="35"/>
    <d v="2022-11-02T00:00:00"/>
    <d v="2022-11-01T00:00:00"/>
    <n v="-0.8"/>
    <m/>
    <m/>
    <s v="Kosten"/>
    <s v="UIT_VL"/>
    <s v="VASTELASTEN"/>
    <s v="bankkosten"/>
    <s v="db"/>
    <m/>
    <m/>
    <m/>
    <m/>
    <m/>
    <s v="Abonnement maandelijks papieren    rekeningafschrift                  Periode 01-11-2022 t/m 30-11-2022"/>
    <s v=" "/>
    <m/>
    <m/>
  </r>
  <r>
    <n v="202301043"/>
    <x v="3"/>
    <s v="EUR"/>
    <x v="6"/>
    <x v="35"/>
    <d v="2022-11-02T00:00:00"/>
    <d v="2022-11-01T00:00:00"/>
    <n v="-5.65"/>
    <m/>
    <m/>
    <s v="Kosten"/>
    <s v="UIT_VL"/>
    <s v="VASTELASTEN"/>
    <s v="bankkosten"/>
    <s v="db"/>
    <m/>
    <m/>
    <m/>
    <m/>
    <m/>
    <s v="Rabo TotaalPakket                  Periode 01-11-2022 t/m 30-11-2022"/>
    <s v=" "/>
    <m/>
    <m/>
  </r>
  <r>
    <n v="202301068"/>
    <x v="3"/>
    <s v="EUR"/>
    <x v="6"/>
    <x v="35"/>
    <d v="2022-11-17T00:00:00"/>
    <d v="2022-11-17T00:00:00"/>
    <n v="-6"/>
    <m/>
    <s v="NL28DEUT0265186439"/>
    <s v="STICHTING DERDENGELDEN BUCKAROO"/>
    <s v="UIT_VL"/>
    <s v="VASTELASTEN"/>
    <s v="foodlog"/>
    <s v="ei"/>
    <m/>
    <s v="SDD1DB2D43F807649889AD3F547560AA501"/>
    <s v="0W6172F33C5F27B4B868E23B86086A29D5B"/>
    <s v="NL39ZZZ302317620000"/>
    <m/>
    <s v="Foodlog Media B.V. : Foodlog Lid (?202211-29681)"/>
    <s v=" "/>
    <m/>
    <m/>
  </r>
  <r>
    <n v="202301070"/>
    <x v="3"/>
    <s v="EUR"/>
    <x v="6"/>
    <x v="35"/>
    <d v="2022-11-21T00:00:00"/>
    <d v="2022-11-21T00:00:00"/>
    <n v="112"/>
    <m/>
    <s v="NL86INGB0002445588"/>
    <s v="BELASTINGDIENST"/>
    <s v="UIT_VL"/>
    <s v="VASTELASTEN"/>
    <s v="zorgtoeslag"/>
    <s v="cb"/>
    <m/>
    <s v="COAXX404425667202211161010170459065"/>
    <m/>
    <m/>
    <m/>
    <s v="MAAND DEC. NR. 103261187T200013 VOORSCHOT ZORGTOESLAG 2022 (SMIT ) MEER INFO OP WWW.TOESLAGEN.NL"/>
    <s v=" "/>
    <m/>
    <m/>
  </r>
  <r>
    <n v="202301074"/>
    <x v="3"/>
    <s v="EUR"/>
    <x v="6"/>
    <x v="35"/>
    <d v="2022-11-22T00:00:00"/>
    <d v="2022-11-22T00:00:00"/>
    <n v="-20"/>
    <m/>
    <s v="NL94TRIO0212486934"/>
    <s v="Partij voor de Dieren"/>
    <s v="UIT_VL"/>
    <s v="VASTELASTEN"/>
    <s v="pvdd"/>
    <s v="ei"/>
    <m/>
    <s v="63690-6366837"/>
    <s v="20201117-63690"/>
    <s v="NL91ZZZ341810130000"/>
    <m/>
    <s v=" "/>
    <s v=" "/>
    <m/>
    <m/>
  </r>
  <r>
    <n v="202301075"/>
    <x v="3"/>
    <s v="EUR"/>
    <x v="6"/>
    <x v="35"/>
    <d v="2022-11-22T00:00:00"/>
    <d v="2022-11-22T00:00:00"/>
    <n v="-9.99"/>
    <m/>
    <s v="DE14120700700090007583"/>
    <s v="Blendle B.V. by Stripe via PPRO"/>
    <s v="UIT_VL"/>
    <s v="VASTELASTEN"/>
    <s v="blendle"/>
    <s v="ei"/>
    <m/>
    <s v="63MS36Q"/>
    <s v="APWBQB4QWWPHQ2CV"/>
    <s v="NL13ZZZ587241090000"/>
    <m/>
    <s v="Blendle B.V. by Stripe via PPRO - BLENDLE PREMIUM"/>
    <s v=" "/>
    <m/>
    <m/>
  </r>
  <r>
    <n v="202301078"/>
    <x v="3"/>
    <s v="EUR"/>
    <x v="6"/>
    <x v="35"/>
    <d v="2022-11-25T00:00:00"/>
    <d v="2022-11-25T00:00:00"/>
    <n v="-7.84"/>
    <m/>
    <s v="NL84COBA0733959520"/>
    <s v="TELE2"/>
    <s v="UIT_VL"/>
    <s v="VASTELASTEN"/>
    <s v="internet_telefoon_NL"/>
    <s v="ei"/>
    <m/>
    <n v="501826076026"/>
    <n v="121325018"/>
    <s v="NL12T2N333034180000"/>
    <m/>
    <s v="Klant 1.21325018 Factuur 901478708829"/>
    <s v=" "/>
    <m/>
    <m/>
  </r>
  <r>
    <n v="202301081"/>
    <x v="3"/>
    <s v="EUR"/>
    <x v="6"/>
    <x v="33"/>
    <d v="2022-12-01T00:00:00"/>
    <d v="2022-12-01T00:00:00"/>
    <n v="-127.75"/>
    <m/>
    <s v="NL11RABO0343685310"/>
    <s v="D.S.W. Zorgverzekeraar"/>
    <s v="UIT_VL"/>
    <s v="VASTELASTEN"/>
    <s v="zorgverzekering"/>
    <s v="ei"/>
    <m/>
    <s v="fa1b34ebf7a6448e9cda4c827ae3b6a1"/>
    <n v="606796363200709"/>
    <s v="NL81ZZZ241682080000"/>
    <m/>
    <s v="Kenmerk: 2210156260200029 / Omschrijving: Premie december"/>
    <s v=" "/>
    <m/>
    <m/>
  </r>
  <r>
    <n v="202301082"/>
    <x v="3"/>
    <s v="EUR"/>
    <x v="6"/>
    <x v="33"/>
    <d v="2022-12-01T00:00:00"/>
    <d v="2022-12-01T00:00:00"/>
    <n v="-3.52"/>
    <m/>
    <s v="NL98INGB0002712510"/>
    <s v="OHRA Schadeverzekeringen"/>
    <s v="UIT_VL"/>
    <s v="VASTELASTEN"/>
    <s v="avp verzekering"/>
    <s v="ei"/>
    <m/>
    <s v="OH-670702-2211280152-001-17576083"/>
    <n v="3272007"/>
    <s v="NL21ZZZ330520730000"/>
    <m/>
    <s v="Relatie 8405205 / Verschuldigd per 01/12/2022"/>
    <s v=" "/>
    <m/>
    <m/>
  </r>
  <r>
    <n v="202301084"/>
    <x v="3"/>
    <s v="EUR"/>
    <x v="6"/>
    <x v="33"/>
    <d v="2022-12-02T00:00:00"/>
    <d v="2022-12-01T00:00:00"/>
    <n v="-0.8"/>
    <m/>
    <m/>
    <s v="Kosten"/>
    <s v="UIT_VL"/>
    <s v="VASTELASTEN"/>
    <s v="bankkosten"/>
    <s v="db"/>
    <m/>
    <m/>
    <m/>
    <m/>
    <m/>
    <s v="Abonnement maandelijks papieren    rekeningafschrift                  Periode 01-12-2022 t/m 31-12-2022"/>
    <s v=" "/>
    <m/>
    <m/>
  </r>
  <r>
    <n v="202301085"/>
    <x v="3"/>
    <s v="EUR"/>
    <x v="6"/>
    <x v="33"/>
    <d v="2022-12-02T00:00:00"/>
    <d v="2022-12-01T00:00:00"/>
    <n v="-5.65"/>
    <m/>
    <m/>
    <s v="Kosten"/>
    <s v="UIT_VL"/>
    <s v="VASTELASTEN"/>
    <s v="bankkosten"/>
    <s v="db"/>
    <m/>
    <m/>
    <m/>
    <m/>
    <m/>
    <s v="Rabo TotaalPakket                  Periode 01-12-2022 t/m 31-12-2022"/>
    <s v=" "/>
    <m/>
    <m/>
  </r>
  <r>
    <n v="202301089"/>
    <x v="3"/>
    <s v="EUR"/>
    <x v="6"/>
    <x v="33"/>
    <d v="2022-12-20T00:00:00"/>
    <d v="2022-12-20T00:00:00"/>
    <n v="-6"/>
    <m/>
    <s v="NL28DEUT0265186439"/>
    <s v="STICHTING DERDENGELDEN BUCKAROO"/>
    <s v="UIT_VL"/>
    <s v="VASTELASTEN"/>
    <s v="foodlog"/>
    <s v="ei"/>
    <m/>
    <s v="SDD64801C7926EF4B58815FF8FF074AA2E4"/>
    <s v="0W6172F33C5F27B4B868E23B86086A29D5B"/>
    <s v="NL39ZZZ302317620000"/>
    <m/>
    <s v="Foodlog Media B.V. : Foodlog Lid (?202212-29921)"/>
    <s v=" "/>
    <m/>
    <m/>
  </r>
  <r>
    <n v="202301090"/>
    <x v="3"/>
    <s v="EUR"/>
    <x v="6"/>
    <x v="33"/>
    <d v="2022-12-20T00:00:00"/>
    <d v="2022-12-20T00:00:00"/>
    <n v="154"/>
    <m/>
    <s v="NL86INGB0002445588"/>
    <s v="BELASTINGDIENST"/>
    <s v="UIT_VL"/>
    <s v="VASTELASTEN"/>
    <s v="zorgtoeslag"/>
    <s v="cb"/>
    <m/>
    <s v="COAXX183905890202212151043062428281"/>
    <m/>
    <m/>
    <m/>
    <s v="MAAND JAN. NR. 103261187T300013 VOORSCHOT ZORGTOESLAG 2023 (SMIT ) MEER INFO OP WWW.TOESLAGEN.NL"/>
    <s v=" "/>
    <m/>
    <m/>
  </r>
  <r>
    <n v="202301091"/>
    <x v="3"/>
    <s v="EUR"/>
    <x v="6"/>
    <x v="33"/>
    <d v="2022-12-21T00:00:00"/>
    <d v="2022-12-21T00:00:00"/>
    <n v="-9.99"/>
    <m/>
    <s v="DE14120700700090007583"/>
    <s v="Blendle B.V. by Stripe via PPRO"/>
    <s v="UIT_VL"/>
    <s v="VASTELASTEN"/>
    <s v="blendle"/>
    <s v="ei"/>
    <m/>
    <s v="6CHQSBX"/>
    <s v="APWBQB4QWWPHQ2CV"/>
    <s v="NL13ZZZ587241090000"/>
    <m/>
    <s v="Blendle B.V. by Stripe via PPRO - BLENDLE PREMIUM"/>
    <s v=" "/>
    <m/>
    <m/>
  </r>
  <r>
    <n v="202301103"/>
    <x v="0"/>
    <m/>
    <x v="6"/>
    <x v="34"/>
    <d v="2022-10-04T00:00:00"/>
    <m/>
    <n v="-4.99"/>
    <m/>
    <m/>
    <s v="Google Payment IE LTD GooDublin       IRL"/>
    <s v="UIT_VL"/>
    <s v="VASTELASTEN"/>
    <s v="medium"/>
    <m/>
    <m/>
    <m/>
    <m/>
    <m/>
    <m/>
    <m/>
    <m/>
    <m/>
    <m/>
  </r>
  <r>
    <n v="202301106"/>
    <x v="0"/>
    <m/>
    <x v="6"/>
    <x v="34"/>
    <d v="2022-10-14T00:00:00"/>
    <m/>
    <n v="-4.5"/>
    <m/>
    <m/>
    <s v="Kosten geldautomaat"/>
    <s v="UIT_VL"/>
    <s v="VASTELASTEN"/>
    <s v="bankkosten"/>
    <m/>
    <m/>
    <m/>
    <m/>
    <m/>
    <m/>
    <m/>
    <m/>
    <m/>
    <m/>
  </r>
  <r>
    <n v="202301108"/>
    <x v="0"/>
    <m/>
    <x v="6"/>
    <x v="34"/>
    <d v="2022-10-19T00:00:00"/>
    <m/>
    <n v="-2.99"/>
    <m/>
    <m/>
    <s v="Google Payment IE LTD GooDublin       IRL"/>
    <s v="UIT_VL"/>
    <s v="VASTELASTEN"/>
    <s v="google storage"/>
    <m/>
    <m/>
    <m/>
    <m/>
    <m/>
    <m/>
    <m/>
    <m/>
    <m/>
    <m/>
  </r>
  <r>
    <n v="202301114"/>
    <x v="0"/>
    <m/>
    <x v="6"/>
    <x v="35"/>
    <d v="2022-11-03T00:00:00"/>
    <m/>
    <n v="-4.99"/>
    <m/>
    <m/>
    <s v="GOOGLE*GOOGLE PLAY APP   IRELAND      IRL"/>
    <s v="UIT_VL"/>
    <s v="VASTELASTEN"/>
    <s v="medium"/>
    <m/>
    <m/>
    <m/>
    <m/>
    <m/>
    <m/>
    <m/>
    <m/>
    <m/>
    <m/>
  </r>
  <r>
    <n v="202301119"/>
    <x v="0"/>
    <m/>
    <x v="6"/>
    <x v="35"/>
    <d v="2022-11-18T00:00:00"/>
    <m/>
    <n v="-2.99"/>
    <m/>
    <m/>
    <s v="GOOGLE*GOOGLE STORAGE    IRELAND      IRL"/>
    <s v="UIT_VL"/>
    <s v="VASTELASTEN"/>
    <s v="google storage"/>
    <m/>
    <m/>
    <m/>
    <m/>
    <m/>
    <m/>
    <m/>
    <m/>
    <m/>
    <m/>
  </r>
  <r>
    <n v="202301123"/>
    <x v="0"/>
    <m/>
    <x v="6"/>
    <x v="33"/>
    <d v="2022-12-03T00:00:00"/>
    <m/>
    <n v="-4.99"/>
    <m/>
    <m/>
    <s v="GOOGLE*GOOGLE PLAY APP   IRELAND      IRL"/>
    <s v="UIT_VL"/>
    <s v="VASTELASTEN"/>
    <s v="medium"/>
    <m/>
    <m/>
    <m/>
    <m/>
    <m/>
    <m/>
    <m/>
    <m/>
    <m/>
    <m/>
  </r>
  <r>
    <n v="202301126"/>
    <x v="0"/>
    <m/>
    <x v="6"/>
    <x v="33"/>
    <d v="2022-12-19T00:00:00"/>
    <m/>
    <n v="-2.99"/>
    <m/>
    <m/>
    <s v="GOOGLE *Google Storage   g.co/HelpPay#IRL"/>
    <s v="UIT_VL"/>
    <s v="VASTELASTEN"/>
    <s v="google storage"/>
    <m/>
    <m/>
    <m/>
    <m/>
    <m/>
    <m/>
    <m/>
    <m/>
    <m/>
    <m/>
  </r>
  <r>
    <n v="202301127"/>
    <x v="0"/>
    <m/>
    <x v="6"/>
    <x v="33"/>
    <d v="2022-12-23T00:00:00"/>
    <m/>
    <n v="-1.66"/>
    <m/>
    <m/>
    <s v="PAYPAL *MICROSOFT        35314369001  GBR"/>
    <s v="UIT_VL"/>
    <s v="VASTELASTEN"/>
    <s v="microsoft"/>
    <m/>
    <m/>
    <m/>
    <m/>
    <m/>
    <m/>
    <m/>
    <m/>
    <m/>
    <m/>
  </r>
  <r>
    <n v="202305001"/>
    <x v="3"/>
    <s v="EUR"/>
    <x v="0"/>
    <x v="42"/>
    <d v="2023-01-02T00:00:00"/>
    <d v="2023-01-02T00:00:00"/>
    <n v="-3.52"/>
    <n v="149.83000000000001"/>
    <s v="NL98INGB0002712510"/>
    <s v="OHRA Schadeverzekeringen"/>
    <s v="UIT_VL"/>
    <s v="VASTELASTEN"/>
    <s v="avp verzekering"/>
    <n v="149.83000000000001"/>
    <m/>
    <s v="OH-671582-2212290157-001-18196773"/>
    <n v="3272007"/>
    <s v="NL21ZZZ330520730000"/>
    <m/>
    <s v="Relatie 8405205 / Verschuldigd per 01/01/2023"/>
    <s v=" "/>
    <m/>
    <m/>
  </r>
  <r>
    <n v="202305003"/>
    <x v="3"/>
    <s v="EUR"/>
    <x v="0"/>
    <x v="42"/>
    <d v="2023-01-03T00:00:00"/>
    <d v="2023-01-01T00:00:00"/>
    <n v="-0.8"/>
    <n v="80.91"/>
    <m/>
    <s v="Kosten"/>
    <s v="UIT_VL"/>
    <s v="VASTELASTEN"/>
    <s v="bankkosten"/>
    <n v="80.91"/>
    <m/>
    <m/>
    <m/>
    <m/>
    <m/>
    <s v="Abonnement maandelijks papieren    rekeningafschrift                  Periode 01-01-2023 t/m 31-01-2023"/>
    <s v=" "/>
    <m/>
    <m/>
  </r>
  <r>
    <n v="202305004"/>
    <x v="3"/>
    <s v="EUR"/>
    <x v="0"/>
    <x v="42"/>
    <d v="2023-01-03T00:00:00"/>
    <d v="2023-01-01T00:00:00"/>
    <n v="-5.65"/>
    <n v="75.260000000000005"/>
    <m/>
    <s v="Kosten"/>
    <s v="UIT_VL"/>
    <s v="VASTELASTEN"/>
    <s v="bankkosten"/>
    <n v="75.260000000000005"/>
    <m/>
    <m/>
    <m/>
    <m/>
    <m/>
    <s v="Rabo TotaalPakket                  Periode 01-01-2023 t/m 31-01-2023"/>
    <s v=" "/>
    <m/>
    <m/>
  </r>
  <r>
    <n v="202305006"/>
    <x v="3"/>
    <s v="EUR"/>
    <x v="0"/>
    <x v="42"/>
    <d v="2023-01-06T00:00:00"/>
    <d v="2023-01-06T00:00:00"/>
    <n v="-137.5"/>
    <n v="-44.51"/>
    <s v="NL11RABO0343685310"/>
    <s v="D.S.W. Zorgverzekeraar"/>
    <s v="UIT_VL"/>
    <s v="VASTELASTEN"/>
    <s v="zorgverzekering"/>
    <n v="-44.51"/>
    <m/>
    <s v="9c26fc3a9b8b470b926a53ac1fe5f696"/>
    <n v="606796363200709"/>
    <s v="NL81ZZZ241682080000"/>
    <m/>
    <s v="Kenmerk: 5210156260200030 / Omschrijving: Premie januari"/>
    <s v=" "/>
    <m/>
    <m/>
  </r>
  <r>
    <n v="202305007"/>
    <x v="3"/>
    <s v="EUR"/>
    <x v="0"/>
    <x v="42"/>
    <d v="2023-01-18T00:00:00"/>
    <d v="2023-01-18T00:00:00"/>
    <n v="-6"/>
    <n v="-50.51"/>
    <s v="NL28DEUT0265186439"/>
    <s v="STICHTING DERDENGELDEN BUCKAROO"/>
    <s v="UIT_VL"/>
    <s v="VASTELASTEN"/>
    <s v="foodlog"/>
    <n v="-50.51"/>
    <m/>
    <s v="SDDFA2D9234860B4213B5A0019415088F70"/>
    <s v="0W6172F33C5F27B4B868E23B86086A29D5B"/>
    <s v="NL39ZZZ302317620000"/>
    <m/>
    <s v="Foodlog Media B.V. : Foodlog Lid (?202301-35744)"/>
    <s v=" "/>
    <m/>
    <m/>
  </r>
  <r>
    <n v="202305010"/>
    <x v="3"/>
    <s v="EUR"/>
    <x v="0"/>
    <x v="42"/>
    <d v="2023-01-20T00:00:00"/>
    <d v="2023-01-20T00:00:00"/>
    <n v="-9.99"/>
    <n v="405.65"/>
    <s v="IE30CITI99005132956548"/>
    <s v="BLENDLE"/>
    <s v="UIT_VL"/>
    <s v="VASTELASTEN"/>
    <s v="blendle"/>
    <n v="405.65"/>
    <m/>
    <s v="STR16NANBASQTFJ2ULDXCRANEO3QDFCC9B"/>
    <s v="APWBQB4QWWPHQ2CV"/>
    <s v="NL13ZZZ587241090000"/>
    <m/>
    <s v="Blendle Premium"/>
    <s v=" "/>
    <m/>
    <m/>
  </r>
  <r>
    <n v="202305011"/>
    <x v="3"/>
    <s v="EUR"/>
    <x v="0"/>
    <x v="42"/>
    <d v="2023-01-20T00:00:00"/>
    <d v="2023-01-20T00:00:00"/>
    <n v="-5"/>
    <n v="400.65"/>
    <s v="NL74INGB0004527327"/>
    <s v="STICHTING J O H O"/>
    <s v="UIT_VL"/>
    <s v="VASTELASTEN"/>
    <s v="div"/>
    <n v="400.65"/>
    <m/>
    <s v="D20230118-1262381630-13034543555191"/>
    <n v="316648"/>
    <s v="NL87ZZZ281004790000"/>
    <m/>
    <s v="Jaarbijdrage JoHo PN:316648-268468"/>
    <s v=" "/>
    <m/>
    <m/>
  </r>
  <r>
    <n v="202305012"/>
    <x v="3"/>
    <s v="EUR"/>
    <x v="0"/>
    <x v="42"/>
    <d v="2023-01-20T00:00:00"/>
    <d v="2023-01-20T00:00:00"/>
    <n v="-67.2"/>
    <n v="333.45"/>
    <s v="NL14ABNA0576850675"/>
    <s v="NS GROEP IZ NS REIZIGERS"/>
    <s v="UIT_VL"/>
    <s v="VASTELASTEN"/>
    <s v="ovchipabo"/>
    <n v="333.45"/>
    <m/>
    <n v="250001452145"/>
    <n v="200000512223"/>
    <s v="NL03ZZZ301243580000"/>
    <m/>
    <s v="Factuur: 420008984978"/>
    <s v=" "/>
    <m/>
    <m/>
  </r>
  <r>
    <n v="202305013"/>
    <x v="3"/>
    <s v="EUR"/>
    <x v="0"/>
    <x v="42"/>
    <d v="2023-01-20T00:00:00"/>
    <d v="2023-01-20T00:00:00"/>
    <n v="154"/>
    <n v="487.45"/>
    <s v="NL86INGB0002445588"/>
    <s v="BELASTINGDIENST"/>
    <s v="UIT_VL"/>
    <s v="VASTELASTEN"/>
    <s v="zorgtoeslag"/>
    <n v="487.45"/>
    <m/>
    <s v="COAXX782757605202301171010255120604"/>
    <m/>
    <m/>
    <m/>
    <s v="MAAND FEB. NR. 103261187T300013 VOORSCHOT ZORGTOESLAG 2023 (SMIT ) MEER INFO OP WWW.TOESLAGEN.NL"/>
    <s v=" "/>
    <m/>
    <m/>
  </r>
  <r>
    <n v="202305015"/>
    <x v="3"/>
    <s v="EUR"/>
    <x v="0"/>
    <x v="0"/>
    <d v="2023-02-01T00:00:00"/>
    <d v="2023-02-01T00:00:00"/>
    <n v="-137.5"/>
    <n v="341.97"/>
    <s v="NL11RABO0343685310"/>
    <s v="D.S.W. Zorgverzekeraar"/>
    <s v="UIT_VL"/>
    <s v="VASTELASTEN"/>
    <s v="zorgverzekering"/>
    <n v="341.97"/>
    <m/>
    <s v="c742da95a47348a5be1c37b70fa3c163"/>
    <n v="606796363200709"/>
    <s v="NL81ZZZ241682080000"/>
    <m/>
    <s v="Kenmerk: 3210156260200031 / Omschrijving: Premie februari"/>
    <s v=" "/>
    <m/>
    <m/>
  </r>
  <r>
    <n v="202305016"/>
    <x v="3"/>
    <s v="EUR"/>
    <x v="0"/>
    <x v="0"/>
    <d v="2023-02-01T00:00:00"/>
    <d v="2023-02-01T00:00:00"/>
    <n v="-3.52"/>
    <n v="338.45"/>
    <s v="NL98INGB0002712510"/>
    <s v="OHRA Schadeverzekeringen"/>
    <s v="UIT_VL"/>
    <s v="VASTELASTEN"/>
    <s v="avp verzekering"/>
    <n v="338.45"/>
    <m/>
    <s v="OH-672718-2301290159-001-18823468"/>
    <n v="3272007"/>
    <s v="NL21ZZZ330520730000"/>
    <m/>
    <s v="Relatie 8405205 / Verschuldigd per 01/02/2023"/>
    <s v=" "/>
    <m/>
    <m/>
  </r>
  <r>
    <n v="202305018"/>
    <x v="3"/>
    <s v="EUR"/>
    <x v="0"/>
    <x v="0"/>
    <d v="2023-02-02T00:00:00"/>
    <d v="2023-02-01T00:00:00"/>
    <n v="-0.13"/>
    <n v="270.2"/>
    <m/>
    <s v="Debetrente"/>
    <s v="UIT_VL"/>
    <s v="VASTELASTEN"/>
    <s v="bankkosten"/>
    <n v="270.2"/>
    <m/>
    <m/>
    <m/>
    <m/>
    <m/>
    <s v="Periode 01-01-2023 t/m 31-01-2023"/>
    <s v=" "/>
    <m/>
    <m/>
  </r>
  <r>
    <n v="202305019"/>
    <x v="3"/>
    <s v="EUR"/>
    <x v="0"/>
    <x v="0"/>
    <d v="2023-02-02T00:00:00"/>
    <d v="2023-02-01T00:00:00"/>
    <n v="-0.8"/>
    <n v="269.39999999999998"/>
    <m/>
    <s v="Kosten"/>
    <s v="UIT_VL"/>
    <s v="VASTELASTEN"/>
    <s v="bankkosten"/>
    <n v="269.39999999999998"/>
    <m/>
    <m/>
    <m/>
    <m/>
    <m/>
    <s v="Abonnement maandelijks papieren    rekeningafschrift                  Periode 01-02-2023 t/m 28-02-2023"/>
    <s v=" "/>
    <m/>
    <m/>
  </r>
  <r>
    <n v="202305020"/>
    <x v="3"/>
    <s v="EUR"/>
    <x v="0"/>
    <x v="0"/>
    <d v="2023-02-02T00:00:00"/>
    <d v="2023-02-01T00:00:00"/>
    <n v="-5.65"/>
    <n v="263.75"/>
    <m/>
    <s v="Kosten"/>
    <s v="UIT_VL"/>
    <s v="VASTELASTEN"/>
    <s v="bankkosten"/>
    <n v="263.75"/>
    <m/>
    <m/>
    <m/>
    <m/>
    <m/>
    <s v="Rabo TotaalPakket                  Periode 01-02-2023 t/m 28-02-2023"/>
    <s v=" "/>
    <m/>
    <m/>
  </r>
  <r>
    <n v="202305021"/>
    <x v="3"/>
    <s v="EUR"/>
    <x v="0"/>
    <x v="0"/>
    <d v="2023-02-17T00:00:00"/>
    <d v="2023-02-17T00:00:00"/>
    <n v="-6"/>
    <n v="257.75"/>
    <s v="NL28DEUT0265186439"/>
    <s v="STICHTING DERDENGELDEN BUCKAROO"/>
    <s v="UIT_VL"/>
    <s v="VASTELASTEN"/>
    <s v="foodlog"/>
    <n v="257.75"/>
    <m/>
    <s v="SDD76270223FA5B49948BEFB26DCA279454"/>
    <s v="0W6172F33C5F27B4B868E23B86086A29D5B"/>
    <s v="NL39ZZZ302317620000"/>
    <m/>
    <s v="Foodlog Media B.V. : Foodlog Lid (?202302-43912)"/>
    <s v=" "/>
    <m/>
    <m/>
  </r>
  <r>
    <n v="202305023"/>
    <x v="3"/>
    <s v="EUR"/>
    <x v="0"/>
    <x v="0"/>
    <d v="2023-02-20T00:00:00"/>
    <d v="2023-02-20T00:00:00"/>
    <n v="155"/>
    <n v="412.74"/>
    <s v="NL86INGB0002445588"/>
    <s v="BELASTINGDIENST"/>
    <s v="UIT_VL"/>
    <s v="VASTELASTEN"/>
    <s v="zorgtoeslag"/>
    <n v="412.74"/>
    <m/>
    <s v="COAXX429847369202302151010317722411"/>
    <m/>
    <m/>
    <m/>
    <s v="MAAND MRT. NR. 103261187T300013 VOORSCHOT ZORGTOESLAG 2023 (SMIT ) MEER INFO OP WWW.TOESLAGEN.NL"/>
    <s v=" "/>
    <m/>
    <m/>
  </r>
  <r>
    <n v="202305024"/>
    <x v="3"/>
    <s v="EUR"/>
    <x v="0"/>
    <x v="0"/>
    <d v="2023-02-21T00:00:00"/>
    <d v="2023-02-21T00:00:00"/>
    <n v="-37"/>
    <n v="375.74"/>
    <s v="NL62ABNA0462625036"/>
    <s v="BUDGET MOBIEL"/>
    <s v="UIT_VL"/>
    <s v="VASTELASTEN"/>
    <s v="internet_telefoon_NL"/>
    <n v="375.74"/>
    <m/>
    <n v="123266531"/>
    <n v="3.1368578202302099E+17"/>
    <s v="NL74ZZZ569035880000"/>
    <m/>
    <s v="A239372395/+31629786234 - aanmelding onbeperkt + eenmalige aansluitkosten (kenmerk: 6200-0000-3136-8578)"/>
    <s v=" "/>
    <m/>
    <m/>
  </r>
  <r>
    <n v="202305025"/>
    <x v="3"/>
    <s v="EUR"/>
    <x v="0"/>
    <x v="0"/>
    <d v="2023-02-22T00:00:00"/>
    <d v="2023-02-22T00:00:00"/>
    <n v="-9.99"/>
    <n v="365.75"/>
    <s v="IE30CITI99005132956548"/>
    <s v="BLENDLE"/>
    <s v="UIT_VL"/>
    <s v="VASTELASTEN"/>
    <s v="blendle"/>
    <n v="365.75"/>
    <m/>
    <s v="STR16NANNCUORM9AMDOH7RAN1CHW83ZIGP"/>
    <s v="APWBQB4QWWPHQ2CV"/>
    <s v="NL13ZZZ587241090000"/>
    <m/>
    <s v="Blendle Premium"/>
    <s v=" "/>
    <m/>
    <m/>
  </r>
  <r>
    <n v="202305030"/>
    <x v="3"/>
    <s v="EUR"/>
    <x v="0"/>
    <x v="0"/>
    <d v="2023-02-28T00:00:00"/>
    <d v="2023-02-28T00:00:00"/>
    <n v="-37.5"/>
    <n v="294.98"/>
    <s v="NL11RABO0343685310"/>
    <s v="D.S.W. Zorgverzekeraar"/>
    <s v="UIT_VL"/>
    <s v="VASTELASTEN"/>
    <s v="zorgverzekering eigen risico"/>
    <n v="294.98"/>
    <m/>
    <s v="94441083654a4cfe80d777fe8ecf144c"/>
    <n v="606796363200709"/>
    <s v="NL81ZZZ241682080000"/>
    <m/>
    <s v="Kenmerk: 1210156260200033 / Omschrijving: Gespreid betalen eigen risico februari"/>
    <s v=" "/>
    <m/>
    <m/>
  </r>
  <r>
    <n v="202305035"/>
    <x v="3"/>
    <s v="EUR"/>
    <x v="0"/>
    <x v="74"/>
    <d v="2023-03-01T00:00:00"/>
    <d v="2023-03-01T00:00:00"/>
    <n v="-137.5"/>
    <n v="25.45"/>
    <s v="NL11RABO0343685310"/>
    <s v="D.S.W. Zorgverzekeraar"/>
    <s v="UIT_VL"/>
    <s v="VASTELASTEN"/>
    <s v="zorgverzekering"/>
    <n v="25.45"/>
    <m/>
    <s v="2970d27def80418abf282d912826af84"/>
    <n v="606796363200709"/>
    <s v="NL81ZZZ241682080000"/>
    <m/>
    <s v="Kenmerk: 1210156260200032 / Omschrijving: Premie maart"/>
    <s v=" "/>
    <m/>
    <m/>
  </r>
  <r>
    <n v="202305036"/>
    <x v="3"/>
    <s v="EUR"/>
    <x v="0"/>
    <x v="74"/>
    <d v="2023-03-01T00:00:00"/>
    <d v="2023-03-01T00:00:00"/>
    <n v="-3.52"/>
    <n v="21.93"/>
    <s v="NL98INGB0002712510"/>
    <s v="OHRA Schadeverzekeringen"/>
    <s v="UIT_VL"/>
    <s v="VASTELASTEN"/>
    <s v="avp verzekering"/>
    <n v="21.93"/>
    <m/>
    <s v="OH-673816-2302260155-001-19437629"/>
    <n v="3272007"/>
    <s v="NL21ZZZ330520730000"/>
    <m/>
    <s v="Relatie 8405205 / Verschuldigd per 01/03/2023"/>
    <s v=" "/>
    <m/>
    <m/>
  </r>
  <r>
    <n v="202305037"/>
    <x v="3"/>
    <s v="EUR"/>
    <x v="0"/>
    <x v="74"/>
    <d v="2023-03-02T00:00:00"/>
    <d v="2023-03-01T00:00:00"/>
    <n v="-0.8"/>
    <n v="21.13"/>
    <m/>
    <s v="Kosten"/>
    <s v="UIT_VL"/>
    <s v="VASTELASTEN"/>
    <s v="bankkosten"/>
    <n v="21.13"/>
    <m/>
    <m/>
    <m/>
    <m/>
    <m/>
    <s v="Abonnement maandelijks papieren    rekeningafschrift                  Periode 01-03-2023 t/m 31-03-2023"/>
    <s v=" "/>
    <m/>
    <m/>
  </r>
  <r>
    <n v="202305038"/>
    <x v="3"/>
    <s v="EUR"/>
    <x v="0"/>
    <x v="74"/>
    <d v="2023-03-02T00:00:00"/>
    <d v="2023-03-01T00:00:00"/>
    <n v="-5.65"/>
    <n v="15.48"/>
    <m/>
    <s v="Kosten"/>
    <s v="UIT_VL"/>
    <s v="VASTELASTEN"/>
    <s v="bankkosten"/>
    <n v="15.48"/>
    <m/>
    <m/>
    <m/>
    <m/>
    <m/>
    <s v="Rabo TotaalPakket                  Periode 01-03-2023 t/m 31-03-2023"/>
    <s v=" "/>
    <m/>
    <m/>
  </r>
  <r>
    <n v="202305048"/>
    <x v="3"/>
    <s v="EUR"/>
    <x v="0"/>
    <x v="74"/>
    <d v="2023-03-14T00:00:00"/>
    <d v="2023-03-14T00:00:00"/>
    <n v="-22"/>
    <n v="340.51"/>
    <s v="NL62ABNA0462625036"/>
    <s v="BUDGET MOBIEL"/>
    <s v="UIT_VL"/>
    <s v="VASTELASTEN"/>
    <s v="internet_telefoon_NL"/>
    <n v="340.51"/>
    <m/>
    <n v="124464509"/>
    <n v="3.1368578202302099E+17"/>
    <s v="NL74ZZZ569035880000"/>
    <m/>
    <s v="O239551516/+31623367072 - onbeperkt (kenmerk: 6200-0000-3136-8578)"/>
    <s v=" "/>
    <m/>
    <m/>
  </r>
  <r>
    <n v="202305052"/>
    <x v="3"/>
    <s v="EUR"/>
    <x v="0"/>
    <x v="74"/>
    <d v="2023-03-20T00:00:00"/>
    <d v="2023-03-20T00:00:00"/>
    <n v="155"/>
    <n v="431.89"/>
    <s v="NL86INGB0002445588"/>
    <s v="BELASTINGDIENST"/>
    <s v="UIT_VL"/>
    <s v="VASTELASTEN"/>
    <s v="zorgtoeslag"/>
    <n v="431.89"/>
    <m/>
    <s v="COAXX085546679202303151010214845965"/>
    <m/>
    <m/>
    <m/>
    <s v="MAAND APR. NR. 103261187T300013 VOORSCHOT ZORGTOESLAG 2023 (SMIT ) MEER INFO OP WWW.TOESLAGEN.NL"/>
    <s v=" "/>
    <m/>
    <m/>
  </r>
  <r>
    <n v="202305053"/>
    <x v="3"/>
    <s v="EUR"/>
    <x v="0"/>
    <x v="74"/>
    <d v="2023-03-21T00:00:00"/>
    <d v="2023-03-21T00:00:00"/>
    <n v="-7"/>
    <n v="424.89"/>
    <s v="NL28DEUT0265186439"/>
    <s v="STICHTING DERDENGELDEN BUCKAROO"/>
    <s v="UIT_VL"/>
    <s v="VASTELASTEN"/>
    <s v="foodlog"/>
    <n v="424.89"/>
    <m/>
    <s v="SDD0639A6364A42443F8C570F01A5F16074"/>
    <s v="0W6172F33C5F27B4B868E23B86086A29D5B"/>
    <s v="NL39ZZZ302317620000"/>
    <m/>
    <s v="Foodlog Media B.V. : Foodlog Lid (?202303-44129)"/>
    <s v=" "/>
    <m/>
    <m/>
  </r>
  <r>
    <n v="202305054"/>
    <x v="3"/>
    <s v="EUR"/>
    <x v="0"/>
    <x v="74"/>
    <d v="2023-03-22T00:00:00"/>
    <d v="2023-03-22T00:00:00"/>
    <n v="-9.99"/>
    <n v="414.9"/>
    <s v="IE30CITI99005132956548"/>
    <s v="BLENDLE"/>
    <s v="UIT_VL"/>
    <s v="VASTELASTEN"/>
    <s v="blendle"/>
    <n v="414.9"/>
    <m/>
    <s v="STR16NANXGLNMOLVCMZEIRANUBBAIPQKHM"/>
    <s v="APWBQB4QWWPHQ2CV"/>
    <s v="NL13ZZZ587241090000"/>
    <m/>
    <s v="Blendle Premium"/>
    <s v=" "/>
    <m/>
    <m/>
  </r>
  <r>
    <n v="202305059"/>
    <x v="3"/>
    <s v="EUR"/>
    <x v="0"/>
    <x v="74"/>
    <d v="2023-03-27T00:00:00"/>
    <d v="2023-03-27T00:00:00"/>
    <n v="-37.5"/>
    <n v="342.89"/>
    <s v="NL11RABO0343685310"/>
    <s v="D.S.W. Zorgverzekeraar"/>
    <s v="UIT_VL"/>
    <s v="VASTELASTEN"/>
    <s v="zorgverzekering eigen risico"/>
    <n v="342.89"/>
    <m/>
    <s v="5f57bb95126848b9a62482b9a3e166da"/>
    <n v="606796363200709"/>
    <s v="NL81ZZZ241682080000"/>
    <m/>
    <s v="Kenmerk: 8210156260200034 / Omschrijving: Gespreid betalen eigen risico maart"/>
    <s v=" "/>
    <m/>
    <m/>
  </r>
  <r>
    <n v="202305064"/>
    <x v="3"/>
    <s v="EUR"/>
    <x v="0"/>
    <x v="75"/>
    <d v="2023-04-03T00:00:00"/>
    <d v="2023-04-03T00:00:00"/>
    <n v="-137.5"/>
    <n v="120.77"/>
    <s v="NL11RABO0343685310"/>
    <s v="D.S.W. Zorgverzekeraar"/>
    <s v="UIT_VL"/>
    <s v="VASTELASTEN"/>
    <s v="zorgverzekering"/>
    <n v="120.77"/>
    <m/>
    <s v="a3a3205c369e4b129b13acdf4cb7fd4c"/>
    <n v="606796363200709"/>
    <s v="NL81ZZZ241682080000"/>
    <m/>
    <s v="Kenmerk: 6210156260200035 / Omschrijving: Premie april"/>
    <s v=" "/>
    <m/>
    <m/>
  </r>
  <r>
    <n v="202305065"/>
    <x v="3"/>
    <s v="EUR"/>
    <x v="0"/>
    <x v="75"/>
    <d v="2023-04-03T00:00:00"/>
    <d v="2023-04-03T00:00:00"/>
    <n v="-3.52"/>
    <n v="117.25"/>
    <s v="NL98INGB0002712510"/>
    <s v="OHRA Schadeverzekeringen"/>
    <s v="UIT_VL"/>
    <s v="VASTELASTEN"/>
    <s v="avp verzekering"/>
    <n v="117.25"/>
    <m/>
    <s v="OH-675056-2303290221-001-20082199"/>
    <n v="3272007"/>
    <s v="NL21ZZZ330520730000"/>
    <m/>
    <s v="Relatie 8405205 / Verschuldigd per 01/04/2023"/>
    <s v=" "/>
    <m/>
    <m/>
  </r>
  <r>
    <n v="202305066"/>
    <x v="3"/>
    <s v="EUR"/>
    <x v="0"/>
    <x v="75"/>
    <d v="2023-04-04T00:00:00"/>
    <d v="2023-04-01T00:00:00"/>
    <n v="-0.8"/>
    <n v="116.45"/>
    <m/>
    <s v="Kosten"/>
    <s v="UIT_VL"/>
    <s v="VASTELASTEN"/>
    <s v="bankkosten"/>
    <n v="116.45"/>
    <m/>
    <m/>
    <m/>
    <m/>
    <m/>
    <s v="Abonnement maandelijks papieren    rekeningafschrift                  Periode 01-04-2023 t/m 30-04-2023"/>
    <s v=" "/>
    <m/>
    <m/>
  </r>
  <r>
    <n v="202305067"/>
    <x v="3"/>
    <s v="EUR"/>
    <x v="0"/>
    <x v="75"/>
    <d v="2023-04-04T00:00:00"/>
    <d v="2023-04-01T00:00:00"/>
    <n v="-6.5"/>
    <n v="109.95"/>
    <m/>
    <s v="Kosten"/>
    <s v="UIT_VL"/>
    <s v="VASTELASTEN"/>
    <s v="bankkosten"/>
    <n v="109.95"/>
    <m/>
    <m/>
    <m/>
    <m/>
    <m/>
    <s v="Rabo TotaalPakket                  Periode 01-04-2023 t/m 30-04-2023"/>
    <s v=" "/>
    <m/>
    <m/>
  </r>
  <r>
    <n v="202305081"/>
    <x v="3"/>
    <s v="EUR"/>
    <x v="0"/>
    <x v="75"/>
    <d v="2023-04-14T00:00:00"/>
    <d v="2023-04-14T00:00:00"/>
    <n v="-22"/>
    <n v="-28.38"/>
    <s v="NL62ABNA0462625036"/>
    <s v="BUDGET MOBIEL"/>
    <s v="UIT_VL"/>
    <s v="VASTELASTEN"/>
    <s v="internet_telefoon_NL"/>
    <n v="-28.38"/>
    <m/>
    <n v="125787571"/>
    <n v="3.1368578202302099E+17"/>
    <s v="NL74ZZZ569035880000"/>
    <m/>
    <s v="O239794385/+31623367072 - onbeperkt (kenmerk: 6200-0000-3136-8578)"/>
    <s v=" "/>
    <m/>
    <m/>
  </r>
  <r>
    <n v="202305085"/>
    <x v="3"/>
    <s v="EUR"/>
    <x v="0"/>
    <x v="75"/>
    <d v="2023-04-19T00:00:00"/>
    <d v="2023-04-19T00:00:00"/>
    <n v="-7"/>
    <n v="109.11"/>
    <s v="NL28DEUT0265186439"/>
    <s v="STICHTING DERDENGELDEN BUCKAROO"/>
    <s v="UIT_VL"/>
    <s v="VASTELASTEN"/>
    <s v="foodlog"/>
    <n v="109.11"/>
    <m/>
    <s v="SDD9F88111234AA4CEABCFDD89EB169096D"/>
    <s v="0W6172F33C5F27B4B868E23B86086A29D5B"/>
    <s v="NL39ZZZ302317620000"/>
    <m/>
    <s v="Foodlog Media B.V. : Foodlog Lid (?202304-44338)"/>
    <s v=" "/>
    <m/>
    <m/>
  </r>
  <r>
    <n v="202305089"/>
    <x v="3"/>
    <s v="EUR"/>
    <x v="0"/>
    <x v="75"/>
    <d v="2023-04-19T00:00:00"/>
    <d v="2023-04-19T00:00:00"/>
    <n v="-14.98"/>
    <n v="84.43"/>
    <m/>
    <s v="Holland &amp; Barrett VENLO gebroken lijnzaad en edelgist"/>
    <s v="UIT_VL"/>
    <s v="VASTELASTEN"/>
    <s v="medium"/>
    <n v="84.43"/>
    <m/>
    <m/>
    <m/>
    <m/>
    <m/>
    <s v="Betaalautomaat 16:12 pasnr. 032"/>
    <s v=" "/>
    <m/>
    <m/>
  </r>
  <r>
    <n v="202305094"/>
    <x v="3"/>
    <s v="EUR"/>
    <x v="0"/>
    <x v="75"/>
    <d v="2023-04-20T00:00:00"/>
    <d v="2023-04-20T00:00:00"/>
    <n v="155"/>
    <n v="205.06"/>
    <s v="NL86INGB0002445588"/>
    <s v="BELASTINGDIENST"/>
    <s v="UIT_VL"/>
    <s v="VASTELASTEN"/>
    <s v="zorgtoeslag"/>
    <n v="205.06"/>
    <m/>
    <s v="COAXX160572437202304171010262723670"/>
    <m/>
    <m/>
    <m/>
    <s v="MAAND MEI NR. 103261187T300013 VOORSCHOT ZORGTOESLAG 2023 (SMIT ) MEER INFO OP WWW.TOESLAGEN.NL"/>
    <s v=" "/>
    <m/>
    <m/>
  </r>
  <r>
    <n v="202305101"/>
    <x v="3"/>
    <s v="EUR"/>
    <x v="0"/>
    <x v="75"/>
    <d v="2023-04-25T00:00:00"/>
    <d v="2023-04-25T00:00:00"/>
    <n v="-37.5"/>
    <n v="2060.25"/>
    <s v="NL11RABO0343685310"/>
    <s v="D.S.W. Zorgverzekeraar"/>
    <s v="UIT_VL"/>
    <s v="VASTELASTEN"/>
    <s v="zorgverzekering eigen risico"/>
    <n v="2060.25"/>
    <m/>
    <s v="0fd7edb8042b4daa95557449ab4aadeb"/>
    <n v="606796363200709"/>
    <s v="NL81ZZZ241682080000"/>
    <m/>
    <s v="Kenmerk: 4210156260200036 / Omschrijving: Gespreid betalen eigen risico april"/>
    <s v=" "/>
    <m/>
    <m/>
  </r>
  <r>
    <n v="202305114"/>
    <x v="3"/>
    <s v="EUR"/>
    <x v="0"/>
    <x v="42"/>
    <d v="2023-05-02T00:00:00"/>
    <d v="2023-05-02T00:00:00"/>
    <n v="-137.5"/>
    <n v="290.58999999999997"/>
    <s v="NL11RABO0343685310"/>
    <s v="D.S.W. Zorgverzekeraar"/>
    <s v="UIT_VL"/>
    <s v="VASTELASTEN"/>
    <s v="zorgverzekering"/>
    <n v="290.58999999999997"/>
    <m/>
    <s v="3dd37b1eff7d4f3290bb6fad4a8f3b18"/>
    <n v="606796363200709"/>
    <s v="NL81ZZZ241682080000"/>
    <m/>
    <s v="Kenmerk: 2210156260200037 / Omschrijving: Premie mei"/>
    <s v=" "/>
    <m/>
    <m/>
  </r>
  <r>
    <n v="202305115"/>
    <x v="3"/>
    <s v="EUR"/>
    <x v="0"/>
    <x v="76"/>
    <d v="2023-05-02T00:00:00"/>
    <d v="2023-05-02T00:00:00"/>
    <n v="-3.52"/>
    <n v="287.07"/>
    <s v="NL98INGB0002712510"/>
    <s v="OHRA Schadeverzekeringen"/>
    <s v="UIT_VL"/>
    <s v="VASTELASTEN"/>
    <s v="avp verzekering"/>
    <n v="287.07"/>
    <m/>
    <s v="OH-676230-2304280156-001-20714457"/>
    <n v="3272007"/>
    <s v="NL21ZZZ330520730000"/>
    <m/>
    <s v="Relatie 8405205 / Verschuldigd per 01/05/2023"/>
    <s v=" "/>
    <m/>
    <m/>
  </r>
  <r>
    <n v="202305117"/>
    <x v="3"/>
    <s v="EUR"/>
    <x v="0"/>
    <x v="76"/>
    <d v="2023-05-03T00:00:00"/>
    <d v="2023-05-01T00:00:00"/>
    <n v="-1.2"/>
    <n v="282.87"/>
    <m/>
    <s v="Kosten"/>
    <s v="UIT_VL"/>
    <s v="VASTELASTEN"/>
    <s v="bankkosten"/>
    <n v="282.87"/>
    <m/>
    <m/>
    <m/>
    <m/>
    <m/>
    <s v="Abonnement maandelijks papieren    rekeningafschrift                  Periode 01-05-2023 t/m 31-05-2023"/>
    <s v=" "/>
    <m/>
    <m/>
  </r>
  <r>
    <n v="202305118"/>
    <x v="3"/>
    <s v="EUR"/>
    <x v="0"/>
    <x v="76"/>
    <d v="2023-05-03T00:00:00"/>
    <d v="2023-05-01T00:00:00"/>
    <n v="-6.5"/>
    <n v="276.37"/>
    <m/>
    <s v="Kosten"/>
    <s v="UIT_VL"/>
    <s v="VASTELASTEN"/>
    <s v="bankkosten"/>
    <n v="276.37"/>
    <m/>
    <m/>
    <m/>
    <m/>
    <m/>
    <s v="Rabo TotaalPakket                  Periode 01-05-2023 t/m 31-05-2023"/>
    <s v=" "/>
    <m/>
    <m/>
  </r>
  <r>
    <n v="202305142"/>
    <x v="0"/>
    <s v="EUR"/>
    <x v="0"/>
    <x v="42"/>
    <d v="2023-01-03T00:00:00"/>
    <m/>
    <n v="-4.99"/>
    <m/>
    <n v="-4.99"/>
    <s v="GOOGLE*GOOGLE PLAY APP   IRELAND      IRL"/>
    <s v="UIT_VL"/>
    <s v="VASTELASTEN"/>
    <s v="medium"/>
    <m/>
    <m/>
    <m/>
    <m/>
    <m/>
    <m/>
    <m/>
    <m/>
    <m/>
    <m/>
  </r>
  <r>
    <n v="202305143"/>
    <x v="0"/>
    <s v="EUR"/>
    <x v="0"/>
    <x v="42"/>
    <d v="2023-01-18T00:00:00"/>
    <m/>
    <n v="-2.99"/>
    <m/>
    <n v="-2.99"/>
    <s v="GOOGLE*GOOGLE STORAGE    Dublin       IRL"/>
    <s v="UIT_VL"/>
    <s v="VASTELASTEN"/>
    <s v="google storage"/>
    <m/>
    <m/>
    <m/>
    <m/>
    <m/>
    <m/>
    <m/>
    <m/>
    <m/>
    <m/>
  </r>
  <r>
    <n v="202305145"/>
    <x v="0"/>
    <s v="EUR"/>
    <x v="0"/>
    <x v="0"/>
    <d v="2023-02-04T00:00:00"/>
    <m/>
    <n v="-4.99"/>
    <m/>
    <n v="-4.99"/>
    <s v="Google Payment IE LTD GooDublin       IRL"/>
    <s v="UIT_VL"/>
    <s v="VASTELASTEN"/>
    <s v="medium"/>
    <m/>
    <m/>
    <m/>
    <m/>
    <m/>
    <m/>
    <m/>
    <m/>
    <m/>
    <m/>
  </r>
  <r>
    <n v="202305146"/>
    <x v="0"/>
    <s v="EUR"/>
    <x v="0"/>
    <x v="0"/>
    <d v="2023-02-18T00:00:00"/>
    <m/>
    <n v="-2.99"/>
    <m/>
    <n v="-2.99"/>
    <s v="GOOGLE*GOOGLE STORAGE    Dublin       IRL"/>
    <s v="UIT_VL"/>
    <s v="VASTELASTEN"/>
    <s v="google storage"/>
    <m/>
    <m/>
    <m/>
    <m/>
    <m/>
    <m/>
    <m/>
    <m/>
    <m/>
    <m/>
  </r>
  <r>
    <n v="202305152"/>
    <x v="0"/>
    <s v="EUR"/>
    <x v="0"/>
    <x v="74"/>
    <d v="2023-03-03T00:00:00"/>
    <m/>
    <n v="-4.99"/>
    <m/>
    <n v="-4.99"/>
    <s v="GOOGLE*GOOGLE PLAY APP   Dublin       IRL"/>
    <s v="UIT_VL"/>
    <s v="VASTELASTEN"/>
    <s v="medium"/>
    <m/>
    <m/>
    <m/>
    <m/>
    <m/>
    <m/>
    <m/>
    <m/>
    <m/>
    <m/>
  </r>
  <r>
    <n v="202305153"/>
    <x v="0"/>
    <s v="EUR"/>
    <x v="0"/>
    <x v="74"/>
    <d v="2023-03-18T00:00:00"/>
    <m/>
    <n v="-2.99"/>
    <m/>
    <n v="-2.99"/>
    <s v="GOOGLE*GOOGLE STORAGE    Dublin       IRL"/>
    <s v="UIT_VL"/>
    <s v="VASTELASTEN"/>
    <s v="google storage"/>
    <m/>
    <m/>
    <m/>
    <m/>
    <m/>
    <m/>
    <m/>
    <m/>
    <m/>
    <m/>
  </r>
  <r>
    <n v="202305155"/>
    <x v="0"/>
    <s v="EUR"/>
    <x v="0"/>
    <x v="75"/>
    <d v="2023-04-04T00:00:00"/>
    <m/>
    <n v="-4.99"/>
    <m/>
    <n v="-4.99"/>
    <s v="Google Payment IE LTD GooDublin       IRL"/>
    <s v="UIT_VL"/>
    <s v="VASTELASTEN"/>
    <s v="medium"/>
    <m/>
    <m/>
    <m/>
    <m/>
    <m/>
    <m/>
    <m/>
    <m/>
    <m/>
    <m/>
  </r>
  <r>
    <n v="202305156"/>
    <x v="0"/>
    <s v="EUR"/>
    <x v="0"/>
    <x v="75"/>
    <d v="2023-04-18T00:00:00"/>
    <m/>
    <n v="-2.99"/>
    <m/>
    <n v="-2.99"/>
    <s v="GOOGLE*GOOGLE STORAGE    G.CO/HELPPAY#IRL"/>
    <s v="UIT_VL"/>
    <s v="VASTELASTEN"/>
    <s v="google storage"/>
    <m/>
    <m/>
    <m/>
    <m/>
    <m/>
    <m/>
    <m/>
    <m/>
    <m/>
    <m/>
  </r>
  <r>
    <n v="202305158"/>
    <x v="0"/>
    <s v="EUR"/>
    <x v="0"/>
    <x v="76"/>
    <d v="2023-05-03T00:00:00"/>
    <m/>
    <n v="-4.99"/>
    <m/>
    <n v="-4.99"/>
    <s v="Google Payment IrelandLTDDublin       IRL"/>
    <s v="UIT_VL"/>
    <s v="VASTELASTEN"/>
    <s v="medium"/>
    <m/>
    <m/>
    <m/>
    <m/>
    <m/>
    <m/>
    <m/>
    <m/>
    <m/>
    <m/>
  </r>
  <r>
    <n v="202305159"/>
    <x v="9"/>
    <m/>
    <x v="0"/>
    <x v="42"/>
    <d v="2023-01-23T00:00:00"/>
    <m/>
    <n v="-7"/>
    <m/>
    <m/>
    <s v="Microsoft"/>
    <s v="UIT"/>
    <s v="VASTELASTEN"/>
    <s v="microsoft"/>
    <m/>
    <m/>
    <m/>
    <m/>
    <m/>
    <m/>
    <m/>
    <m/>
    <m/>
    <m/>
  </r>
  <r>
    <n v="202305160"/>
    <x v="9"/>
    <m/>
    <x v="0"/>
    <x v="0"/>
    <d v="2023-02-23T00:00:00"/>
    <m/>
    <n v="-7"/>
    <m/>
    <m/>
    <s v="Microsoft"/>
    <s v="UIT"/>
    <s v="VASTELASTEN"/>
    <s v="microsoft"/>
    <m/>
    <m/>
    <m/>
    <m/>
    <m/>
    <m/>
    <m/>
    <m/>
    <m/>
    <m/>
  </r>
  <r>
    <n v="202305161"/>
    <x v="9"/>
    <m/>
    <x v="0"/>
    <x v="74"/>
    <d v="2023-03-23T00:00:00"/>
    <m/>
    <n v="-7"/>
    <m/>
    <m/>
    <s v="Microsoft"/>
    <s v="UIT"/>
    <s v="VASTELASTEN"/>
    <s v="microsoft"/>
    <m/>
    <m/>
    <m/>
    <m/>
    <m/>
    <m/>
    <m/>
    <m/>
    <m/>
    <m/>
  </r>
  <r>
    <n v="202305162"/>
    <x v="9"/>
    <m/>
    <x v="0"/>
    <x v="75"/>
    <d v="2023-04-23T00:00:00"/>
    <m/>
    <n v="-7"/>
    <m/>
    <m/>
    <s v="Microsoft"/>
    <s v="UIT"/>
    <s v="VASTELASTEN"/>
    <s v="microsoft"/>
    <m/>
    <m/>
    <m/>
    <m/>
    <m/>
    <m/>
    <m/>
    <m/>
    <m/>
    <m/>
  </r>
  <r>
    <n v="29"/>
    <x v="1"/>
    <m/>
    <x v="1"/>
    <x v="43"/>
    <d v="2017-03-06T00:00:00"/>
    <d v="2017-03-06T00:00:00"/>
    <n v="-12"/>
    <n v="12"/>
    <m/>
    <s v="FACTURE CARTE DU 030317 ROCKET YOGA ARN CARTE 4974XXXX"/>
    <s v="UIT"/>
    <s v="YOGA"/>
    <s v="yoga"/>
    <m/>
    <m/>
    <m/>
    <m/>
    <m/>
    <m/>
    <m/>
    <m/>
    <m/>
    <m/>
  </r>
  <r>
    <n v="31"/>
    <x v="1"/>
    <m/>
    <x v="1"/>
    <x v="43"/>
    <d v="2017-03-06T00:00:00"/>
    <d v="2017-03-06T00:00:00"/>
    <n v="12"/>
    <n v="12"/>
    <m/>
    <s v="rocket yoga"/>
    <s v="UIT"/>
    <s v="YOGA"/>
    <s v="yoga"/>
    <m/>
    <m/>
    <m/>
    <m/>
    <m/>
    <m/>
    <m/>
    <m/>
    <m/>
    <m/>
  </r>
  <r>
    <n v="111"/>
    <x v="5"/>
    <m/>
    <x v="1"/>
    <x v="43"/>
    <d v="2017-03-21T00:00:00"/>
    <d v="2017-03-21T00:00:00"/>
    <n v="-14"/>
    <n v="14"/>
    <m/>
    <s v="yogahouse"/>
    <s v="UIT"/>
    <s v="YOGA"/>
    <s v="yoga"/>
    <m/>
    <m/>
    <m/>
    <m/>
    <m/>
    <m/>
    <m/>
    <m/>
    <m/>
    <m/>
  </r>
  <r>
    <n v="194"/>
    <x v="5"/>
    <m/>
    <x v="1"/>
    <x v="45"/>
    <d v="2017-05-02T00:00:00"/>
    <d v="2017-05-02T00:00:00"/>
    <n v="-5"/>
    <n v="5"/>
    <m/>
    <s v="yogales"/>
    <s v="UIT"/>
    <s v="YOGA"/>
    <s v="yoga"/>
    <m/>
    <m/>
    <m/>
    <m/>
    <m/>
    <m/>
    <m/>
    <m/>
    <m/>
    <m/>
  </r>
  <r>
    <n v="502"/>
    <x v="3"/>
    <m/>
    <x v="1"/>
    <x v="43"/>
    <d v="2017-03-19T00:00:00"/>
    <d v="2017-03-19T00:00:00"/>
    <n v="-18"/>
    <n v="18"/>
    <m/>
    <s v="CCV*BIKRAM YOGA ARNHEM ARNHEM"/>
    <s v="UIT"/>
    <s v="YOGA"/>
    <s v="yoga"/>
    <m/>
    <m/>
    <m/>
    <m/>
    <m/>
    <m/>
    <m/>
    <m/>
    <m/>
    <m/>
  </r>
  <r>
    <n v="661"/>
    <x v="3"/>
    <m/>
    <x v="1"/>
    <x v="3"/>
    <d v="2017-10-19T00:00:00"/>
    <d v="2017-10-19T00:00:00"/>
    <n v="-18"/>
    <n v="18"/>
    <m/>
    <s v="CCV*BIKRAM YOGA ARNHEM ARNHEM"/>
    <s v="UIT"/>
    <s v="YOGA"/>
    <s v="yoga"/>
    <m/>
    <m/>
    <m/>
    <m/>
    <m/>
    <m/>
    <m/>
    <m/>
    <m/>
    <m/>
  </r>
  <r>
    <n v="798"/>
    <x v="1"/>
    <m/>
    <x v="2"/>
    <x v="7"/>
    <d v="2018-11-01T00:00:00"/>
    <d v="2018-11-01T00:00:00"/>
    <n v="-58.05"/>
    <n v="58.05"/>
    <m/>
    <s v="paypal  "/>
    <s v="UIT"/>
    <s v="YOGA"/>
    <s v="kids yoga "/>
    <m/>
    <m/>
    <m/>
    <m/>
    <m/>
    <m/>
    <m/>
    <m/>
    <m/>
    <m/>
  </r>
  <r>
    <n v="825"/>
    <x v="5"/>
    <m/>
    <x v="2"/>
    <x v="9"/>
    <d v="2018-02-21T00:00:00"/>
    <d v="2018-02-21T00:00:00"/>
    <n v="-5"/>
    <n v="5"/>
    <m/>
    <s v="acroyoga"/>
    <s v="UIT"/>
    <s v="YOGA"/>
    <s v="yoga"/>
    <m/>
    <m/>
    <m/>
    <m/>
    <m/>
    <m/>
    <m/>
    <m/>
    <m/>
    <m/>
  </r>
  <r>
    <n v="832"/>
    <x v="5"/>
    <m/>
    <x v="2"/>
    <x v="10"/>
    <d v="2018-03-02T00:00:00"/>
    <d v="2018-03-02T00:00:00"/>
    <n v="-12.5"/>
    <n v="12.5"/>
    <m/>
    <s v="acroyoga"/>
    <s v="UIT"/>
    <s v="YOGA"/>
    <s v="yoga"/>
    <m/>
    <m/>
    <m/>
    <m/>
    <m/>
    <m/>
    <m/>
    <m/>
    <m/>
    <m/>
  </r>
  <r>
    <n v="880"/>
    <x v="5"/>
    <m/>
    <x v="2"/>
    <x v="49"/>
    <d v="2018-04-15T00:00:00"/>
    <d v="2018-04-15T00:00:00"/>
    <n v="-15"/>
    <n v="15"/>
    <m/>
    <s v="acroyoga 18/4"/>
    <s v="UIT"/>
    <s v="YOGA"/>
    <s v="yoga"/>
    <m/>
    <m/>
    <m/>
    <m/>
    <m/>
    <m/>
    <m/>
    <m/>
    <m/>
    <m/>
  </r>
  <r>
    <n v="890"/>
    <x v="5"/>
    <m/>
    <x v="2"/>
    <x v="49"/>
    <d v="2018-04-15T00:00:00"/>
    <d v="2018-04-15T00:00:00"/>
    <n v="-3"/>
    <n v="3"/>
    <m/>
    <s v="yogablock"/>
    <s v="UIT"/>
    <s v="YOGA"/>
    <s v="yoga"/>
    <m/>
    <m/>
    <m/>
    <m/>
    <m/>
    <m/>
    <m/>
    <m/>
    <m/>
    <m/>
  </r>
  <r>
    <n v="1495"/>
    <x v="5"/>
    <m/>
    <x v="3"/>
    <x v="53"/>
    <d v="2019-04-01T00:00:00"/>
    <d v="2019-04-01T00:00:00"/>
    <n v="-5"/>
    <n v="5"/>
    <m/>
    <s v="acroyogales 16/4"/>
    <s v="UIT"/>
    <s v="YOGA"/>
    <s v="yoga"/>
    <m/>
    <m/>
    <m/>
    <m/>
    <m/>
    <m/>
    <m/>
    <m/>
    <m/>
    <m/>
  </r>
  <r>
    <n v="1524"/>
    <x v="5"/>
    <m/>
    <x v="3"/>
    <x v="53"/>
    <n v="43566"/>
    <n v="43566"/>
    <n v="-5"/>
    <n v="5"/>
    <m/>
    <s v="acroyogales 11/4"/>
    <s v="UIT"/>
    <s v="YOGA"/>
    <s v="yoga"/>
    <m/>
    <m/>
    <m/>
    <m/>
    <m/>
    <m/>
    <m/>
    <m/>
    <m/>
    <m/>
  </r>
  <r>
    <n v="1531"/>
    <x v="5"/>
    <m/>
    <x v="3"/>
    <x v="54"/>
    <d v="2019-05-01T00:00:00"/>
    <d v="2019-05-01T00:00:00"/>
    <n v="-5"/>
    <n v="5"/>
    <m/>
    <s v="acroyoga 7/5"/>
    <s v="UIT"/>
    <s v="YOGA"/>
    <s v="yoga"/>
    <m/>
    <m/>
    <m/>
    <m/>
    <m/>
    <m/>
    <m/>
    <m/>
    <m/>
    <m/>
  </r>
  <r>
    <n v="1538"/>
    <x v="5"/>
    <m/>
    <x v="3"/>
    <x v="54"/>
    <d v="2019-05-01T00:00:00"/>
    <d v="2019-05-01T00:00:00"/>
    <n v="-5"/>
    <n v="5"/>
    <m/>
    <s v="yoga 14/5"/>
    <s v="UIT"/>
    <s v="YOGA"/>
    <s v="yoga"/>
    <m/>
    <m/>
    <m/>
    <m/>
    <m/>
    <m/>
    <m/>
    <m/>
    <m/>
    <m/>
  </r>
  <r>
    <n v="1544"/>
    <x v="5"/>
    <m/>
    <x v="3"/>
    <x v="54"/>
    <d v="2019-05-01T00:00:00"/>
    <d v="2019-05-01T00:00:00"/>
    <n v="-5"/>
    <n v="5"/>
    <m/>
    <s v="acroyoga 21/5"/>
    <s v="UIT"/>
    <s v="YOGA"/>
    <s v="yoga"/>
    <m/>
    <m/>
    <m/>
    <m/>
    <m/>
    <m/>
    <m/>
    <m/>
    <m/>
    <m/>
  </r>
  <r>
    <n v="1552"/>
    <x v="5"/>
    <m/>
    <x v="3"/>
    <x v="54"/>
    <d v="2019-05-01T00:00:00"/>
    <d v="2019-05-01T00:00:00"/>
    <n v="-10"/>
    <n v="10"/>
    <m/>
    <s v="acroyoga 28/5"/>
    <s v="UIT"/>
    <s v="YOGA"/>
    <s v="yoga"/>
    <m/>
    <m/>
    <m/>
    <m/>
    <m/>
    <m/>
    <m/>
    <m/>
    <m/>
    <m/>
  </r>
  <r>
    <n v="1585"/>
    <x v="5"/>
    <m/>
    <x v="3"/>
    <x v="38"/>
    <d v="2019-07-01T00:00:00"/>
    <d v="2019-07-01T00:00:00"/>
    <n v="-5"/>
    <n v="5"/>
    <m/>
    <s v="acroyoga"/>
    <s v="UIT"/>
    <s v="YOGA"/>
    <s v="yoga"/>
    <m/>
    <m/>
    <m/>
    <m/>
    <m/>
    <m/>
    <m/>
    <m/>
    <m/>
    <m/>
  </r>
  <r>
    <n v="1645"/>
    <x v="5"/>
    <m/>
    <x v="3"/>
    <x v="39"/>
    <d v="2019-10-31T00:00:00"/>
    <d v="2019-10-31T00:00:00"/>
    <n v="-10"/>
    <n v="10"/>
    <m/>
    <s v="acroyogales"/>
    <s v="UIT"/>
    <s v="YOGA"/>
    <s v="yoga"/>
    <m/>
    <m/>
    <m/>
    <m/>
    <m/>
    <m/>
    <m/>
    <m/>
    <m/>
    <m/>
  </r>
  <r>
    <n v="2544"/>
    <x v="3"/>
    <m/>
    <x v="4"/>
    <x v="58"/>
    <d v="2020-12-08T00:00:00"/>
    <d v="2020-12-08T00:00:00"/>
    <n v="0"/>
    <n v="0"/>
    <s v="NL40SNSB0925977055"/>
    <s v="Turn and twist acroyoga"/>
    <s v="UIT"/>
    <s v="YOGA"/>
    <s v="acroyoga"/>
    <s v="NIEUW"/>
    <m/>
    <m/>
    <m/>
    <m/>
    <m/>
    <m/>
    <m/>
    <m/>
    <m/>
  </r>
  <r>
    <n v="2696"/>
    <x v="3"/>
    <m/>
    <x v="5"/>
    <x v="62"/>
    <d v="2021-02-18T00:00:00"/>
    <d v="2021-02-18T00:00:00"/>
    <n v="0"/>
    <n v="0"/>
    <s v="NL40SNSB0925977055"/>
    <s v="Turn and twist acroyoga"/>
    <s v="UIT"/>
    <s v="YOGA"/>
    <s v="acroyoga"/>
    <s v="SNSBNL2A"/>
    <s v="cb"/>
    <m/>
    <m/>
    <m/>
    <m/>
    <m/>
    <s v="DAYF refund Winter"/>
    <s v=" "/>
    <m/>
  </r>
  <r>
    <n v="3097"/>
    <x v="3"/>
    <m/>
    <x v="5"/>
    <x v="26"/>
    <d v="2021-11-02T00:00:00"/>
    <d v="2021-11-02T00:00:00"/>
    <n v="-4"/>
    <n v="4"/>
    <m/>
    <s v="Action 1072 Stadskanaal"/>
    <s v="UIT"/>
    <s v="YOGA"/>
    <s v="yogabenodigdheden"/>
    <m/>
    <m/>
    <m/>
    <m/>
    <m/>
    <m/>
    <m/>
    <m/>
    <m/>
    <m/>
  </r>
  <r>
    <n v="202301175"/>
    <x v="5"/>
    <m/>
    <x v="6"/>
    <x v="34"/>
    <d v="2022-10-23T00:00:00"/>
    <m/>
    <n v="-5"/>
    <m/>
    <m/>
    <s v="Acroyoga 5"/>
    <s v="UIT"/>
    <s v="YOGA"/>
    <s v="yoga"/>
    <m/>
    <m/>
    <m/>
    <m/>
    <m/>
    <m/>
    <m/>
    <m/>
    <m/>
    <m/>
  </r>
  <r>
    <n v="202305147"/>
    <x v="0"/>
    <s v="EUR"/>
    <x v="0"/>
    <x v="0"/>
    <d v="2023-02-20T00:00:00"/>
    <m/>
    <n v="-0.77"/>
    <m/>
    <n v="-0.77"/>
    <s v="Food Plus 807            DUBAI        ARE"/>
    <s v="UIT_AZIE"/>
    <s v="AZIE"/>
    <s v="vliegveld"/>
    <m/>
    <m/>
    <m/>
    <m/>
    <m/>
    <m/>
    <m/>
    <m/>
    <m/>
    <m/>
  </r>
  <r>
    <m/>
    <x v="7"/>
    <m/>
    <x v="7"/>
    <x v="81"/>
    <m/>
    <m/>
    <m/>
    <m/>
    <m/>
    <m/>
    <m/>
    <m/>
    <m/>
    <m/>
    <m/>
    <m/>
    <m/>
    <m/>
    <m/>
    <m/>
    <m/>
    <m/>
    <m/>
  </r>
  <r>
    <m/>
    <x v="7"/>
    <m/>
    <x v="7"/>
    <x v="81"/>
    <m/>
    <m/>
    <m/>
    <m/>
    <m/>
    <m/>
    <m/>
    <m/>
    <m/>
    <m/>
    <m/>
    <m/>
    <m/>
    <m/>
    <m/>
    <m/>
    <m/>
    <m/>
    <m/>
  </r>
  <r>
    <m/>
    <x v="7"/>
    <m/>
    <x v="7"/>
    <x v="81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C003C-C6DD-4F7E-ABF0-12C71F7F5A2A}" name="Draaitabel2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1">
  <location ref="A3:P20" firstHeaderRow="1" firstDataRow="3" firstDataCol="1"/>
  <pivotFields count="14">
    <pivotField showAll="0"/>
    <pivotField showAll="0"/>
    <pivotField showAll="0"/>
    <pivotField axis="axisCol" showAll="0">
      <items count="9">
        <item x="0"/>
        <item sd="0" x="6"/>
        <item sd="0" x="5"/>
        <item sd="0" x="4"/>
        <item sd="0" x="3"/>
        <item sd="0" x="2"/>
        <item sd="0" x="1"/>
        <item x="7"/>
        <item t="default"/>
      </items>
    </pivotField>
    <pivotField axis="axisCol" showAll="0">
      <items count="83">
        <item x="2"/>
        <item x="43"/>
        <item x="44"/>
        <item x="45"/>
        <item x="46"/>
        <item x="36"/>
        <item x="47"/>
        <item x="48"/>
        <item x="3"/>
        <item x="4"/>
        <item x="5"/>
        <item x="6"/>
        <item x="9"/>
        <item x="10"/>
        <item x="49"/>
        <item x="50"/>
        <item x="51"/>
        <item x="52"/>
        <item x="37"/>
        <item x="12"/>
        <item x="11"/>
        <item x="7"/>
        <item x="8"/>
        <item x="13"/>
        <item x="15"/>
        <item x="14"/>
        <item x="53"/>
        <item x="54"/>
        <item x="55"/>
        <item x="38"/>
        <item x="41"/>
        <item x="18"/>
        <item x="39"/>
        <item x="16"/>
        <item x="17"/>
        <item x="20"/>
        <item x="22"/>
        <item x="19"/>
        <item x="21"/>
        <item x="1"/>
        <item x="23"/>
        <item x="24"/>
        <item x="56"/>
        <item x="60"/>
        <item x="61"/>
        <item x="57"/>
        <item x="59"/>
        <item x="58"/>
        <item x="62"/>
        <item x="63"/>
        <item x="65"/>
        <item x="66"/>
        <item x="67"/>
        <item x="68"/>
        <item x="69"/>
        <item x="70"/>
        <item x="64"/>
        <item x="80"/>
        <item x="78"/>
        <item x="77"/>
        <item x="79"/>
        <item x="25"/>
        <item x="26"/>
        <item x="27"/>
        <item x="28"/>
        <item x="30"/>
        <item x="31"/>
        <item x="32"/>
        <item x="29"/>
        <item x="33"/>
        <item x="40"/>
        <item x="71"/>
        <item x="72"/>
        <item x="73"/>
        <item x="34"/>
        <item x="35"/>
        <item x="42"/>
        <item x="75"/>
        <item x="74"/>
        <item x="76"/>
        <item x="0"/>
        <item x="81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>
      <items count="9">
        <item x="3"/>
        <item sd="0" x="1"/>
        <item sd="0" x="0"/>
        <item sd="0" x="2"/>
        <item sd="0" x="4"/>
        <item sd="0" x="5"/>
        <item m="1" x="7"/>
        <item x="6"/>
        <item t="default"/>
      </items>
    </pivotField>
    <pivotField axis="axisRow" showAll="0">
      <items count="18">
        <item x="0"/>
        <item sd="0" x="1"/>
        <item x="2"/>
        <item sd="0" x="3"/>
        <item n="                                                " x="4"/>
        <item sd="0" x="6"/>
        <item x="8"/>
        <item sd="0" x="10"/>
        <item sd="0" x="12"/>
        <item x="13"/>
        <item sd="0" x="14"/>
        <item x="7"/>
        <item sd="0" x="9"/>
        <item sd="0" x="11"/>
        <item sd="0" x="5"/>
        <item m="1" x="16"/>
        <item x="15"/>
        <item t="default"/>
      </items>
    </pivotField>
    <pivotField axis="axisRow" showAll="0">
      <items count="98">
        <item x="60"/>
        <item x="80"/>
        <item x="74"/>
        <item x="72"/>
        <item x="20"/>
        <item x="16"/>
        <item x="30"/>
        <item x="15"/>
        <item x="27"/>
        <item x="66"/>
        <item x="32"/>
        <item x="43"/>
        <item x="87"/>
        <item x="83"/>
        <item x="85"/>
        <item x="13"/>
        <item x="79"/>
        <item x="18"/>
        <item x="26"/>
        <item x="51"/>
        <item x="21"/>
        <item x="31"/>
        <item x="93"/>
        <item x="49"/>
        <item x="84"/>
        <item x="73"/>
        <item x="75"/>
        <item x="19"/>
        <item x="61"/>
        <item x="77"/>
        <item x="69"/>
        <item x="25"/>
        <item x="47"/>
        <item x="52"/>
        <item x="17"/>
        <item x="88"/>
        <item x="12"/>
        <item x="23"/>
        <item x="22"/>
        <item x="45"/>
        <item x="44"/>
        <item x="63"/>
        <item x="78"/>
        <item x="53"/>
        <item x="71"/>
        <item x="64"/>
        <item x="11"/>
        <item x="8"/>
        <item x="50"/>
        <item x="92"/>
        <item x="82"/>
        <item x="81"/>
        <item x="70"/>
        <item x="76"/>
        <item x="2"/>
        <item x="9"/>
        <item x="10"/>
        <item x="67"/>
        <item x="65"/>
        <item x="29"/>
        <item x="86"/>
        <item x="28"/>
        <item x="33"/>
        <item x="58"/>
        <item x="55"/>
        <item x="34"/>
        <item x="62"/>
        <item x="89"/>
        <item x="35"/>
        <item x="94"/>
        <item x="90"/>
        <item x="48"/>
        <item x="54"/>
        <item x="39"/>
        <item x="46"/>
        <item x="6"/>
        <item x="1"/>
        <item x="24"/>
        <item x="14"/>
        <item x="38"/>
        <item x="4"/>
        <item x="3"/>
        <item x="95"/>
        <item x="37"/>
        <item x="36"/>
        <item x="40"/>
        <item x="41"/>
        <item x="0"/>
        <item x="5"/>
        <item x="56"/>
        <item x="42"/>
        <item x="57"/>
        <item x="68"/>
        <item x="7"/>
        <item x="59"/>
        <item x="91"/>
        <item x="96"/>
        <item t="default"/>
      </items>
    </pivotField>
  </pivotFields>
  <rowFields count="3">
    <field x="11"/>
    <field x="12"/>
    <field x="13"/>
  </rowFields>
  <rowItems count="15">
    <i>
      <x/>
    </i>
    <i r="1">
      <x v="4"/>
    </i>
    <i r="2">
      <x v="7"/>
    </i>
    <i r="2">
      <x v="37"/>
    </i>
    <i r="1">
      <x v="13"/>
    </i>
    <i r="1">
      <x v="14"/>
    </i>
    <i>
      <x v="1"/>
    </i>
    <i>
      <x v="2"/>
    </i>
    <i>
      <x v="3"/>
    </i>
    <i>
      <x v="4"/>
    </i>
    <i>
      <x v="5"/>
    </i>
    <i>
      <x v="7"/>
    </i>
    <i r="1">
      <x v="16"/>
    </i>
    <i r="2">
      <x v="96"/>
    </i>
    <i t="grand">
      <x/>
    </i>
  </rowItems>
  <colFields count="2">
    <field x="3"/>
    <field x="4"/>
  </colFields>
  <colItems count="15">
    <i>
      <x/>
      <x v="76"/>
    </i>
    <i r="1">
      <x v="77"/>
    </i>
    <i r="1">
      <x v="78"/>
    </i>
    <i r="1">
      <x v="79"/>
    </i>
    <i r="1">
      <x v="80"/>
    </i>
    <i t="default">
      <x/>
    </i>
    <i>
      <x v="1"/>
    </i>
    <i>
      <x v="2"/>
    </i>
    <i>
      <x v="3"/>
    </i>
    <i>
      <x v="4"/>
    </i>
    <i>
      <x v="5"/>
    </i>
    <i>
      <x v="6"/>
    </i>
    <i>
      <x v="7"/>
      <x v="81"/>
    </i>
    <i t="default">
      <x v="7"/>
    </i>
    <i t="grand">
      <x/>
    </i>
  </colItems>
  <dataFields count="1">
    <dataField name="Som van Bedrag" fld="7" baseField="5" baseItem="0" numFmtId="2"/>
  </dataFields>
  <formats count="12">
    <format dxfId="51">
      <pivotArea outline="0" collapsedLevelsAreSubtotals="1" fieldPosition="0">
        <references count="1">
          <reference field="3" count="1" selected="0">
            <x v="5"/>
          </reference>
        </references>
      </pivotArea>
    </format>
    <format dxfId="50">
      <pivotArea field="4" type="button" dataOnly="0" labelOnly="1" outline="0" axis="axisCol" fieldPosition="1"/>
    </format>
    <format dxfId="49">
      <pivotArea dataOnly="0" labelOnly="1" fieldPosition="0">
        <references count="1">
          <reference field="3" count="1">
            <x v="5"/>
          </reference>
        </references>
      </pivotArea>
    </format>
    <format dxfId="48">
      <pivotArea outline="0" collapsedLevelsAreSubtotals="1" fieldPosition="0">
        <references count="1">
          <reference field="3" count="1" selected="0">
            <x v="5"/>
          </reference>
        </references>
      </pivotArea>
    </format>
    <format dxfId="47">
      <pivotArea field="4" type="button" dataOnly="0" labelOnly="1" outline="0" axis="axisCol" fieldPosition="1"/>
    </format>
    <format dxfId="46">
      <pivotArea dataOnly="0" labelOnly="1" fieldPosition="0">
        <references count="1">
          <reference field="3" count="1">
            <x v="5"/>
          </reference>
        </references>
      </pivotArea>
    </format>
    <format dxfId="45">
      <pivotArea outline="0" collapsedLevelsAreSubtotals="1" fieldPosition="0">
        <references count="1">
          <reference field="3" count="1" selected="0">
            <x v="6"/>
          </reference>
        </references>
      </pivotArea>
    </format>
    <format dxfId="44">
      <pivotArea field="3" type="button" dataOnly="0" labelOnly="1" outline="0" axis="axisCol" fieldPosition="0"/>
    </format>
    <format dxfId="43">
      <pivotArea dataOnly="0" labelOnly="1" fieldPosition="0">
        <references count="1">
          <reference field="3" count="1">
            <x v="6"/>
          </reference>
        </references>
      </pivotArea>
    </format>
    <format dxfId="42">
      <pivotArea collapsedLevelsAreSubtotals="1" fieldPosition="0">
        <references count="2">
          <reference field="3" count="1" selected="0" defaultSubtotal="1">
            <x v="3"/>
          </reference>
          <reference field="12" count="1">
            <x v="0"/>
          </reference>
        </references>
      </pivotArea>
    </format>
    <format dxfId="41">
      <pivotArea collapsedLevelsAreSubtotals="1" fieldPosition="0">
        <references count="3">
          <reference field="3" count="1" selected="0" defaultSubtotal="1">
            <x v="3"/>
          </reference>
          <reference field="12" count="1" selected="0">
            <x v="0"/>
          </reference>
          <reference field="13" count="2">
            <x v="31"/>
            <x v="54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C85550-76BF-4B9F-9FB9-E857E0882921}" name="Draaitabel2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compact="0" compactData="0" multipleFieldFilters="0" chartFormat="1" fieldListSortAscending="1" customListSort="0">
  <location ref="A3:Q25" firstHeaderRow="1" firstDataRow="3" firstDataCol="2"/>
  <pivotFields count="14">
    <pivotField compact="0" outline="0" showAll="0"/>
    <pivotField compact="0" outline="0" showAll="0"/>
    <pivotField compact="0" outline="0" showAll="0"/>
    <pivotField axis="axisCol" compact="0" outline="0" showAll="0">
      <items count="9">
        <item sd="0" x="1"/>
        <item sd="0" x="2"/>
        <item sd="0" x="3"/>
        <item sd="0" x="4"/>
        <item sd="0" x="5"/>
        <item sd="0" x="6"/>
        <item x="0"/>
        <item x="7"/>
        <item t="default"/>
      </items>
    </pivotField>
    <pivotField axis="axisCol" compact="0" outline="0" showAll="0">
      <items count="83">
        <item x="2"/>
        <item x="43"/>
        <item x="44"/>
        <item x="45"/>
        <item x="46"/>
        <item x="36"/>
        <item x="47"/>
        <item x="48"/>
        <item x="3"/>
        <item x="4"/>
        <item x="5"/>
        <item x="6"/>
        <item x="9"/>
        <item x="10"/>
        <item x="49"/>
        <item x="50"/>
        <item x="51"/>
        <item x="52"/>
        <item x="37"/>
        <item x="12"/>
        <item x="11"/>
        <item x="7"/>
        <item x="8"/>
        <item x="13"/>
        <item x="15"/>
        <item x="14"/>
        <item x="53"/>
        <item x="54"/>
        <item x="55"/>
        <item x="38"/>
        <item x="41"/>
        <item x="18"/>
        <item x="39"/>
        <item x="16"/>
        <item x="17"/>
        <item x="20"/>
        <item x="22"/>
        <item x="19"/>
        <item x="21"/>
        <item x="1"/>
        <item x="23"/>
        <item x="24"/>
        <item x="56"/>
        <item x="60"/>
        <item x="61"/>
        <item x="57"/>
        <item x="59"/>
        <item x="58"/>
        <item x="62"/>
        <item x="63"/>
        <item x="65"/>
        <item x="66"/>
        <item x="67"/>
        <item x="68"/>
        <item x="69"/>
        <item x="70"/>
        <item x="64"/>
        <item x="80"/>
        <item x="78"/>
        <item x="77"/>
        <item x="79"/>
        <item x="25"/>
        <item x="26"/>
        <item x="27"/>
        <item x="28"/>
        <item x="30"/>
        <item x="31"/>
        <item x="32"/>
        <item x="29"/>
        <item x="33"/>
        <item x="40"/>
        <item x="71"/>
        <item x="72"/>
        <item x="73"/>
        <item x="34"/>
        <item x="35"/>
        <item x="42"/>
        <item x="75"/>
        <item x="74"/>
        <item x="76"/>
        <item x="0"/>
        <item x="8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sd="0" x="0"/>
        <item sd="0" x="1"/>
        <item sd="0" x="2"/>
        <item x="3"/>
        <item n="                                                " sd="0" x="4"/>
        <item sd="0" x="6"/>
        <item sd="0" x="8"/>
        <item sd="0" x="10"/>
        <item sd="0" x="12"/>
        <item sd="0" x="13"/>
        <item sd="0" x="14"/>
        <item sd="0" x="7"/>
        <item sd="0" x="9"/>
        <item sd="0" x="11"/>
        <item sd="0" x="5"/>
        <item x="15"/>
        <item m="1" x="16"/>
        <item t="default"/>
      </items>
    </pivotField>
    <pivotField axis="axisRow" compact="0" outline="0" showAll="0">
      <items count="98">
        <item x="60"/>
        <item x="80"/>
        <item x="74"/>
        <item x="72"/>
        <item x="20"/>
        <item x="16"/>
        <item x="30"/>
        <item x="15"/>
        <item x="27"/>
        <item x="66"/>
        <item x="32"/>
        <item x="43"/>
        <item x="87"/>
        <item x="83"/>
        <item x="85"/>
        <item x="13"/>
        <item x="79"/>
        <item x="18"/>
        <item x="26"/>
        <item x="51"/>
        <item x="21"/>
        <item x="31"/>
        <item x="93"/>
        <item x="49"/>
        <item x="84"/>
        <item x="73"/>
        <item x="75"/>
        <item x="19"/>
        <item x="61"/>
        <item x="77"/>
        <item x="69"/>
        <item x="25"/>
        <item x="47"/>
        <item x="52"/>
        <item x="17"/>
        <item x="88"/>
        <item x="12"/>
        <item x="23"/>
        <item x="22"/>
        <item x="45"/>
        <item x="44"/>
        <item x="63"/>
        <item x="78"/>
        <item x="53"/>
        <item x="71"/>
        <item x="64"/>
        <item x="11"/>
        <item x="8"/>
        <item x="50"/>
        <item x="92"/>
        <item x="82"/>
        <item x="81"/>
        <item x="70"/>
        <item x="76"/>
        <item x="2"/>
        <item x="9"/>
        <item x="10"/>
        <item x="67"/>
        <item x="65"/>
        <item x="29"/>
        <item x="86"/>
        <item x="28"/>
        <item x="33"/>
        <item x="58"/>
        <item x="55"/>
        <item x="34"/>
        <item x="62"/>
        <item x="89"/>
        <item x="35"/>
        <item x="94"/>
        <item x="90"/>
        <item x="48"/>
        <item x="54"/>
        <item x="39"/>
        <item x="46"/>
        <item x="6"/>
        <item x="1"/>
        <item x="24"/>
        <item x="14"/>
        <item x="38"/>
        <item x="4"/>
        <item x="3"/>
        <item x="95"/>
        <item x="37"/>
        <item x="36"/>
        <item x="40"/>
        <item x="41"/>
        <item x="0"/>
        <item x="5"/>
        <item x="56"/>
        <item x="42"/>
        <item x="57"/>
        <item x="68"/>
        <item x="7"/>
        <item x="59"/>
        <item x="91"/>
        <item x="96"/>
        <item t="default"/>
      </items>
    </pivotField>
  </pivotFields>
  <rowFields count="2">
    <field x="12"/>
    <field x="13"/>
  </rowFields>
  <rowItems count="20">
    <i>
      <x/>
    </i>
    <i>
      <x v="1"/>
    </i>
    <i>
      <x v="2"/>
    </i>
    <i>
      <x v="3"/>
      <x v="5"/>
    </i>
    <i r="1">
      <x v="34"/>
    </i>
    <i t="default"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  <x v="96"/>
    </i>
    <i t="default">
      <x v="15"/>
    </i>
    <i t="grand">
      <x/>
    </i>
  </rowItems>
  <colFields count="2">
    <field x="3"/>
    <field x="4"/>
  </colFields>
  <colItems count="15">
    <i>
      <x/>
    </i>
    <i>
      <x v="1"/>
    </i>
    <i>
      <x v="2"/>
    </i>
    <i>
      <x v="3"/>
    </i>
    <i>
      <x v="4"/>
    </i>
    <i>
      <x v="5"/>
    </i>
    <i>
      <x v="6"/>
      <x v="76"/>
    </i>
    <i r="1">
      <x v="77"/>
    </i>
    <i r="1">
      <x v="78"/>
    </i>
    <i r="1">
      <x v="79"/>
    </i>
    <i r="1">
      <x v="80"/>
    </i>
    <i t="default">
      <x v="6"/>
    </i>
    <i>
      <x v="7"/>
      <x v="81"/>
    </i>
    <i t="default">
      <x v="7"/>
    </i>
    <i t="grand">
      <x/>
    </i>
  </colItems>
  <dataFields count="1">
    <dataField name="Som van Bedrag" fld="7" baseField="5" baseItem="0" numFmtId="2"/>
  </dataFields>
  <formats count="33">
    <format dxfId="39">
      <pivotArea outline="0" collapsedLevelsAreSubtotals="1" fieldPosition="0">
        <references count="1">
          <reference field="3" count="1" selected="0">
            <x v="1"/>
          </reference>
        </references>
      </pivotArea>
    </format>
    <format dxfId="38">
      <pivotArea field="4" type="button" dataOnly="0" labelOnly="1" outline="0" axis="axisCol" fieldPosition="1"/>
    </format>
    <format dxfId="37">
      <pivotArea dataOnly="0" labelOnly="1" fieldPosition="0">
        <references count="1">
          <reference field="3" count="1">
            <x v="1"/>
          </reference>
        </references>
      </pivotArea>
    </format>
    <format dxfId="36">
      <pivotArea outline="0" collapsedLevelsAreSubtotals="1" fieldPosition="0">
        <references count="1">
          <reference field="3" count="1" selected="0">
            <x v="1"/>
          </reference>
        </references>
      </pivotArea>
    </format>
    <format dxfId="35">
      <pivotArea field="4" type="button" dataOnly="0" labelOnly="1" outline="0" axis="axisCol" fieldPosition="1"/>
    </format>
    <format dxfId="34">
      <pivotArea dataOnly="0" labelOnly="1" fieldPosition="0">
        <references count="1">
          <reference field="3" count="1">
            <x v="1"/>
          </reference>
        </references>
      </pivotArea>
    </format>
    <format dxfId="33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32">
      <pivotArea field="3" type="button" dataOnly="0" labelOnly="1" outline="0" axis="axisCol" fieldPosition="0"/>
    </format>
    <format dxfId="31">
      <pivotArea dataOnly="0" labelOnly="1" fieldPosition="0">
        <references count="1">
          <reference field="3" count="1">
            <x v="0"/>
          </reference>
        </references>
      </pivotArea>
    </format>
    <format dxfId="30">
      <pivotArea collapsedLevelsAreSubtotals="1" fieldPosition="0">
        <references count="2">
          <reference field="3" count="1" selected="0" defaultSubtotal="1">
            <x v="3"/>
          </reference>
          <reference field="12" count="1">
            <x v="0"/>
          </reference>
        </references>
      </pivotArea>
    </format>
    <format dxfId="29">
      <pivotArea collapsedLevelsAreSubtotals="1" fieldPosition="0">
        <references count="3">
          <reference field="3" count="1" selected="0" defaultSubtotal="1">
            <x v="3"/>
          </reference>
          <reference field="12" count="1" selected="0">
            <x v="0"/>
          </reference>
          <reference field="13" count="2">
            <x v="31"/>
            <x v="54"/>
          </reference>
        </references>
      </pivotArea>
    </format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type="origin" dataOnly="0" labelOnly="1" outline="0" fieldPosition="0"/>
    </format>
    <format dxfId="26">
      <pivotArea field="12" type="button" dataOnly="0" labelOnly="1" outline="0" axis="axisRow" fieldPosition="0"/>
    </format>
    <format dxfId="25">
      <pivotArea dataOnly="0" labelOnly="1" outline="0" fieldPosition="0">
        <references count="1">
          <reference field="12" count="1">
            <x v="0"/>
          </reference>
        </references>
      </pivotArea>
    </format>
    <format dxfId="24">
      <pivotArea dataOnly="0" labelOnly="1" outline="0" fieldPosition="0">
        <references count="1">
          <reference field="12" count="1">
            <x v="1"/>
          </reference>
        </references>
      </pivotArea>
    </format>
    <format dxfId="23">
      <pivotArea dataOnly="0" labelOnly="1" outline="0" fieldPosition="0">
        <references count="1">
          <reference field="12" count="1">
            <x v="2"/>
          </reference>
        </references>
      </pivotArea>
    </format>
    <format dxfId="22">
      <pivotArea dataOnly="0" labelOnly="1" outline="0" fieldPosition="0">
        <references count="1">
          <reference field="12" count="1">
            <x v="3"/>
          </reference>
        </references>
      </pivotArea>
    </format>
    <format dxfId="21">
      <pivotArea dataOnly="0" labelOnly="1" outline="0" fieldPosition="0">
        <references count="1">
          <reference field="12" count="1">
            <x v="4"/>
          </reference>
        </references>
      </pivotArea>
    </format>
    <format dxfId="20">
      <pivotArea dataOnly="0" labelOnly="1" outline="0" fieldPosition="0">
        <references count="1">
          <reference field="12" count="1" defaultSubtotal="1">
            <x v="4"/>
          </reference>
        </references>
      </pivotArea>
    </format>
    <format dxfId="19">
      <pivotArea dataOnly="0" labelOnly="1" outline="0" fieldPosition="0">
        <references count="1">
          <reference field="12" count="1">
            <x v="5"/>
          </reference>
        </references>
      </pivotArea>
    </format>
    <format dxfId="18">
      <pivotArea dataOnly="0" labelOnly="1" outline="0" fieldPosition="0">
        <references count="1">
          <reference field="12" count="1">
            <x v="6"/>
          </reference>
        </references>
      </pivotArea>
    </format>
    <format dxfId="17">
      <pivotArea dataOnly="0" labelOnly="1" outline="0" fieldPosition="0">
        <references count="1">
          <reference field="12" count="1">
            <x v="7"/>
          </reference>
        </references>
      </pivotArea>
    </format>
    <format dxfId="16">
      <pivotArea dataOnly="0" labelOnly="1" outline="0" fieldPosition="0">
        <references count="1">
          <reference field="12" count="1">
            <x v="8"/>
          </reference>
        </references>
      </pivotArea>
    </format>
    <format dxfId="15">
      <pivotArea dataOnly="0" labelOnly="1" outline="0" fieldPosition="0">
        <references count="1">
          <reference field="12" count="1">
            <x v="9"/>
          </reference>
        </references>
      </pivotArea>
    </format>
    <format dxfId="14">
      <pivotArea dataOnly="0" labelOnly="1" outline="0" fieldPosition="0">
        <references count="1">
          <reference field="12" count="1">
            <x v="10"/>
          </reference>
        </references>
      </pivotArea>
    </format>
    <format dxfId="13">
      <pivotArea dataOnly="0" labelOnly="1" outline="0" fieldPosition="0">
        <references count="1">
          <reference field="12" count="1">
            <x v="11"/>
          </reference>
        </references>
      </pivotArea>
    </format>
    <format dxfId="12">
      <pivotArea dataOnly="0" labelOnly="1" outline="0" fieldPosition="0">
        <references count="1">
          <reference field="12" count="1">
            <x v="12"/>
          </reference>
        </references>
      </pivotArea>
    </format>
    <format dxfId="11">
      <pivotArea dataOnly="0" labelOnly="1" outline="0" fieldPosition="0">
        <references count="1">
          <reference field="12" count="1">
            <x v="13"/>
          </reference>
        </references>
      </pivotArea>
    </format>
    <format dxfId="10">
      <pivotArea dataOnly="0" labelOnly="1" outline="0" fieldPosition="0">
        <references count="1">
          <reference field="12" count="1">
            <x v="14"/>
          </reference>
        </references>
      </pivotArea>
    </format>
    <format dxfId="9">
      <pivotArea dataOnly="0" labelOnly="1" outline="0" fieldPosition="0">
        <references count="1">
          <reference field="12" count="1">
            <x v="15"/>
          </reference>
        </references>
      </pivotArea>
    </format>
    <format dxfId="8">
      <pivotArea dataOnly="0" labelOnly="1" outline="0" fieldPosition="0">
        <references count="1">
          <reference field="12" count="1" defaultSubtotal="1">
            <x v="15"/>
          </reference>
        </references>
      </pivotArea>
    </format>
    <format dxfId="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AF3F7-5BDD-4397-92E0-AE444FF6120A}" name="PivotTable4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P18" firstHeaderRow="1" firstDataRow="3" firstDataCol="1"/>
  <pivotFields count="24">
    <pivotField showAll="0"/>
    <pivotField axis="axisRow" showAll="0">
      <items count="13">
        <item x="1"/>
        <item x="10"/>
        <item x="11"/>
        <item x="5"/>
        <item x="2"/>
        <item x="3"/>
        <item x="8"/>
        <item x="9"/>
        <item x="4"/>
        <item x="0"/>
        <item x="6"/>
        <item x="7"/>
        <item t="default"/>
      </items>
    </pivotField>
    <pivotField showAll="0"/>
    <pivotField axis="axisCol" showAll="0">
      <items count="9">
        <item sd="0" x="1"/>
        <item sd="0" x="2"/>
        <item sd="0" x="3"/>
        <item sd="0" x="4"/>
        <item sd="0" x="5"/>
        <item sd="0" x="6"/>
        <item x="0"/>
        <item x="7"/>
        <item t="default"/>
      </items>
    </pivotField>
    <pivotField axis="axisCol" showAll="0">
      <items count="83">
        <item x="77"/>
        <item x="1"/>
        <item x="2"/>
        <item x="43"/>
        <item x="44"/>
        <item x="45"/>
        <item x="46"/>
        <item x="36"/>
        <item x="47"/>
        <item x="48"/>
        <item x="3"/>
        <item x="4"/>
        <item x="5"/>
        <item x="78"/>
        <item x="6"/>
        <item x="9"/>
        <item x="10"/>
        <item x="49"/>
        <item x="50"/>
        <item x="51"/>
        <item x="52"/>
        <item x="37"/>
        <item x="12"/>
        <item x="11"/>
        <item x="7"/>
        <item x="8"/>
        <item x="79"/>
        <item x="13"/>
        <item x="15"/>
        <item x="14"/>
        <item x="53"/>
        <item x="54"/>
        <item x="55"/>
        <item x="38"/>
        <item x="41"/>
        <item x="18"/>
        <item x="39"/>
        <item x="16"/>
        <item x="17"/>
        <item x="20"/>
        <item x="19"/>
        <item x="21"/>
        <item x="22"/>
        <item x="23"/>
        <item x="24"/>
        <item x="56"/>
        <item x="60"/>
        <item x="61"/>
        <item x="57"/>
        <item x="59"/>
        <item x="58"/>
        <item x="80"/>
        <item x="65"/>
        <item x="62"/>
        <item x="63"/>
        <item x="66"/>
        <item x="67"/>
        <item x="68"/>
        <item x="69"/>
        <item x="70"/>
        <item x="64"/>
        <item x="25"/>
        <item x="26"/>
        <item x="27"/>
        <item x="28"/>
        <item x="29"/>
        <item x="30"/>
        <item x="31"/>
        <item x="32"/>
        <item x="71"/>
        <item x="72"/>
        <item x="40"/>
        <item x="73"/>
        <item x="34"/>
        <item x="35"/>
        <item x="33"/>
        <item x="42"/>
        <item x="75"/>
        <item x="74"/>
        <item x="76"/>
        <item x="0"/>
        <item x="8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3"/>
    <field x="4"/>
  </colFields>
  <colItems count="15">
    <i>
      <x/>
    </i>
    <i>
      <x v="1"/>
    </i>
    <i>
      <x v="2"/>
    </i>
    <i>
      <x v="3"/>
    </i>
    <i>
      <x v="4"/>
    </i>
    <i>
      <x v="5"/>
    </i>
    <i>
      <x v="6"/>
      <x v="76"/>
    </i>
    <i r="1">
      <x v="77"/>
    </i>
    <i r="1">
      <x v="78"/>
    </i>
    <i r="1">
      <x v="79"/>
    </i>
    <i r="1">
      <x v="80"/>
    </i>
    <i t="default">
      <x v="6"/>
    </i>
    <i>
      <x v="7"/>
      <x v="81"/>
    </i>
    <i t="default">
      <x v="7"/>
    </i>
    <i t="grand">
      <x/>
    </i>
  </colItems>
  <dataFields count="1">
    <dataField name="Sum of Bedra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657143-7147-4947-BA60-EE9BDE4E1632}" name="Table3" displayName="Table3" ref="A1:N2" totalsRowShown="0">
  <autoFilter ref="A1:N2" xr:uid="{75657143-7147-4947-BA60-EE9BDE4E1632}"/>
  <tableColumns count="14">
    <tableColumn id="1" xr3:uid="{F59E395F-A61C-410E-8F2E-7B41758FC98C}" name="id"/>
    <tableColumn id="2" xr3:uid="{3662B0CA-433C-4678-9854-C25F3401E020}" name="bron"/>
    <tableColumn id="3" xr3:uid="{F94F0E8A-F50F-4C8D-9F0E-3B5B592358AC}" name="leeg0"/>
    <tableColumn id="4" xr3:uid="{B4CFF848-394C-4F41-96BC-EB4D584F4C25}" name="jaar"/>
    <tableColumn id="5" xr3:uid="{8A5CED62-F413-46BE-ACF1-DB4632F938EB}" name="maand"/>
    <tableColumn id="6" xr3:uid="{474C702E-D8D8-4B7C-8EF1-C1666D23DAAF}" name="datum" dataDxfId="2"/>
    <tableColumn id="7" xr3:uid="{B531F2CA-7F57-41F0-881D-17053F2519F7}" name="datum_origineel"/>
    <tableColumn id="8" xr3:uid="{D2E0F808-C202-49EC-B4DC-B300943C7B02}" name="Bedrag"/>
    <tableColumn id="9" xr3:uid="{6A9F5E48-2FBC-4789-AF88-9CB426087F2C}" name="ABS(bedrag)"/>
    <tableColumn id="10" xr3:uid="{A99DC64D-DEE5-45C8-AD0E-759B9B78E9AD}" name="leeg3"/>
    <tableColumn id="11" xr3:uid="{A3DED826-20A5-40D8-A3A7-716FCDD2AC66}" name="Naam tegenpartij"/>
    <tableColumn id="12" xr3:uid="{69A25D81-42A3-46DB-AF1E-9C01E30D3058}" name="in_uit"/>
    <tableColumn id="13" xr3:uid="{712F3BF8-2DB0-4098-AC51-0AB6CB6FA5DA}" name="hoofdrub"/>
    <tableColumn id="14" xr3:uid="{D0E2310C-41C8-4457-9F62-6773246B120C}" name="rubri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05636-B633-43FF-BD4A-EC187738329E}" name="Table2" displayName="Table2" ref="A1:N6" totalsRowShown="0">
  <autoFilter ref="A1:N6" xr:uid="{B8105636-B633-43FF-BD4A-EC187738329E}"/>
  <tableColumns count="14">
    <tableColumn id="1" xr3:uid="{1F21D6CA-1B24-4B27-8C10-EDABD46F5E9F}" name="id"/>
    <tableColumn id="2" xr3:uid="{52D70BB5-94C0-4C2D-BC3D-863C4388B540}" name="bron"/>
    <tableColumn id="3" xr3:uid="{3FD6E63B-945C-4D72-8949-02E1A6E9A6D4}" name="leeg0"/>
    <tableColumn id="4" xr3:uid="{C530A927-BC0C-42E6-8000-7D43BBF1C758}" name="jaar"/>
    <tableColumn id="5" xr3:uid="{1467D63F-62D0-4364-9C7F-E89E6F0E7FF9}" name="maand"/>
    <tableColumn id="6" xr3:uid="{70EEF25D-70F4-4D32-A16B-12646E701899}" name="datum" dataDxfId="4"/>
    <tableColumn id="7" xr3:uid="{F6382D7C-A4D3-4B93-B230-185732641FAC}" name="datum_origineel" dataDxfId="3"/>
    <tableColumn id="8" xr3:uid="{7074BF3A-1202-419F-AF5C-6776DFA75E34}" name="Bedrag"/>
    <tableColumn id="9" xr3:uid="{4C904F1F-2772-419C-A64D-2C03BF5A9D69}" name="ABS(bedrag)"/>
    <tableColumn id="10" xr3:uid="{ECC8DC62-3912-45C0-913C-280539761930}" name="leeg3"/>
    <tableColumn id="11" xr3:uid="{0E0317F3-92A2-4D37-B1DF-237541FC7913}" name="Naam tegenpartij"/>
    <tableColumn id="12" xr3:uid="{B954A72D-5207-40F6-9E1E-8FD48154A875}" name="in_uit"/>
    <tableColumn id="13" xr3:uid="{F0C591DA-9662-49C2-8400-0F6AB308CA55}" name="hoofdrub"/>
    <tableColumn id="14" xr3:uid="{0BDAE2F2-9391-4CB6-9CA4-19E89F942FB9}" name="rubrie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8263C9-73B3-4F60-A52A-E8E332367CC2}" name="Table1" displayName="Table1" ref="A1:X103" totalsRowShown="0">
  <autoFilter ref="A1:X103" xr:uid="{828263C9-73B3-4F60-A52A-E8E332367CC2}"/>
  <tableColumns count="24">
    <tableColumn id="1" xr3:uid="{B8D7CA1A-468C-4D28-AFCA-1F54191D5CB9}" name="0"/>
    <tableColumn id="2" xr3:uid="{57FF4BFB-DD6F-4AFD-B1C5-585086C5EF15}" name="bron"/>
    <tableColumn id="3" xr3:uid="{832CCD17-21A8-4A5C-A5FD-37DB8D65D251}" name="leeg0"/>
    <tableColumn id="4" xr3:uid="{BDE76EC8-7A7B-49BF-97FF-84CB852227FC}" name="jaar"/>
    <tableColumn id="5" xr3:uid="{056B776E-9EFF-42A3-B9F0-16AC27BA62FC}" name="maand"/>
    <tableColumn id="6" xr3:uid="{38BECFE4-4AD2-42A6-B593-84F3D8A48392}" name="datum" dataDxfId="6"/>
    <tableColumn id="7" xr3:uid="{9127CDC2-29BE-4851-9E80-E175731D7489}" name="datum_origineel" dataDxfId="5"/>
    <tableColumn id="8" xr3:uid="{44CB2448-5472-4921-9B8B-88671A67F1C7}" name="Bedrag"/>
    <tableColumn id="9" xr3:uid="{364E462C-AF0C-4DA3-8164-4389A316EC51}" name="ABS(bedrag)"/>
    <tableColumn id="10" xr3:uid="{53381626-1689-4690-AE42-92F1E4AEBBC7}" name="leeg3"/>
    <tableColumn id="11" xr3:uid="{1D947A9C-DEA2-4DD6-87F7-DDE651CFF31C}" name="Naam tegenpartij"/>
    <tableColumn id="12" xr3:uid="{3CB9AE05-78D0-4562-B9C5-A6739A15F8A5}" name="in_uit"/>
    <tableColumn id="13" xr3:uid="{C01134A7-F945-4799-8F38-AF7FEC538670}" name="hoofdrub"/>
    <tableColumn id="14" xr3:uid="{6CBEADBB-04A3-40F9-98D8-57581DE5465B}" name="rubriek"/>
    <tableColumn id="15" xr3:uid="{3280DE6D-810F-4458-99E5-14512A2011A6}" name="leeg4"/>
    <tableColumn id="16" xr3:uid="{ED95224A-A9CD-47C9-A042-F5A127343FD7}" name="OPMERKINGE"/>
    <tableColumn id="17" xr3:uid="{F319209F-2B53-4AE4-BD63-0F1EA4E7838B}" name="LEEG5"/>
    <tableColumn id="18" xr3:uid="{60D1F8BB-F2CC-4BC0-AE44-E112AB855161}" name="LEEG6"/>
    <tableColumn id="19" xr3:uid="{414D5D19-B504-4528-93CE-08EF93A12DA3}" name="LEEG"/>
    <tableColumn id="20" xr3:uid="{9DD0A2C4-6B98-4296-BE88-71ABAAB4A655}" name="LEEG2"/>
    <tableColumn id="21" xr3:uid="{D0ECDE3A-8067-469D-9A1F-6F48B78D98EC}" name="LEEG7"/>
    <tableColumn id="22" xr3:uid="{D2494086-B89E-40D3-9C29-6BC72742A5C6}" name="LEEG8"/>
    <tableColumn id="23" xr3:uid="{07C7618C-6407-4B1D-8839-F75F834C8358}" name="LEEG9"/>
    <tableColumn id="24" xr3:uid="{FF252326-065F-432B-AFA0-678834949865}" name="LEEG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C07CB7-94FB-4BA9-96AB-43CFBDCC712F}" name="Table4" displayName="Table4" ref="A1:X16" totalsRowShown="0">
  <autoFilter ref="A1:X16" xr:uid="{8BC07CB7-94FB-4BA9-96AB-43CFBDCC712F}"/>
  <tableColumns count="24">
    <tableColumn id="1" xr3:uid="{4F042A36-F25B-431C-BE15-3394C7AD20CD}" name="id"/>
    <tableColumn id="2" xr3:uid="{3DCBAA84-59C1-47F0-AD8E-CB355336614C}" name="bron"/>
    <tableColumn id="3" xr3:uid="{50805239-61E7-4BBE-996E-A6FFF9ABD8DD}" name="leeg0"/>
    <tableColumn id="4" xr3:uid="{85738711-9C84-473E-BB95-0B1E39CB4D82}" name="jaar"/>
    <tableColumn id="5" xr3:uid="{98EAF9E9-C299-401F-888B-44382C107FA5}" name="maand"/>
    <tableColumn id="6" xr3:uid="{C500A349-9F70-4B7E-83F4-75C3AAD7159A}" name="datum" dataDxfId="1"/>
    <tableColumn id="7" xr3:uid="{7F9390D2-A84E-45B5-A0D4-C0D9E4BC9DEF}" name="datum_origineel" dataDxfId="0"/>
    <tableColumn id="8" xr3:uid="{612F56BF-0D73-4BDD-A40D-961DE479E452}" name="Bedrag"/>
    <tableColumn id="9" xr3:uid="{22F81C08-637B-4105-8CF4-9C41436914D1}" name="ABS(bedrag)"/>
    <tableColumn id="10" xr3:uid="{E88D9EFD-97CA-4B6F-B787-B0B8892E6A6B}" name="leeg3"/>
    <tableColumn id="11" xr3:uid="{D2F4EF1B-1CD5-41BC-B721-983E25999ACC}" name="Naam tegenpartij"/>
    <tableColumn id="12" xr3:uid="{941E54E7-DA81-4A79-BBDD-566BFF9F9D74}" name="in_uit"/>
    <tableColumn id="13" xr3:uid="{04EA90BE-D838-44EA-8B76-282443584733}" name="hoofdrub"/>
    <tableColumn id="14" xr3:uid="{BDBD9D7C-A833-42EA-AF8E-FC6D0BA03FD1}" name="rubriek"/>
    <tableColumn id="15" xr3:uid="{0E93375D-D06A-4550-89DD-A09A6C584D5D}" name="LEEG04"/>
    <tableColumn id="16" xr3:uid="{902A6EB2-D1F1-49E3-BB59-327C8819C8CC}" name="OPMERKINGE"/>
    <tableColumn id="17" xr3:uid="{0A8272F3-63ED-4A92-A521-2E725A31973D}" name="LEEG5"/>
    <tableColumn id="18" xr3:uid="{22E4BC3D-5624-4A7B-B4F4-FB7748EB8042}" name="LEEG6"/>
    <tableColumn id="19" xr3:uid="{83E898D3-D990-408F-A384-45BBB1E0739E}" name="LEEG"/>
    <tableColumn id="20" xr3:uid="{B2A8ABD8-2233-4CA3-B1D7-07E07BC1EFCA}" name="LEEG2"/>
    <tableColumn id="21" xr3:uid="{934C374A-1E55-4D7F-984F-5B28EAD341FC}" name="LEEG4"/>
    <tableColumn id="22" xr3:uid="{A34D8C0E-8C6A-43F6-93DE-2EF572AA1F4E}" name="LEEG7"/>
    <tableColumn id="23" xr3:uid="{5490E048-2418-4ACC-BB61-33F5C20D0FBA}" name="LEEG8"/>
    <tableColumn id="24" xr3:uid="{9109782F-586D-4138-9726-E4936C064C6B}" name="LEEG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3222B-3E7C-43CC-B3E0-6FB0E95F7E37}">
  <dimension ref="A1:N2"/>
  <sheetViews>
    <sheetView workbookViewId="0">
      <selection activeCell="F13" sqref="F13"/>
    </sheetView>
  </sheetViews>
  <sheetFormatPr defaultRowHeight="15" x14ac:dyDescent="0.25"/>
  <cols>
    <col min="7" max="7" width="17.85546875" customWidth="1"/>
    <col min="8" max="8" width="9.28515625" customWidth="1"/>
    <col min="9" max="9" width="14.140625" customWidth="1"/>
    <col min="11" max="11" width="18.5703125" customWidth="1"/>
    <col min="13" max="13" width="11.42578125" customWidth="1"/>
    <col min="14" max="14" width="9.5703125" customWidth="1"/>
  </cols>
  <sheetData>
    <row r="1" spans="1:14" x14ac:dyDescent="0.25">
      <c r="A1" t="s">
        <v>186</v>
      </c>
      <c r="B1" t="s">
        <v>0</v>
      </c>
      <c r="C1" t="s">
        <v>228</v>
      </c>
      <c r="D1" t="s">
        <v>1</v>
      </c>
      <c r="E1" t="s">
        <v>3</v>
      </c>
      <c r="F1" t="s">
        <v>2</v>
      </c>
      <c r="G1" t="s">
        <v>243</v>
      </c>
      <c r="H1" t="s">
        <v>4</v>
      </c>
      <c r="I1" t="s">
        <v>307</v>
      </c>
      <c r="J1" t="s">
        <v>215</v>
      </c>
      <c r="K1" t="s">
        <v>5</v>
      </c>
      <c r="L1" t="s">
        <v>242</v>
      </c>
      <c r="M1" t="s">
        <v>6</v>
      </c>
      <c r="N1" t="s">
        <v>7</v>
      </c>
    </row>
    <row r="2" spans="1:14" x14ac:dyDescent="0.25">
      <c r="A2">
        <v>202305147</v>
      </c>
      <c r="B2" t="s">
        <v>140</v>
      </c>
      <c r="C2" t="s">
        <v>176</v>
      </c>
      <c r="D2">
        <v>2023</v>
      </c>
      <c r="E2" t="s">
        <v>366</v>
      </c>
      <c r="F2" s="1">
        <v>44977</v>
      </c>
      <c r="H2">
        <v>-0.77</v>
      </c>
      <c r="J2">
        <v>-0.77</v>
      </c>
      <c r="K2" t="s">
        <v>360</v>
      </c>
      <c r="L2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33DFC-9E96-44B3-A94D-DFDEC5A781EE}">
  <sheetPr codeName="Blad4"/>
  <dimension ref="A3:AE117"/>
  <sheetViews>
    <sheetView zoomScale="103" zoomScaleNormal="85" workbookViewId="0">
      <pane xSplit="1" ySplit="5" topLeftCell="B6" activePane="bottomRight" state="frozen"/>
      <selection activeCell="R19" sqref="R19"/>
      <selection pane="topRight" activeCell="R19" sqref="R19"/>
      <selection pane="bottomLeft" activeCell="R19" sqref="R19"/>
      <selection pane="bottomRight" activeCell="A11" sqref="A11"/>
    </sheetView>
  </sheetViews>
  <sheetFormatPr defaultRowHeight="15" x14ac:dyDescent="0.25"/>
  <cols>
    <col min="1" max="1" width="25.7109375" bestFit="1" customWidth="1"/>
    <col min="2" max="2" width="16.28515625" style="7" bestFit="1" customWidth="1"/>
    <col min="3" max="3" width="8.5703125" style="6" bestFit="1" customWidth="1"/>
    <col min="4" max="6" width="8.5703125" bestFit="1" customWidth="1"/>
    <col min="7" max="7" width="9.85546875" bestFit="1" customWidth="1"/>
    <col min="8" max="8" width="8.28515625" bestFit="1" customWidth="1"/>
    <col min="9" max="9" width="8.5703125" bestFit="1" customWidth="1"/>
    <col min="10" max="10" width="8.28515625" bestFit="1" customWidth="1"/>
    <col min="11" max="11" width="8.5703125" bestFit="1" customWidth="1"/>
    <col min="12" max="13" width="8.28515625" bestFit="1" customWidth="1"/>
    <col min="14" max="14" width="9.140625" bestFit="1" customWidth="1"/>
    <col min="15" max="15" width="12.140625" bestFit="1" customWidth="1"/>
    <col min="16" max="16" width="11.28515625" bestFit="1" customWidth="1"/>
    <col min="17" max="22" width="8.5703125" bestFit="1" customWidth="1"/>
    <col min="23" max="23" width="9.85546875" hidden="1" customWidth="1"/>
    <col min="24" max="27" width="8.42578125" hidden="1" customWidth="1"/>
    <col min="28" max="29" width="11.28515625" hidden="1" customWidth="1"/>
    <col min="30" max="30" width="9.85546875" hidden="1" customWidth="1"/>
    <col min="31" max="31" width="8.28515625" hidden="1" customWidth="1"/>
    <col min="32" max="36" width="8.5703125" bestFit="1" customWidth="1"/>
    <col min="37" max="37" width="9.85546875" bestFit="1" customWidth="1"/>
    <col min="38" max="38" width="11.28515625" bestFit="1" customWidth="1"/>
    <col min="39" max="48" width="8.5703125" bestFit="1" customWidth="1"/>
    <col min="49" max="49" width="9.85546875" bestFit="1" customWidth="1"/>
    <col min="50" max="50" width="11.28515625" bestFit="1" customWidth="1"/>
    <col min="51" max="61" width="8.5703125" bestFit="1" customWidth="1"/>
    <col min="62" max="62" width="9.85546875" bestFit="1" customWidth="1"/>
    <col min="63" max="63" width="11.28515625" bestFit="1" customWidth="1"/>
    <col min="64" max="73" width="8.5703125" bestFit="1" customWidth="1"/>
    <col min="74" max="74" width="9.85546875" bestFit="1" customWidth="1"/>
    <col min="75" max="75" width="11.28515625" bestFit="1" customWidth="1"/>
    <col min="76" max="86" width="8.5703125" bestFit="1" customWidth="1"/>
    <col min="87" max="87" width="9.85546875" bestFit="1" customWidth="1"/>
    <col min="88" max="88" width="11.28515625" bestFit="1" customWidth="1"/>
  </cols>
  <sheetData>
    <row r="3" spans="1:16" x14ac:dyDescent="0.25">
      <c r="A3" s="5" t="s">
        <v>151</v>
      </c>
      <c r="B3" s="7" t="s">
        <v>289</v>
      </c>
    </row>
    <row r="4" spans="1:16" x14ac:dyDescent="0.25">
      <c r="B4">
        <v>2023</v>
      </c>
      <c r="C4"/>
      <c r="G4" t="s">
        <v>293</v>
      </c>
      <c r="H4">
        <v>2022</v>
      </c>
      <c r="I4">
        <v>2021</v>
      </c>
      <c r="J4">
        <v>2020</v>
      </c>
      <c r="K4">
        <v>2019</v>
      </c>
      <c r="L4" s="6">
        <v>2018</v>
      </c>
      <c r="M4" s="7">
        <v>2017</v>
      </c>
      <c r="N4" t="s">
        <v>313</v>
      </c>
      <c r="O4" t="s">
        <v>380</v>
      </c>
      <c r="P4" t="s">
        <v>290</v>
      </c>
    </row>
    <row r="5" spans="1:16" x14ac:dyDescent="0.25">
      <c r="A5" s="5" t="s">
        <v>291</v>
      </c>
      <c r="B5" t="s">
        <v>314</v>
      </c>
      <c r="C5" t="s">
        <v>368</v>
      </c>
      <c r="D5" t="s">
        <v>367</v>
      </c>
      <c r="E5" t="s">
        <v>369</v>
      </c>
      <c r="F5" t="s">
        <v>366</v>
      </c>
      <c r="N5" t="s">
        <v>313</v>
      </c>
    </row>
    <row r="6" spans="1:16" x14ac:dyDescent="0.25">
      <c r="A6" s="3" t="s">
        <v>240</v>
      </c>
      <c r="B6" s="16">
        <v>-31.150000000000002</v>
      </c>
      <c r="C6" s="16">
        <v>1919.59</v>
      </c>
      <c r="D6" s="16">
        <v>2103.2399999999998</v>
      </c>
      <c r="E6" s="16"/>
      <c r="F6" s="16"/>
      <c r="G6" s="16">
        <v>3991.6799999999994</v>
      </c>
      <c r="H6" s="16">
        <v>7570.77</v>
      </c>
      <c r="I6" s="16">
        <v>10247.619999999999</v>
      </c>
      <c r="J6" s="16">
        <v>4380.68</v>
      </c>
      <c r="K6" s="16">
        <v>11425.220000000001</v>
      </c>
      <c r="L6" s="17">
        <v>8932.6500000000015</v>
      </c>
      <c r="M6" s="18">
        <v>8961.8100000000013</v>
      </c>
      <c r="N6" s="16"/>
      <c r="O6" s="16"/>
      <c r="P6" s="16">
        <v>55510.429999999993</v>
      </c>
    </row>
    <row r="7" spans="1:16" x14ac:dyDescent="0.25">
      <c r="A7" s="24" t="s">
        <v>292</v>
      </c>
      <c r="B7" s="16">
        <v>2.7</v>
      </c>
      <c r="C7" s="16"/>
      <c r="D7" s="16"/>
      <c r="E7" s="16"/>
      <c r="F7" s="16"/>
      <c r="G7" s="16">
        <v>2.7</v>
      </c>
      <c r="H7" s="16">
        <v>29.75</v>
      </c>
      <c r="I7" s="16"/>
      <c r="J7" s="16"/>
      <c r="K7" s="16"/>
      <c r="L7" s="17"/>
      <c r="M7" s="18"/>
      <c r="N7" s="16"/>
      <c r="O7" s="16"/>
      <c r="P7" s="16">
        <v>32.450000000000003</v>
      </c>
    </row>
    <row r="8" spans="1:16" x14ac:dyDescent="0.25">
      <c r="A8" s="59" t="s">
        <v>27</v>
      </c>
      <c r="B8" s="16"/>
      <c r="C8" s="16"/>
      <c r="D8" s="16"/>
      <c r="E8" s="16"/>
      <c r="F8" s="16"/>
      <c r="G8" s="16"/>
      <c r="H8" s="16">
        <v>29.75</v>
      </c>
      <c r="I8" s="16"/>
      <c r="J8" s="16"/>
      <c r="K8" s="16"/>
      <c r="L8" s="17"/>
      <c r="M8" s="18"/>
      <c r="N8" s="16"/>
      <c r="O8" s="16"/>
      <c r="P8" s="16">
        <v>29.75</v>
      </c>
    </row>
    <row r="9" spans="1:16" x14ac:dyDescent="0.25">
      <c r="A9" s="59" t="s">
        <v>34</v>
      </c>
      <c r="B9" s="16">
        <v>2.7</v>
      </c>
      <c r="C9" s="16"/>
      <c r="D9" s="16"/>
      <c r="E9" s="16"/>
      <c r="F9" s="16"/>
      <c r="G9" s="16">
        <v>2.7</v>
      </c>
      <c r="H9" s="16"/>
      <c r="I9" s="16"/>
      <c r="J9" s="16"/>
      <c r="K9" s="16"/>
      <c r="L9" s="17"/>
      <c r="M9" s="18"/>
      <c r="N9" s="16"/>
      <c r="O9" s="16"/>
      <c r="P9" s="16">
        <v>2.7</v>
      </c>
    </row>
    <row r="10" spans="1:16" x14ac:dyDescent="0.25">
      <c r="A10" s="24" t="s">
        <v>72</v>
      </c>
      <c r="B10" s="16">
        <v>-33.85</v>
      </c>
      <c r="C10" s="16">
        <v>1919.59</v>
      </c>
      <c r="D10" s="16">
        <v>2103.2399999999998</v>
      </c>
      <c r="E10" s="16"/>
      <c r="F10" s="16"/>
      <c r="G10" s="16">
        <v>3988.9799999999996</v>
      </c>
      <c r="H10" s="16">
        <v>6884.01</v>
      </c>
      <c r="I10" s="16">
        <v>10247.219999999999</v>
      </c>
      <c r="J10" s="16">
        <v>3631.2200000000003</v>
      </c>
      <c r="K10" s="16">
        <v>9562.94</v>
      </c>
      <c r="L10" s="17">
        <v>8673.630000000001</v>
      </c>
      <c r="M10" s="18">
        <v>8302.8100000000013</v>
      </c>
      <c r="N10" s="16"/>
      <c r="O10" s="16"/>
      <c r="P10" s="16">
        <v>51290.81</v>
      </c>
    </row>
    <row r="11" spans="1:16" x14ac:dyDescent="0.25">
      <c r="A11" s="24" t="s">
        <v>308</v>
      </c>
      <c r="B11" s="16"/>
      <c r="C11" s="16"/>
      <c r="D11" s="16"/>
      <c r="E11" s="16"/>
      <c r="F11" s="16"/>
      <c r="G11" s="16"/>
      <c r="H11" s="16">
        <v>657.01</v>
      </c>
      <c r="I11" s="16">
        <v>0.4</v>
      </c>
      <c r="J11" s="16">
        <v>749.46</v>
      </c>
      <c r="K11" s="16">
        <v>1862.28</v>
      </c>
      <c r="L11" s="17">
        <v>259.02</v>
      </c>
      <c r="M11" s="18">
        <v>659</v>
      </c>
      <c r="N11" s="16"/>
      <c r="O11" s="16"/>
      <c r="P11" s="16">
        <v>4187.17</v>
      </c>
    </row>
    <row r="12" spans="1:16" x14ac:dyDescent="0.25">
      <c r="A12" s="3" t="s">
        <v>241</v>
      </c>
      <c r="B12" s="16">
        <v>10.73</v>
      </c>
      <c r="C12" s="16">
        <v>-314.89999999999992</v>
      </c>
      <c r="D12" s="16">
        <v>-237.98000000000005</v>
      </c>
      <c r="E12" s="16">
        <v>-91.039999999999992</v>
      </c>
      <c r="F12" s="16">
        <v>-178.83</v>
      </c>
      <c r="G12" s="16">
        <v>-812.02</v>
      </c>
      <c r="H12" s="16">
        <v>-3216.9288888888868</v>
      </c>
      <c r="I12" s="16">
        <v>-2397.7800000000025</v>
      </c>
      <c r="J12" s="16">
        <v>-2173.9300000000003</v>
      </c>
      <c r="K12" s="16">
        <v>-4055.6100000000033</v>
      </c>
      <c r="L12" s="17">
        <v>-3996.4599999999982</v>
      </c>
      <c r="M12" s="18">
        <v>-3887.4500000000007</v>
      </c>
      <c r="N12" s="16"/>
      <c r="O12" s="16"/>
      <c r="P12" s="16">
        <v>-20540.178888888891</v>
      </c>
    </row>
    <row r="13" spans="1:16" x14ac:dyDescent="0.25">
      <c r="A13" s="3" t="s">
        <v>294</v>
      </c>
      <c r="B13" s="16"/>
      <c r="C13" s="16"/>
      <c r="D13" s="16"/>
      <c r="E13" s="16"/>
      <c r="F13" s="16">
        <v>-8.2100000000000009</v>
      </c>
      <c r="G13" s="16">
        <v>-8.2100000000000009</v>
      </c>
      <c r="H13" s="16">
        <v>-5038.7478691019787</v>
      </c>
      <c r="I13" s="16">
        <v>-863.72777777777776</v>
      </c>
      <c r="J13" s="16">
        <v>-3378.0485714285714</v>
      </c>
      <c r="K13" s="16">
        <v>-2069.0700000000002</v>
      </c>
      <c r="L13" s="17">
        <v>-1623.69</v>
      </c>
      <c r="M13" s="18">
        <v>-1987.1400000000003</v>
      </c>
      <c r="N13" s="16"/>
      <c r="O13" s="16"/>
      <c r="P13" s="16">
        <v>-14968.634218308329</v>
      </c>
    </row>
    <row r="14" spans="1:16" x14ac:dyDescent="0.25">
      <c r="A14" s="3" t="s">
        <v>295</v>
      </c>
      <c r="B14" s="16">
        <v>-68.12</v>
      </c>
      <c r="C14" s="16"/>
      <c r="D14" s="16"/>
      <c r="E14" s="16"/>
      <c r="F14" s="16">
        <v>-45.410000000000004</v>
      </c>
      <c r="G14" s="16">
        <v>-113.53</v>
      </c>
      <c r="H14" s="16">
        <v>-961.18</v>
      </c>
      <c r="I14" s="16">
        <v>-542.56000000000006</v>
      </c>
      <c r="J14" s="16">
        <v>-2182.15</v>
      </c>
      <c r="K14" s="16">
        <v>-1061.81</v>
      </c>
      <c r="L14" s="17">
        <v>-1862.8700000000001</v>
      </c>
      <c r="M14" s="18">
        <v>-1814.1100000000001</v>
      </c>
      <c r="N14" s="16"/>
      <c r="O14" s="16"/>
      <c r="P14" s="16">
        <v>-8538.2099999999991</v>
      </c>
    </row>
    <row r="15" spans="1:16" x14ac:dyDescent="0.25">
      <c r="A15" s="3" t="s">
        <v>156</v>
      </c>
      <c r="B15" s="16">
        <v>-1.7763568394002505E-14</v>
      </c>
      <c r="C15" s="16">
        <v>-1.7763568394002505E-14</v>
      </c>
      <c r="D15" s="16">
        <v>-1.7763568394002505E-14</v>
      </c>
      <c r="E15" s="16"/>
      <c r="F15" s="16">
        <v>0</v>
      </c>
      <c r="G15" s="16">
        <v>-5.3290705182007514E-14</v>
      </c>
      <c r="H15" s="16">
        <v>1.1368683772161603E-13</v>
      </c>
      <c r="I15" s="16">
        <v>9.9475983006414026E-13</v>
      </c>
      <c r="J15" s="16">
        <v>0</v>
      </c>
      <c r="K15" s="16">
        <v>-5.773159728050814E-15</v>
      </c>
      <c r="L15" s="17"/>
      <c r="M15" s="18"/>
      <c r="N15" s="16"/>
      <c r="O15" s="16"/>
      <c r="P15" s="16">
        <v>1.049382802875698E-12</v>
      </c>
    </row>
    <row r="16" spans="1:16" x14ac:dyDescent="0.25">
      <c r="A16" s="3" t="s">
        <v>306</v>
      </c>
      <c r="B16" s="16">
        <v>-227.14000000000004</v>
      </c>
      <c r="C16" s="16">
        <v>-82.78</v>
      </c>
      <c r="D16" s="16">
        <v>-76.940000000000026</v>
      </c>
      <c r="E16" s="16">
        <v>-16.21</v>
      </c>
      <c r="F16" s="16">
        <v>-91.070000000000022</v>
      </c>
      <c r="G16" s="16">
        <v>-494.1400000000001</v>
      </c>
      <c r="H16" s="16">
        <v>-892.3099999999996</v>
      </c>
      <c r="I16" s="16">
        <v>-971.04</v>
      </c>
      <c r="J16" s="16">
        <v>-1188.1500000000005</v>
      </c>
      <c r="K16" s="16">
        <v>-1457.57</v>
      </c>
      <c r="L16" s="17">
        <v>-2507.9499999999989</v>
      </c>
      <c r="M16" s="18">
        <v>-2543.5299999999997</v>
      </c>
      <c r="N16" s="16"/>
      <c r="O16" s="16"/>
      <c r="P16" s="16">
        <v>-10054.689999999999</v>
      </c>
    </row>
    <row r="17" spans="1:16" x14ac:dyDescent="0.25">
      <c r="A17" s="3" t="s">
        <v>313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7"/>
      <c r="M17" s="18"/>
      <c r="N17" s="16"/>
      <c r="O17" s="16"/>
      <c r="P17" s="16"/>
    </row>
    <row r="18" spans="1:16" x14ac:dyDescent="0.25">
      <c r="A18" s="24" t="s">
        <v>313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7"/>
      <c r="M18" s="18"/>
      <c r="N18" s="16"/>
      <c r="O18" s="16"/>
      <c r="P18" s="16"/>
    </row>
    <row r="19" spans="1:16" x14ac:dyDescent="0.25">
      <c r="A19" s="59" t="s">
        <v>313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7"/>
      <c r="M19" s="18"/>
      <c r="N19" s="16"/>
      <c r="O19" s="16"/>
      <c r="P19" s="16"/>
    </row>
    <row r="20" spans="1:16" x14ac:dyDescent="0.25">
      <c r="A20" s="3" t="s">
        <v>290</v>
      </c>
      <c r="B20" s="16">
        <v>-315.68000000000006</v>
      </c>
      <c r="C20" s="16">
        <v>1521.91</v>
      </c>
      <c r="D20" s="16">
        <v>1788.3199999999997</v>
      </c>
      <c r="E20" s="16">
        <v>-107.25</v>
      </c>
      <c r="F20" s="16">
        <v>-323.52000000000004</v>
      </c>
      <c r="G20" s="16">
        <v>2563.7799999999988</v>
      </c>
      <c r="H20" s="16">
        <v>-2538.3967579908644</v>
      </c>
      <c r="I20" s="16">
        <v>5472.512222222219</v>
      </c>
      <c r="J20" s="16">
        <v>-4541.5985714285725</v>
      </c>
      <c r="K20" s="16">
        <v>2781.159999999998</v>
      </c>
      <c r="L20" s="17">
        <v>-1058.3199999999958</v>
      </c>
      <c r="M20" s="18">
        <v>-1270.4199999999996</v>
      </c>
      <c r="N20" s="16"/>
      <c r="O20" s="16"/>
      <c r="P20" s="16">
        <v>1408.7168928027768</v>
      </c>
    </row>
    <row r="21" spans="1:16" x14ac:dyDescent="0.25">
      <c r="B21"/>
      <c r="C21"/>
    </row>
    <row r="22" spans="1:16" x14ac:dyDescent="0.25">
      <c r="B22"/>
      <c r="C22"/>
    </row>
    <row r="23" spans="1:16" x14ac:dyDescent="0.25">
      <c r="B23"/>
      <c r="C23"/>
    </row>
    <row r="24" spans="1:16" x14ac:dyDescent="0.25">
      <c r="B24"/>
      <c r="C24"/>
    </row>
    <row r="25" spans="1:16" x14ac:dyDescent="0.25">
      <c r="B25"/>
      <c r="C25"/>
    </row>
    <row r="26" spans="1:16" x14ac:dyDescent="0.25">
      <c r="B26"/>
      <c r="C26"/>
    </row>
    <row r="27" spans="1:16" x14ac:dyDescent="0.25">
      <c r="B27"/>
      <c r="C27"/>
    </row>
    <row r="28" spans="1:16" x14ac:dyDescent="0.25">
      <c r="B28"/>
      <c r="C28"/>
    </row>
    <row r="29" spans="1:16" x14ac:dyDescent="0.25">
      <c r="B29"/>
      <c r="C29"/>
    </row>
    <row r="30" spans="1:16" x14ac:dyDescent="0.25">
      <c r="B30"/>
      <c r="C30"/>
    </row>
    <row r="31" spans="1:16" x14ac:dyDescent="0.25">
      <c r="B31"/>
      <c r="C31"/>
    </row>
    <row r="32" spans="1:16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C7EEA-1E02-4861-A762-15E7B601271F}">
  <dimension ref="A1:N6"/>
  <sheetViews>
    <sheetView workbookViewId="0">
      <selection sqref="A1:N6"/>
    </sheetView>
  </sheetViews>
  <sheetFormatPr defaultRowHeight="15" x14ac:dyDescent="0.25"/>
  <cols>
    <col min="7" max="7" width="17.85546875" customWidth="1"/>
    <col min="8" max="8" width="9.28515625" customWidth="1"/>
    <col min="9" max="9" width="14.140625" customWidth="1"/>
    <col min="11" max="11" width="18.5703125" customWidth="1"/>
    <col min="13" max="13" width="11.42578125" customWidth="1"/>
    <col min="14" max="14" width="9.5703125" customWidth="1"/>
  </cols>
  <sheetData>
    <row r="1" spans="1:14" x14ac:dyDescent="0.25">
      <c r="A1" t="s">
        <v>186</v>
      </c>
      <c r="B1" t="s">
        <v>0</v>
      </c>
      <c r="C1" t="s">
        <v>228</v>
      </c>
      <c r="D1" t="s">
        <v>1</v>
      </c>
      <c r="E1" t="s">
        <v>3</v>
      </c>
      <c r="F1" t="s">
        <v>2</v>
      </c>
      <c r="G1" t="s">
        <v>243</v>
      </c>
      <c r="H1" t="s">
        <v>4</v>
      </c>
      <c r="I1" t="s">
        <v>307</v>
      </c>
      <c r="J1" t="s">
        <v>215</v>
      </c>
      <c r="K1" t="s">
        <v>5</v>
      </c>
      <c r="L1" t="s">
        <v>242</v>
      </c>
      <c r="M1" t="s">
        <v>6</v>
      </c>
      <c r="N1" t="s">
        <v>7</v>
      </c>
    </row>
    <row r="2" spans="1:14" x14ac:dyDescent="0.25">
      <c r="A2">
        <v>202305122</v>
      </c>
      <c r="B2" t="s">
        <v>128</v>
      </c>
      <c r="C2" t="s">
        <v>176</v>
      </c>
      <c r="D2">
        <v>2023</v>
      </c>
      <c r="E2" t="s">
        <v>369</v>
      </c>
      <c r="F2" s="1">
        <v>45051</v>
      </c>
      <c r="G2" s="1">
        <v>45051</v>
      </c>
      <c r="H2">
        <v>-4.05</v>
      </c>
      <c r="I2">
        <v>226.53</v>
      </c>
      <c r="K2" t="s">
        <v>200</v>
      </c>
      <c r="L2" t="s">
        <v>241</v>
      </c>
      <c r="M2" t="s">
        <v>38</v>
      </c>
      <c r="N2" t="s">
        <v>39</v>
      </c>
    </row>
    <row r="3" spans="1:14" x14ac:dyDescent="0.25">
      <c r="A3">
        <v>202305128</v>
      </c>
      <c r="B3" t="s">
        <v>128</v>
      </c>
      <c r="C3" t="s">
        <v>176</v>
      </c>
      <c r="D3">
        <v>2023</v>
      </c>
      <c r="E3" t="s">
        <v>369</v>
      </c>
      <c r="F3" s="1">
        <v>45052</v>
      </c>
      <c r="G3" s="1">
        <v>45052</v>
      </c>
      <c r="H3">
        <v>-16.010000000000002</v>
      </c>
      <c r="I3">
        <v>171.87</v>
      </c>
      <c r="K3" t="s">
        <v>198</v>
      </c>
      <c r="L3" t="s">
        <v>241</v>
      </c>
      <c r="M3" t="s">
        <v>38</v>
      </c>
      <c r="N3" t="s">
        <v>39</v>
      </c>
    </row>
    <row r="4" spans="1:14" x14ac:dyDescent="0.25">
      <c r="A4">
        <v>202305127</v>
      </c>
      <c r="B4" t="s">
        <v>128</v>
      </c>
      <c r="C4" t="s">
        <v>176</v>
      </c>
      <c r="D4">
        <v>2023</v>
      </c>
      <c r="E4" t="s">
        <v>369</v>
      </c>
      <c r="F4" s="1">
        <v>45052</v>
      </c>
      <c r="G4" s="1">
        <v>45052</v>
      </c>
      <c r="H4">
        <v>-7.56</v>
      </c>
      <c r="I4">
        <v>187.88</v>
      </c>
      <c r="K4" t="s">
        <v>198</v>
      </c>
      <c r="L4" t="s">
        <v>241</v>
      </c>
      <c r="M4" t="s">
        <v>38</v>
      </c>
      <c r="N4" t="s">
        <v>39</v>
      </c>
    </row>
    <row r="5" spans="1:14" x14ac:dyDescent="0.25">
      <c r="A5">
        <v>202305121</v>
      </c>
      <c r="B5" t="s">
        <v>128</v>
      </c>
      <c r="C5" t="s">
        <v>176</v>
      </c>
      <c r="D5">
        <v>2023</v>
      </c>
      <c r="E5" t="s">
        <v>369</v>
      </c>
      <c r="F5" s="1">
        <v>45049</v>
      </c>
      <c r="G5" s="1">
        <v>45049</v>
      </c>
      <c r="H5">
        <v>-15.92</v>
      </c>
      <c r="I5">
        <v>230.58</v>
      </c>
      <c r="K5" t="s">
        <v>204</v>
      </c>
      <c r="L5" t="s">
        <v>241</v>
      </c>
      <c r="M5" t="s">
        <v>38</v>
      </c>
      <c r="N5" t="s">
        <v>39</v>
      </c>
    </row>
    <row r="6" spans="1:14" x14ac:dyDescent="0.25">
      <c r="A6">
        <v>202305163</v>
      </c>
      <c r="D6">
        <v>2023</v>
      </c>
      <c r="E6" t="s">
        <v>369</v>
      </c>
      <c r="F6" s="1">
        <v>45053</v>
      </c>
      <c r="H6">
        <v>74.14</v>
      </c>
      <c r="K6" t="s">
        <v>371</v>
      </c>
      <c r="L6" t="s">
        <v>241</v>
      </c>
      <c r="M6" t="s">
        <v>38</v>
      </c>
      <c r="N6" t="s">
        <v>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CDF3-7F2D-416F-AE9C-397BF9794ABA}">
  <sheetPr codeName="Blad1"/>
  <dimension ref="A3:Q97"/>
  <sheetViews>
    <sheetView zoomScale="103" workbookViewId="0">
      <pane xSplit="1" ySplit="5" topLeftCell="B6" activePane="bottomRight" state="frozen"/>
      <selection activeCell="R19" sqref="R19"/>
      <selection pane="topRight" activeCell="R19" sqref="R19"/>
      <selection pane="bottomLeft" activeCell="R19" sqref="R19"/>
      <selection pane="bottomRight" activeCell="A12" sqref="A12"/>
    </sheetView>
  </sheetViews>
  <sheetFormatPr defaultRowHeight="15" x14ac:dyDescent="0.25"/>
  <cols>
    <col min="1" max="1" width="28.42578125" style="3" bestFit="1" customWidth="1"/>
    <col min="2" max="2" width="15.28515625" style="7" bestFit="1" customWidth="1"/>
    <col min="3" max="3" width="8.28515625" style="6" bestFit="1" customWidth="1"/>
    <col min="4" max="4" width="9.28515625" bestFit="1" customWidth="1"/>
    <col min="5" max="6" width="8.28515625" bestFit="1" customWidth="1"/>
    <col min="7" max="7" width="8.5703125" bestFit="1" customWidth="1"/>
    <col min="8" max="8" width="8.28515625" bestFit="1" customWidth="1"/>
    <col min="9" max="13" width="8.5703125" bestFit="1" customWidth="1"/>
    <col min="14" max="14" width="9.85546875" bestFit="1" customWidth="1"/>
    <col min="15" max="15" width="9.140625" bestFit="1" customWidth="1"/>
    <col min="16" max="16" width="12.140625" bestFit="1" customWidth="1"/>
    <col min="17" max="17" width="11.28515625" bestFit="1" customWidth="1"/>
    <col min="18" max="20" width="8.5703125" bestFit="1" customWidth="1"/>
    <col min="21" max="21" width="9.85546875" bestFit="1" customWidth="1"/>
    <col min="22" max="26" width="8.5703125" bestFit="1" customWidth="1"/>
    <col min="27" max="27" width="9.85546875" bestFit="1" customWidth="1"/>
    <col min="28" max="28" width="9.140625" bestFit="1" customWidth="1"/>
    <col min="29" max="29" width="12.140625" bestFit="1" customWidth="1"/>
    <col min="30" max="30" width="11.28515625" bestFit="1" customWidth="1"/>
    <col min="31" max="32" width="8.5703125" bestFit="1" customWidth="1"/>
    <col min="33" max="33" width="9.85546875" bestFit="1" customWidth="1"/>
    <col min="34" max="38" width="8.5703125" bestFit="1" customWidth="1"/>
    <col min="39" max="39" width="9.85546875" bestFit="1" customWidth="1"/>
    <col min="40" max="40" width="9.140625" bestFit="1" customWidth="1"/>
    <col min="41" max="41" width="12.140625" bestFit="1" customWidth="1"/>
    <col min="42" max="42" width="11.28515625" bestFit="1" customWidth="1"/>
    <col min="43" max="45" width="8.5703125" bestFit="1" customWidth="1"/>
    <col min="46" max="46" width="9.85546875" bestFit="1" customWidth="1"/>
    <col min="47" max="51" width="8.5703125" bestFit="1" customWidth="1"/>
    <col min="52" max="52" width="9.85546875" bestFit="1" customWidth="1"/>
    <col min="53" max="53" width="9.140625" bestFit="1" customWidth="1"/>
    <col min="54" max="54" width="12.140625" bestFit="1" customWidth="1"/>
    <col min="55" max="55" width="11.28515625" bestFit="1" customWidth="1"/>
    <col min="56" max="59" width="8.5703125" bestFit="1" customWidth="1"/>
    <col min="60" max="60" width="9.85546875" bestFit="1" customWidth="1"/>
    <col min="61" max="65" width="8.5703125" bestFit="1" customWidth="1"/>
    <col min="66" max="66" width="9.85546875" bestFit="1" customWidth="1"/>
    <col min="67" max="67" width="9.140625" bestFit="1" customWidth="1"/>
    <col min="68" max="68" width="12.140625" bestFit="1" customWidth="1"/>
    <col min="69" max="69" width="11.28515625" bestFit="1" customWidth="1"/>
    <col min="70" max="71" width="8.5703125" bestFit="1" customWidth="1"/>
    <col min="72" max="72" width="9.85546875" bestFit="1" customWidth="1"/>
    <col min="73" max="77" width="8.5703125" bestFit="1" customWidth="1"/>
    <col min="78" max="78" width="9.85546875" bestFit="1" customWidth="1"/>
    <col min="79" max="79" width="9.140625" bestFit="1" customWidth="1"/>
    <col min="80" max="80" width="12.140625" bestFit="1" customWidth="1"/>
    <col min="81" max="81" width="11.28515625" bestFit="1" customWidth="1"/>
    <col min="82" max="84" width="8.5703125" bestFit="1" customWidth="1"/>
    <col min="85" max="85" width="9.85546875" bestFit="1" customWidth="1"/>
    <col min="86" max="90" width="8.5703125" bestFit="1" customWidth="1"/>
    <col min="91" max="91" width="9.85546875" bestFit="1" customWidth="1"/>
    <col min="93" max="93" width="12.140625" bestFit="1" customWidth="1"/>
    <col min="94" max="94" width="11.28515625" bestFit="1" customWidth="1"/>
  </cols>
  <sheetData>
    <row r="3" spans="1:17" x14ac:dyDescent="0.25">
      <c r="A3" s="60" t="s">
        <v>151</v>
      </c>
      <c r="B3" s="3"/>
      <c r="C3" s="7" t="s">
        <v>1</v>
      </c>
      <c r="D3" s="6" t="s">
        <v>3</v>
      </c>
    </row>
    <row r="4" spans="1:17" x14ac:dyDescent="0.25">
      <c r="B4" s="3"/>
      <c r="C4" s="7">
        <v>2017</v>
      </c>
      <c r="D4" s="6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N4" t="s">
        <v>293</v>
      </c>
      <c r="O4" t="s">
        <v>313</v>
      </c>
      <c r="P4" t="s">
        <v>380</v>
      </c>
      <c r="Q4" t="s">
        <v>290</v>
      </c>
    </row>
    <row r="5" spans="1:17" x14ac:dyDescent="0.25">
      <c r="A5" s="60" t="s">
        <v>6</v>
      </c>
      <c r="B5" s="5" t="s">
        <v>7</v>
      </c>
      <c r="C5"/>
      <c r="I5" t="s">
        <v>314</v>
      </c>
      <c r="J5" t="s">
        <v>368</v>
      </c>
      <c r="K5" t="s">
        <v>367</v>
      </c>
      <c r="L5" t="s">
        <v>369</v>
      </c>
      <c r="M5" t="s">
        <v>366</v>
      </c>
      <c r="O5" t="s">
        <v>313</v>
      </c>
    </row>
    <row r="6" spans="1:17" x14ac:dyDescent="0.25">
      <c r="A6" s="3" t="s">
        <v>10</v>
      </c>
      <c r="B6"/>
      <c r="C6" s="18">
        <v>-1987.1400000000003</v>
      </c>
      <c r="D6" s="17">
        <v>-1623.69</v>
      </c>
      <c r="E6" s="16">
        <v>-2069.0700000000002</v>
      </c>
      <c r="F6" s="16">
        <v>-3378.0485714285714</v>
      </c>
      <c r="G6" s="16">
        <v>-863.72777777777776</v>
      </c>
      <c r="H6" s="16">
        <v>-5139.4978691019787</v>
      </c>
      <c r="I6" s="16"/>
      <c r="J6" s="16"/>
      <c r="K6" s="16"/>
      <c r="L6" s="16"/>
      <c r="M6" s="16">
        <v>-8.2100000000000009</v>
      </c>
      <c r="N6" s="16">
        <v>-8.2100000000000009</v>
      </c>
      <c r="O6" s="16"/>
      <c r="P6" s="16"/>
      <c r="Q6" s="16">
        <v>-15069.384218308329</v>
      </c>
    </row>
    <row r="7" spans="1:17" x14ac:dyDescent="0.25">
      <c r="A7" s="3" t="s">
        <v>161</v>
      </c>
      <c r="B7"/>
      <c r="C7" s="18">
        <v>-1437.38</v>
      </c>
      <c r="D7" s="17">
        <v>-1497.71</v>
      </c>
      <c r="E7" s="16">
        <v>-618.24</v>
      </c>
      <c r="F7" s="16">
        <v>-1863.1499999999999</v>
      </c>
      <c r="G7" s="16">
        <v>-212.89999999999998</v>
      </c>
      <c r="H7" s="16">
        <v>-1165.1799999999998</v>
      </c>
      <c r="I7" s="16"/>
      <c r="J7" s="16"/>
      <c r="K7" s="16"/>
      <c r="L7" s="16"/>
      <c r="M7" s="16"/>
      <c r="N7" s="16"/>
      <c r="O7" s="16"/>
      <c r="P7" s="16"/>
      <c r="Q7" s="16">
        <v>-6794.5599999999995</v>
      </c>
    </row>
    <row r="8" spans="1:17" x14ac:dyDescent="0.25">
      <c r="A8" s="3" t="s">
        <v>165</v>
      </c>
      <c r="B8"/>
      <c r="C8" s="18">
        <v>-376.73</v>
      </c>
      <c r="D8" s="17">
        <v>-365.15999999999997</v>
      </c>
      <c r="E8" s="16">
        <v>-443.57</v>
      </c>
      <c r="F8" s="16">
        <v>-319</v>
      </c>
      <c r="G8" s="16">
        <v>-329.65999999999997</v>
      </c>
      <c r="H8" s="16">
        <v>-441.36</v>
      </c>
      <c r="I8" s="16">
        <v>-68.12</v>
      </c>
      <c r="J8" s="16"/>
      <c r="K8" s="16"/>
      <c r="L8" s="16"/>
      <c r="M8" s="16">
        <v>-45.410000000000004</v>
      </c>
      <c r="N8" s="16">
        <v>-113.53</v>
      </c>
      <c r="O8" s="16"/>
      <c r="P8" s="16"/>
      <c r="Q8" s="16">
        <v>-2389.0099999999998</v>
      </c>
    </row>
    <row r="9" spans="1:17" x14ac:dyDescent="0.25">
      <c r="A9" s="3" t="s">
        <v>38</v>
      </c>
      <c r="B9" t="s">
        <v>39</v>
      </c>
      <c r="C9" s="18">
        <v>-855.53999999999985</v>
      </c>
      <c r="D9" s="17">
        <v>-823.60000000000014</v>
      </c>
      <c r="E9" s="16">
        <v>-995.85999999999945</v>
      </c>
      <c r="F9" s="16">
        <v>-653.74999999999977</v>
      </c>
      <c r="G9" s="16">
        <v>-994.01999999999987</v>
      </c>
      <c r="H9" s="16">
        <v>-484.78000000000031</v>
      </c>
      <c r="I9" s="16"/>
      <c r="J9" s="16">
        <v>-213.94999999999996</v>
      </c>
      <c r="K9" s="16">
        <v>-155.27000000000001</v>
      </c>
      <c r="L9" s="16">
        <v>-32.099999999999994</v>
      </c>
      <c r="M9" s="16">
        <v>-114.10000000000001</v>
      </c>
      <c r="N9" s="16">
        <v>-515.41999999999996</v>
      </c>
      <c r="O9" s="16"/>
      <c r="P9" s="16"/>
      <c r="Q9" s="16">
        <v>-5322.97</v>
      </c>
    </row>
    <row r="10" spans="1:17" x14ac:dyDescent="0.25">
      <c r="B10" t="s">
        <v>213</v>
      </c>
      <c r="C10" s="18"/>
      <c r="D10" s="17"/>
      <c r="E10" s="16">
        <v>-42.53</v>
      </c>
      <c r="F10" s="16">
        <v>-131.07</v>
      </c>
      <c r="G10" s="16">
        <v>-47.69</v>
      </c>
      <c r="H10" s="16">
        <v>-19.05</v>
      </c>
      <c r="I10" s="16"/>
      <c r="J10" s="16"/>
      <c r="K10" s="16"/>
      <c r="L10" s="16"/>
      <c r="M10" s="16"/>
      <c r="N10" s="16"/>
      <c r="O10" s="16"/>
      <c r="P10" s="16"/>
      <c r="Q10" s="16">
        <v>-240.34</v>
      </c>
    </row>
    <row r="11" spans="1:17" x14ac:dyDescent="0.25">
      <c r="A11" t="s">
        <v>381</v>
      </c>
      <c r="B11"/>
      <c r="C11" s="18">
        <v>-855.53999999999985</v>
      </c>
      <c r="D11" s="17">
        <v>-823.60000000000014</v>
      </c>
      <c r="E11" s="16">
        <v>-1038.3899999999994</v>
      </c>
      <c r="F11" s="16">
        <v>-784.81999999999971</v>
      </c>
      <c r="G11" s="16">
        <v>-1041.7099999999998</v>
      </c>
      <c r="H11" s="16">
        <v>-503.83000000000033</v>
      </c>
      <c r="I11" s="16"/>
      <c r="J11" s="16">
        <v>-213.94999999999996</v>
      </c>
      <c r="K11" s="16">
        <v>-155.27000000000001</v>
      </c>
      <c r="L11" s="16">
        <v>-32.099999999999994</v>
      </c>
      <c r="M11" s="16">
        <v>-114.10000000000001</v>
      </c>
      <c r="N11" s="16">
        <v>-515.41999999999996</v>
      </c>
      <c r="O11" s="16"/>
      <c r="P11" s="16"/>
      <c r="Q11" s="16">
        <v>-5563.31</v>
      </c>
    </row>
    <row r="12" spans="1:17" x14ac:dyDescent="0.25">
      <c r="A12" s="3" t="s">
        <v>292</v>
      </c>
      <c r="B12"/>
      <c r="C12" s="18">
        <v>-603.3599999999999</v>
      </c>
      <c r="D12" s="17">
        <v>-1277.02</v>
      </c>
      <c r="E12" s="16">
        <v>-1157.56</v>
      </c>
      <c r="F12" s="16">
        <v>-616.44999999999993</v>
      </c>
      <c r="G12" s="16">
        <v>-537.37</v>
      </c>
      <c r="H12" s="16">
        <v>-997.29111111111183</v>
      </c>
      <c r="I12" s="16">
        <v>2.7</v>
      </c>
      <c r="J12" s="16">
        <v>-61.95</v>
      </c>
      <c r="K12" s="16">
        <v>-75.709999999999994</v>
      </c>
      <c r="L12" s="16">
        <v>-55.94</v>
      </c>
      <c r="M12" s="16">
        <v>-7.7299999999999995</v>
      </c>
      <c r="N12" s="16">
        <v>-198.62999999999997</v>
      </c>
      <c r="O12" s="16"/>
      <c r="P12" s="16"/>
      <c r="Q12" s="16">
        <v>-5387.6811111111101</v>
      </c>
    </row>
    <row r="13" spans="1:17" x14ac:dyDescent="0.25">
      <c r="A13" s="3" t="s">
        <v>57</v>
      </c>
      <c r="B13"/>
      <c r="C13" s="18">
        <v>-563.4</v>
      </c>
      <c r="D13" s="17">
        <v>-332.43000000000006</v>
      </c>
      <c r="E13" s="16">
        <v>-304.20999999999998</v>
      </c>
      <c r="F13" s="16">
        <v>-139.22</v>
      </c>
      <c r="G13" s="16">
        <v>-288.72000000000003</v>
      </c>
      <c r="H13" s="16">
        <v>-199.32777777777778</v>
      </c>
      <c r="I13" s="16"/>
      <c r="J13" s="16"/>
      <c r="K13" s="16"/>
      <c r="L13" s="16"/>
      <c r="M13" s="16"/>
      <c r="N13" s="16"/>
      <c r="O13" s="16"/>
      <c r="P13" s="16"/>
      <c r="Q13" s="16">
        <v>-1827.3077777777778</v>
      </c>
    </row>
    <row r="14" spans="1:17" x14ac:dyDescent="0.25">
      <c r="A14" s="3" t="s">
        <v>124</v>
      </c>
      <c r="B14"/>
      <c r="C14" s="18">
        <v>0</v>
      </c>
      <c r="D14" s="17">
        <v>1.4210854715202004E-14</v>
      </c>
      <c r="E14" s="16">
        <v>-204.64</v>
      </c>
      <c r="F14" s="16"/>
      <c r="G14" s="16"/>
      <c r="H14" s="16">
        <v>-290.38</v>
      </c>
      <c r="I14" s="16">
        <v>17.73</v>
      </c>
      <c r="J14" s="16"/>
      <c r="K14" s="16"/>
      <c r="L14" s="16"/>
      <c r="M14" s="16"/>
      <c r="N14" s="16">
        <v>17.73</v>
      </c>
      <c r="O14" s="16"/>
      <c r="P14" s="16"/>
      <c r="Q14" s="16">
        <v>-477.28999999999996</v>
      </c>
    </row>
    <row r="15" spans="1:17" x14ac:dyDescent="0.25">
      <c r="A15" s="3" t="s">
        <v>42</v>
      </c>
      <c r="B15"/>
      <c r="C15" s="18">
        <v>-311.11</v>
      </c>
      <c r="D15" s="17">
        <v>-182.19</v>
      </c>
      <c r="E15" s="16">
        <v>-360.01</v>
      </c>
      <c r="F15" s="16">
        <v>-311.40999999999997</v>
      </c>
      <c r="G15" s="16">
        <v>-262.5</v>
      </c>
      <c r="H15" s="16">
        <v>-174.84</v>
      </c>
      <c r="I15" s="16"/>
      <c r="J15" s="16"/>
      <c r="K15" s="16"/>
      <c r="L15" s="16"/>
      <c r="M15" s="16">
        <v>-50</v>
      </c>
      <c r="N15" s="16">
        <v>-50</v>
      </c>
      <c r="O15" s="16"/>
      <c r="P15" s="16"/>
      <c r="Q15" s="16">
        <v>-1652.0599999999997</v>
      </c>
    </row>
    <row r="16" spans="1:17" x14ac:dyDescent="0.25">
      <c r="A16" s="3" t="s">
        <v>48</v>
      </c>
      <c r="B16"/>
      <c r="C16" s="18">
        <v>-1416.1399999999999</v>
      </c>
      <c r="D16" s="17">
        <v>-1194.6699999999996</v>
      </c>
      <c r="E16" s="16">
        <v>-860.29999999999984</v>
      </c>
      <c r="F16" s="16">
        <v>-322.03000000000003</v>
      </c>
      <c r="G16" s="16">
        <v>-263.48</v>
      </c>
      <c r="H16" s="16">
        <v>-270.39999999999998</v>
      </c>
      <c r="I16" s="16"/>
      <c r="J16" s="16">
        <v>-32</v>
      </c>
      <c r="K16" s="16"/>
      <c r="L16" s="16">
        <v>-3</v>
      </c>
      <c r="M16" s="16"/>
      <c r="N16" s="16">
        <v>-35</v>
      </c>
      <c r="O16" s="16"/>
      <c r="P16" s="16"/>
      <c r="Q16" s="16">
        <v>-4362.0199999999995</v>
      </c>
    </row>
    <row r="17" spans="1:17" x14ac:dyDescent="0.25">
      <c r="A17" s="3" t="s">
        <v>18</v>
      </c>
      <c r="B17"/>
      <c r="C17" s="18">
        <v>-2543.5299999999997</v>
      </c>
      <c r="D17" s="17">
        <v>-2507.9499999999989</v>
      </c>
      <c r="E17" s="16">
        <v>-1457.57</v>
      </c>
      <c r="F17" s="16">
        <v>-1188.1500000000005</v>
      </c>
      <c r="G17" s="16">
        <v>-971.04</v>
      </c>
      <c r="H17" s="16">
        <v>-892.3099999999996</v>
      </c>
      <c r="I17" s="16">
        <v>-234.14000000000004</v>
      </c>
      <c r="J17" s="16">
        <v>-89.78</v>
      </c>
      <c r="K17" s="16">
        <v>-83.940000000000026</v>
      </c>
      <c r="L17" s="16">
        <v>-16.21</v>
      </c>
      <c r="M17" s="16">
        <v>-98.070000000000022</v>
      </c>
      <c r="N17" s="16">
        <v>-522.1400000000001</v>
      </c>
      <c r="O17" s="16"/>
      <c r="P17" s="16"/>
      <c r="Q17" s="16">
        <v>-10082.689999999997</v>
      </c>
    </row>
    <row r="18" spans="1:17" x14ac:dyDescent="0.25">
      <c r="A18" s="3" t="s">
        <v>54</v>
      </c>
      <c r="B18"/>
      <c r="C18" s="18">
        <v>-55</v>
      </c>
      <c r="D18" s="17">
        <v>-93.55</v>
      </c>
      <c r="E18" s="16">
        <v>-50</v>
      </c>
      <c r="F18" s="16">
        <v>0</v>
      </c>
      <c r="G18" s="16">
        <v>-4</v>
      </c>
      <c r="H18" s="16">
        <v>-5</v>
      </c>
      <c r="I18" s="16"/>
      <c r="J18" s="16"/>
      <c r="K18" s="16"/>
      <c r="L18" s="16"/>
      <c r="M18" s="16"/>
      <c r="N18" s="16"/>
      <c r="O18" s="16"/>
      <c r="P18" s="16"/>
      <c r="Q18" s="16">
        <v>-207.55</v>
      </c>
    </row>
    <row r="19" spans="1:17" x14ac:dyDescent="0.25">
      <c r="A19" s="3" t="s">
        <v>156</v>
      </c>
      <c r="B19"/>
      <c r="C19" s="18"/>
      <c r="D19" s="17"/>
      <c r="E19" s="16">
        <v>-5.773159728050814E-15</v>
      </c>
      <c r="F19" s="16">
        <v>0</v>
      </c>
      <c r="G19" s="16">
        <v>9.9475983006414026E-13</v>
      </c>
      <c r="H19" s="16">
        <v>1.1368683772161603E-13</v>
      </c>
      <c r="I19" s="16">
        <v>-1.7763568394002505E-14</v>
      </c>
      <c r="J19" s="16">
        <v>-1.7763568394002505E-14</v>
      </c>
      <c r="K19" s="16">
        <v>-1.7763568394002505E-14</v>
      </c>
      <c r="L19" s="16"/>
      <c r="M19" s="16">
        <v>0</v>
      </c>
      <c r="N19" s="16">
        <v>-5.3290705182007514E-14</v>
      </c>
      <c r="O19" s="16"/>
      <c r="P19" s="16"/>
      <c r="Q19" s="16">
        <v>1.049382802875698E-12</v>
      </c>
    </row>
    <row r="20" spans="1:17" x14ac:dyDescent="0.25">
      <c r="A20" s="3" t="s">
        <v>210</v>
      </c>
      <c r="B20"/>
      <c r="C20" s="18">
        <v>-82.9</v>
      </c>
      <c r="D20" s="17">
        <v>-93</v>
      </c>
      <c r="E20" s="16">
        <v>-80.5</v>
      </c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-256.39999999999998</v>
      </c>
    </row>
    <row r="21" spans="1:17" x14ac:dyDescent="0.25">
      <c r="A21" s="3" t="s">
        <v>72</v>
      </c>
      <c r="B21"/>
      <c r="C21" s="18">
        <v>8302.8100000000013</v>
      </c>
      <c r="D21" s="17">
        <v>8673.630000000001</v>
      </c>
      <c r="E21" s="16">
        <v>9562.94</v>
      </c>
      <c r="F21" s="16">
        <v>3631.2200000000003</v>
      </c>
      <c r="G21" s="16">
        <v>10247.219999999999</v>
      </c>
      <c r="H21" s="16">
        <v>6884.01</v>
      </c>
      <c r="I21" s="16">
        <v>-33.85</v>
      </c>
      <c r="J21" s="16">
        <v>1919.59</v>
      </c>
      <c r="K21" s="16">
        <v>2103.2399999999998</v>
      </c>
      <c r="L21" s="16"/>
      <c r="M21" s="16"/>
      <c r="N21" s="16">
        <v>3988.9799999999996</v>
      </c>
      <c r="O21" s="16"/>
      <c r="P21" s="16"/>
      <c r="Q21" s="16">
        <v>51290.810000000005</v>
      </c>
    </row>
    <row r="22" spans="1:17" x14ac:dyDescent="0.25">
      <c r="A22" s="3" t="s">
        <v>308</v>
      </c>
      <c r="B22"/>
      <c r="C22" s="18">
        <v>659</v>
      </c>
      <c r="D22" s="17">
        <v>259.02</v>
      </c>
      <c r="E22" s="16">
        <v>1862.28</v>
      </c>
      <c r="F22" s="16">
        <v>749.46</v>
      </c>
      <c r="G22" s="16">
        <v>0.4</v>
      </c>
      <c r="H22" s="16">
        <v>657.01</v>
      </c>
      <c r="I22" s="16"/>
      <c r="J22" s="16"/>
      <c r="K22" s="16"/>
      <c r="L22" s="16"/>
      <c r="M22" s="16"/>
      <c r="N22" s="16"/>
      <c r="O22" s="16"/>
      <c r="P22" s="16"/>
      <c r="Q22" s="16">
        <v>4187.17</v>
      </c>
    </row>
    <row r="23" spans="1:17" x14ac:dyDescent="0.25">
      <c r="A23" s="3" t="s">
        <v>313</v>
      </c>
      <c r="B23" t="s">
        <v>313</v>
      </c>
      <c r="C23" s="18"/>
      <c r="D23" s="17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3" t="s">
        <v>380</v>
      </c>
      <c r="B24" s="3"/>
      <c r="C24" s="18"/>
      <c r="D24" s="17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3" t="s">
        <v>290</v>
      </c>
      <c r="B25" s="3"/>
      <c r="C25" s="18">
        <v>-1270.4199999999964</v>
      </c>
      <c r="D25" s="17">
        <v>-1058.3199999999965</v>
      </c>
      <c r="E25" s="16">
        <v>2781.1599999999989</v>
      </c>
      <c r="F25" s="16">
        <v>-4541.5985714285707</v>
      </c>
      <c r="G25" s="16">
        <v>5472.5122222222226</v>
      </c>
      <c r="H25" s="16">
        <v>-2538.3967579908676</v>
      </c>
      <c r="I25" s="16">
        <v>-315.68000000000006</v>
      </c>
      <c r="J25" s="16">
        <v>1521.9099999999999</v>
      </c>
      <c r="K25" s="16">
        <v>1788.3199999999997</v>
      </c>
      <c r="L25" s="16">
        <v>-107.25</v>
      </c>
      <c r="M25" s="16">
        <v>-323.52000000000004</v>
      </c>
      <c r="N25" s="16">
        <v>2563.7799999999997</v>
      </c>
      <c r="O25" s="16"/>
      <c r="P25" s="16"/>
      <c r="Q25" s="16">
        <v>1408.7168928027913</v>
      </c>
    </row>
    <row r="26" spans="1:17" x14ac:dyDescent="0.25">
      <c r="A26"/>
      <c r="B26"/>
      <c r="C26"/>
    </row>
    <row r="27" spans="1:17" x14ac:dyDescent="0.25">
      <c r="A27"/>
      <c r="B27"/>
      <c r="C27"/>
    </row>
    <row r="28" spans="1:17" x14ac:dyDescent="0.25">
      <c r="A28"/>
      <c r="B28"/>
      <c r="C28"/>
    </row>
    <row r="29" spans="1:17" x14ac:dyDescent="0.25">
      <c r="A29"/>
      <c r="B29"/>
      <c r="C29"/>
    </row>
    <row r="30" spans="1:17" x14ac:dyDescent="0.25">
      <c r="A30"/>
      <c r="B30"/>
      <c r="C30"/>
    </row>
    <row r="31" spans="1:17" x14ac:dyDescent="0.25">
      <c r="A31"/>
      <c r="B31"/>
      <c r="C31"/>
    </row>
    <row r="32" spans="1:17" x14ac:dyDescent="0.25">
      <c r="A32"/>
      <c r="B32"/>
      <c r="C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2F9C-D463-4CF5-9C22-8D5F4C6498FC}">
  <dimension ref="A1:X103"/>
  <sheetViews>
    <sheetView workbookViewId="0">
      <selection activeCell="E94" sqref="E94"/>
    </sheetView>
  </sheetViews>
  <sheetFormatPr defaultRowHeight="15" x14ac:dyDescent="0.25"/>
  <cols>
    <col min="7" max="7" width="17.85546875" customWidth="1"/>
    <col min="8" max="8" width="9.28515625" customWidth="1"/>
    <col min="9" max="9" width="14.140625" customWidth="1"/>
    <col min="11" max="11" width="18.5703125" customWidth="1"/>
    <col min="13" max="13" width="11.42578125" customWidth="1"/>
    <col min="14" max="14" width="9.5703125" customWidth="1"/>
    <col min="16" max="16" width="15.28515625" customWidth="1"/>
    <col min="24" max="24" width="9.42578125" customWidth="1"/>
  </cols>
  <sheetData>
    <row r="1" spans="1:24" x14ac:dyDescent="0.25">
      <c r="A1" t="s">
        <v>315</v>
      </c>
      <c r="B1" t="s">
        <v>0</v>
      </c>
      <c r="C1" t="s">
        <v>228</v>
      </c>
      <c r="D1" t="s">
        <v>1</v>
      </c>
      <c r="E1" t="s">
        <v>3</v>
      </c>
      <c r="F1" t="s">
        <v>2</v>
      </c>
      <c r="G1" t="s">
        <v>243</v>
      </c>
      <c r="H1" t="s">
        <v>4</v>
      </c>
      <c r="I1" t="s">
        <v>307</v>
      </c>
      <c r="J1" t="s">
        <v>215</v>
      </c>
      <c r="K1" t="s">
        <v>5</v>
      </c>
      <c r="L1" t="s">
        <v>242</v>
      </c>
      <c r="M1" t="s">
        <v>6</v>
      </c>
      <c r="N1" t="s">
        <v>7</v>
      </c>
      <c r="O1" t="s">
        <v>224</v>
      </c>
      <c r="P1" t="s">
        <v>194</v>
      </c>
      <c r="Q1" t="s">
        <v>225</v>
      </c>
      <c r="R1" t="s">
        <v>226</v>
      </c>
      <c r="S1" t="s">
        <v>195</v>
      </c>
      <c r="T1" t="s">
        <v>317</v>
      </c>
      <c r="U1" t="s">
        <v>318</v>
      </c>
      <c r="V1" t="s">
        <v>319</v>
      </c>
      <c r="W1" t="s">
        <v>320</v>
      </c>
      <c r="X1" t="s">
        <v>321</v>
      </c>
    </row>
    <row r="2" spans="1:24" x14ac:dyDescent="0.25">
      <c r="A2">
        <v>4</v>
      </c>
      <c r="B2" t="s">
        <v>8</v>
      </c>
      <c r="D2">
        <v>2017</v>
      </c>
      <c r="E2" t="s">
        <v>189</v>
      </c>
      <c r="F2" s="1">
        <v>42737</v>
      </c>
      <c r="G2" s="1">
        <v>42737</v>
      </c>
      <c r="H2">
        <v>-486.89</v>
      </c>
      <c r="I2">
        <v>486.89</v>
      </c>
      <c r="K2" t="s">
        <v>159</v>
      </c>
      <c r="L2" t="s">
        <v>295</v>
      </c>
      <c r="M2" t="s">
        <v>161</v>
      </c>
      <c r="N2" t="s">
        <v>11</v>
      </c>
    </row>
    <row r="3" spans="1:24" x14ac:dyDescent="0.25">
      <c r="A3">
        <v>2</v>
      </c>
      <c r="B3" t="s">
        <v>8</v>
      </c>
      <c r="D3">
        <v>2017</v>
      </c>
      <c r="E3" t="s">
        <v>189</v>
      </c>
      <c r="F3" s="1">
        <v>42737</v>
      </c>
      <c r="G3" s="1">
        <v>42737</v>
      </c>
      <c r="H3">
        <v>-225.07</v>
      </c>
      <c r="I3">
        <v>225.07</v>
      </c>
      <c r="K3" t="s">
        <v>160</v>
      </c>
      <c r="L3" t="s">
        <v>295</v>
      </c>
      <c r="M3" t="s">
        <v>161</v>
      </c>
      <c r="N3" t="s">
        <v>11</v>
      </c>
    </row>
    <row r="4" spans="1:24" x14ac:dyDescent="0.25">
      <c r="A4">
        <v>9</v>
      </c>
      <c r="B4" t="s">
        <v>8</v>
      </c>
      <c r="D4">
        <v>2017</v>
      </c>
      <c r="E4" t="s">
        <v>189</v>
      </c>
      <c r="F4" s="1">
        <v>42741</v>
      </c>
      <c r="G4" s="1">
        <v>42741</v>
      </c>
      <c r="H4">
        <v>-10.9</v>
      </c>
      <c r="I4">
        <v>10.9</v>
      </c>
      <c r="K4" t="s">
        <v>20</v>
      </c>
      <c r="L4" t="s">
        <v>306</v>
      </c>
      <c r="M4" t="s">
        <v>18</v>
      </c>
      <c r="N4" t="s">
        <v>21</v>
      </c>
    </row>
    <row r="5" spans="1:24" x14ac:dyDescent="0.25">
      <c r="A5">
        <v>37</v>
      </c>
      <c r="B5" t="s">
        <v>8</v>
      </c>
      <c r="D5">
        <v>2017</v>
      </c>
      <c r="E5" t="s">
        <v>189</v>
      </c>
      <c r="F5" s="1">
        <v>42821</v>
      </c>
      <c r="G5" s="1">
        <v>42821</v>
      </c>
      <c r="H5">
        <v>-7</v>
      </c>
      <c r="I5">
        <v>7</v>
      </c>
      <c r="K5" t="s">
        <v>51</v>
      </c>
      <c r="L5" t="s">
        <v>306</v>
      </c>
      <c r="M5" t="s">
        <v>18</v>
      </c>
      <c r="N5" t="s">
        <v>152</v>
      </c>
    </row>
    <row r="6" spans="1:24" x14ac:dyDescent="0.25">
      <c r="A6">
        <v>8</v>
      </c>
      <c r="B6" t="s">
        <v>8</v>
      </c>
      <c r="D6">
        <v>2017</v>
      </c>
      <c r="E6" t="s">
        <v>189</v>
      </c>
      <c r="F6" s="1">
        <v>42737</v>
      </c>
      <c r="G6" s="1">
        <v>42737</v>
      </c>
      <c r="H6">
        <v>-0.99</v>
      </c>
      <c r="I6">
        <v>0.99</v>
      </c>
      <c r="K6" t="s">
        <v>15</v>
      </c>
      <c r="L6" t="s">
        <v>241</v>
      </c>
      <c r="M6" t="s">
        <v>16</v>
      </c>
      <c r="N6" t="s">
        <v>15</v>
      </c>
    </row>
    <row r="7" spans="1:24" x14ac:dyDescent="0.25">
      <c r="A7">
        <v>5</v>
      </c>
      <c r="B7" t="s">
        <v>8</v>
      </c>
      <c r="D7">
        <v>2017</v>
      </c>
      <c r="E7" t="s">
        <v>189</v>
      </c>
      <c r="F7" s="1">
        <v>42737</v>
      </c>
      <c r="G7" s="1">
        <v>42737</v>
      </c>
      <c r="H7">
        <v>-23.46</v>
      </c>
      <c r="I7">
        <v>23.46</v>
      </c>
      <c r="K7" t="s">
        <v>12</v>
      </c>
      <c r="L7" t="s">
        <v>294</v>
      </c>
      <c r="M7" t="s">
        <v>10</v>
      </c>
      <c r="N7" t="s">
        <v>244</v>
      </c>
    </row>
    <row r="8" spans="1:24" x14ac:dyDescent="0.25">
      <c r="A8">
        <v>1</v>
      </c>
      <c r="B8" t="s">
        <v>8</v>
      </c>
      <c r="D8">
        <v>2017</v>
      </c>
      <c r="E8" t="s">
        <v>189</v>
      </c>
      <c r="F8" s="1">
        <v>42737</v>
      </c>
      <c r="G8" s="1">
        <v>42737</v>
      </c>
      <c r="H8">
        <v>-25.07</v>
      </c>
      <c r="I8">
        <v>25.07</v>
      </c>
      <c r="K8" t="s">
        <v>9</v>
      </c>
      <c r="L8" t="s">
        <v>294</v>
      </c>
      <c r="M8" t="s">
        <v>10</v>
      </c>
      <c r="N8" t="s">
        <v>244</v>
      </c>
    </row>
    <row r="9" spans="1:24" x14ac:dyDescent="0.25">
      <c r="A9">
        <v>34</v>
      </c>
      <c r="B9" t="s">
        <v>8</v>
      </c>
      <c r="D9">
        <v>2017</v>
      </c>
      <c r="E9" t="s">
        <v>189</v>
      </c>
      <c r="F9" s="1">
        <v>42821</v>
      </c>
      <c r="G9" s="1">
        <v>42821</v>
      </c>
      <c r="H9">
        <v>-9.99</v>
      </c>
      <c r="I9">
        <v>9.99</v>
      </c>
      <c r="K9" t="s">
        <v>51</v>
      </c>
      <c r="L9" t="s">
        <v>306</v>
      </c>
      <c r="M9" t="s">
        <v>18</v>
      </c>
      <c r="N9" t="s">
        <v>63</v>
      </c>
    </row>
    <row r="10" spans="1:24" x14ac:dyDescent="0.25">
      <c r="A10">
        <v>7</v>
      </c>
      <c r="B10" t="s">
        <v>8</v>
      </c>
      <c r="D10">
        <v>2017</v>
      </c>
      <c r="E10" t="s">
        <v>189</v>
      </c>
      <c r="F10" s="1">
        <v>42737</v>
      </c>
      <c r="G10" s="1">
        <v>42737</v>
      </c>
      <c r="H10">
        <v>-147.06</v>
      </c>
      <c r="I10">
        <v>147.06</v>
      </c>
      <c r="K10" t="s">
        <v>14</v>
      </c>
      <c r="L10" t="s">
        <v>294</v>
      </c>
      <c r="M10" t="s">
        <v>10</v>
      </c>
      <c r="N10" t="s">
        <v>157</v>
      </c>
    </row>
    <row r="11" spans="1:24" x14ac:dyDescent="0.25">
      <c r="A11">
        <v>6</v>
      </c>
      <c r="B11" t="s">
        <v>8</v>
      </c>
      <c r="D11">
        <v>2017</v>
      </c>
      <c r="E11" t="s">
        <v>189</v>
      </c>
      <c r="F11" s="1">
        <v>42737</v>
      </c>
      <c r="G11" s="1">
        <v>42737</v>
      </c>
      <c r="H11">
        <v>-4.47</v>
      </c>
      <c r="I11">
        <v>4.47</v>
      </c>
      <c r="K11" t="s">
        <v>13</v>
      </c>
      <c r="L11" t="s">
        <v>294</v>
      </c>
      <c r="M11" t="s">
        <v>10</v>
      </c>
      <c r="N11" t="s">
        <v>157</v>
      </c>
    </row>
    <row r="12" spans="1:24" x14ac:dyDescent="0.25">
      <c r="A12">
        <v>3</v>
      </c>
      <c r="B12" t="s">
        <v>8</v>
      </c>
      <c r="D12">
        <v>2017</v>
      </c>
      <c r="E12" t="s">
        <v>189</v>
      </c>
      <c r="F12" s="1">
        <v>42737</v>
      </c>
      <c r="G12" s="1">
        <v>42737</v>
      </c>
      <c r="H12">
        <v>-283.25</v>
      </c>
      <c r="I12">
        <v>283.25</v>
      </c>
      <c r="K12" t="s">
        <v>211</v>
      </c>
      <c r="L12" t="s">
        <v>294</v>
      </c>
      <c r="M12" t="s">
        <v>10</v>
      </c>
      <c r="N12" t="s">
        <v>157</v>
      </c>
    </row>
    <row r="13" spans="1:24" x14ac:dyDescent="0.25">
      <c r="A13">
        <v>21</v>
      </c>
      <c r="B13" t="s">
        <v>8</v>
      </c>
      <c r="D13">
        <v>2017</v>
      </c>
      <c r="E13" t="s">
        <v>142</v>
      </c>
      <c r="F13" s="1">
        <v>42772</v>
      </c>
      <c r="G13" s="1">
        <v>42772</v>
      </c>
      <c r="H13">
        <v>-10.9</v>
      </c>
      <c r="I13">
        <v>10.9</v>
      </c>
      <c r="K13" t="s">
        <v>20</v>
      </c>
      <c r="L13" t="s">
        <v>306</v>
      </c>
      <c r="M13" t="s">
        <v>18</v>
      </c>
      <c r="N13" t="s">
        <v>21</v>
      </c>
    </row>
    <row r="14" spans="1:24" x14ac:dyDescent="0.25">
      <c r="A14">
        <v>23</v>
      </c>
      <c r="B14" t="s">
        <v>8</v>
      </c>
      <c r="D14">
        <v>2017</v>
      </c>
      <c r="E14" t="s">
        <v>142</v>
      </c>
      <c r="F14" s="1">
        <v>42790</v>
      </c>
      <c r="G14" s="1">
        <v>42790</v>
      </c>
      <c r="H14">
        <v>-50</v>
      </c>
      <c r="I14">
        <v>50</v>
      </c>
      <c r="K14" t="s">
        <v>41</v>
      </c>
      <c r="L14" t="s">
        <v>241</v>
      </c>
      <c r="M14" t="s">
        <v>42</v>
      </c>
      <c r="N14" t="s">
        <v>43</v>
      </c>
    </row>
    <row r="15" spans="1:24" x14ac:dyDescent="0.25">
      <c r="A15">
        <v>24</v>
      </c>
      <c r="B15" t="s">
        <v>8</v>
      </c>
      <c r="D15">
        <v>2017</v>
      </c>
      <c r="E15" t="s">
        <v>142</v>
      </c>
      <c r="F15" s="1">
        <v>42793</v>
      </c>
      <c r="G15" s="1">
        <v>42793</v>
      </c>
      <c r="H15">
        <v>-1.4</v>
      </c>
      <c r="I15">
        <v>1.4</v>
      </c>
      <c r="K15" t="s">
        <v>44</v>
      </c>
      <c r="L15" t="s">
        <v>241</v>
      </c>
      <c r="M15" t="s">
        <v>16</v>
      </c>
      <c r="N15" t="s">
        <v>45</v>
      </c>
    </row>
    <row r="16" spans="1:24" x14ac:dyDescent="0.25">
      <c r="A16">
        <v>38</v>
      </c>
      <c r="B16" t="s">
        <v>8</v>
      </c>
      <c r="D16">
        <v>2017</v>
      </c>
      <c r="E16" t="s">
        <v>142</v>
      </c>
      <c r="F16" s="1">
        <v>42821</v>
      </c>
      <c r="G16" s="1">
        <v>42821</v>
      </c>
      <c r="H16">
        <v>-7</v>
      </c>
      <c r="I16">
        <v>7</v>
      </c>
      <c r="K16" t="s">
        <v>51</v>
      </c>
      <c r="L16" t="s">
        <v>306</v>
      </c>
      <c r="M16" t="s">
        <v>18</v>
      </c>
      <c r="N16" t="s">
        <v>152</v>
      </c>
    </row>
    <row r="17" spans="1:14" x14ac:dyDescent="0.25">
      <c r="A17">
        <v>20</v>
      </c>
      <c r="B17" t="s">
        <v>8</v>
      </c>
      <c r="D17">
        <v>2017</v>
      </c>
      <c r="E17" t="s">
        <v>142</v>
      </c>
      <c r="F17" s="1">
        <v>42768</v>
      </c>
      <c r="G17" s="1">
        <v>42768</v>
      </c>
      <c r="H17">
        <v>-0.99</v>
      </c>
      <c r="I17">
        <v>0.99</v>
      </c>
      <c r="K17" t="s">
        <v>15</v>
      </c>
      <c r="L17" t="s">
        <v>241</v>
      </c>
      <c r="M17" t="s">
        <v>16</v>
      </c>
      <c r="N17" t="s">
        <v>15</v>
      </c>
    </row>
    <row r="18" spans="1:14" x14ac:dyDescent="0.25">
      <c r="A18">
        <v>22</v>
      </c>
      <c r="B18" t="s">
        <v>8</v>
      </c>
      <c r="D18">
        <v>2017</v>
      </c>
      <c r="E18" t="s">
        <v>142</v>
      </c>
      <c r="F18" s="1">
        <v>42790</v>
      </c>
      <c r="G18" s="1">
        <v>42790</v>
      </c>
      <c r="H18">
        <v>-20</v>
      </c>
      <c r="I18">
        <v>20</v>
      </c>
      <c r="K18" t="s">
        <v>40</v>
      </c>
      <c r="L18" t="s">
        <v>306</v>
      </c>
      <c r="M18" t="s">
        <v>18</v>
      </c>
      <c r="N18" t="s">
        <v>214</v>
      </c>
    </row>
    <row r="19" spans="1:14" x14ac:dyDescent="0.25">
      <c r="A19">
        <v>12</v>
      </c>
      <c r="B19" t="s">
        <v>8</v>
      </c>
      <c r="D19">
        <v>2017</v>
      </c>
      <c r="E19" t="s">
        <v>142</v>
      </c>
      <c r="F19" s="1">
        <v>42768</v>
      </c>
      <c r="G19" s="1">
        <v>42768</v>
      </c>
      <c r="H19">
        <v>-12.84</v>
      </c>
      <c r="I19">
        <v>12.84</v>
      </c>
      <c r="K19" t="s">
        <v>29</v>
      </c>
      <c r="L19" t="s">
        <v>294</v>
      </c>
      <c r="M19" t="s">
        <v>10</v>
      </c>
      <c r="N19" t="s">
        <v>244</v>
      </c>
    </row>
    <row r="20" spans="1:14" x14ac:dyDescent="0.25">
      <c r="A20">
        <v>19</v>
      </c>
      <c r="B20" t="s">
        <v>8</v>
      </c>
      <c r="D20">
        <v>2017</v>
      </c>
      <c r="E20" t="s">
        <v>142</v>
      </c>
      <c r="F20" s="1">
        <v>42768</v>
      </c>
      <c r="G20" s="1">
        <v>42768</v>
      </c>
      <c r="H20">
        <v>-11.24</v>
      </c>
      <c r="I20">
        <v>11.24</v>
      </c>
      <c r="K20" t="s">
        <v>32</v>
      </c>
      <c r="L20" t="s">
        <v>241</v>
      </c>
      <c r="M20" t="s">
        <v>16</v>
      </c>
      <c r="N20" t="s">
        <v>27</v>
      </c>
    </row>
    <row r="21" spans="1:14" x14ac:dyDescent="0.25">
      <c r="A21">
        <v>18</v>
      </c>
      <c r="B21" t="s">
        <v>8</v>
      </c>
      <c r="D21">
        <v>2017</v>
      </c>
      <c r="E21" t="s">
        <v>142</v>
      </c>
      <c r="F21" s="1">
        <v>42768</v>
      </c>
      <c r="G21" s="1">
        <v>42768</v>
      </c>
      <c r="H21">
        <v>-5</v>
      </c>
      <c r="I21">
        <v>5</v>
      </c>
      <c r="K21" t="s">
        <v>32</v>
      </c>
      <c r="L21" t="s">
        <v>241</v>
      </c>
      <c r="M21" t="s">
        <v>16</v>
      </c>
      <c r="N21" t="s">
        <v>27</v>
      </c>
    </row>
    <row r="22" spans="1:14" x14ac:dyDescent="0.25">
      <c r="A22">
        <v>25</v>
      </c>
      <c r="B22" t="s">
        <v>8</v>
      </c>
      <c r="D22">
        <v>2017</v>
      </c>
      <c r="E22" t="s">
        <v>142</v>
      </c>
      <c r="F22" s="1">
        <v>42793</v>
      </c>
      <c r="G22" s="1">
        <v>42793</v>
      </c>
      <c r="H22">
        <v>18.98</v>
      </c>
      <c r="I22">
        <v>18.98</v>
      </c>
      <c r="K22" t="s">
        <v>46</v>
      </c>
      <c r="L22" t="s">
        <v>241</v>
      </c>
      <c r="M22" t="s">
        <v>16</v>
      </c>
      <c r="N22" t="s">
        <v>47</v>
      </c>
    </row>
    <row r="23" spans="1:14" x14ac:dyDescent="0.25">
      <c r="A23">
        <v>35</v>
      </c>
      <c r="B23" t="s">
        <v>8</v>
      </c>
      <c r="D23">
        <v>2017</v>
      </c>
      <c r="E23" t="s">
        <v>142</v>
      </c>
      <c r="F23" s="1">
        <v>42821</v>
      </c>
      <c r="G23" s="1">
        <v>42821</v>
      </c>
      <c r="H23">
        <v>-9.99</v>
      </c>
      <c r="I23">
        <v>9.99</v>
      </c>
      <c r="K23" t="s">
        <v>51</v>
      </c>
      <c r="L23" t="s">
        <v>306</v>
      </c>
      <c r="M23" t="s">
        <v>18</v>
      </c>
      <c r="N23" t="s">
        <v>63</v>
      </c>
    </row>
    <row r="24" spans="1:14" x14ac:dyDescent="0.25">
      <c r="A24">
        <v>17</v>
      </c>
      <c r="B24" t="s">
        <v>8</v>
      </c>
      <c r="D24">
        <v>2017</v>
      </c>
      <c r="E24" t="s">
        <v>142</v>
      </c>
      <c r="F24" s="1">
        <v>42768</v>
      </c>
      <c r="G24" s="1">
        <v>42768</v>
      </c>
      <c r="H24">
        <v>-7.15</v>
      </c>
      <c r="I24">
        <v>7.15</v>
      </c>
      <c r="K24" t="s">
        <v>31</v>
      </c>
      <c r="L24" t="s">
        <v>294</v>
      </c>
      <c r="M24" t="s">
        <v>10</v>
      </c>
      <c r="N24" t="s">
        <v>157</v>
      </c>
    </row>
    <row r="25" spans="1:14" x14ac:dyDescent="0.25">
      <c r="A25">
        <v>16</v>
      </c>
      <c r="B25" t="s">
        <v>8</v>
      </c>
      <c r="D25">
        <v>2017</v>
      </c>
      <c r="E25" t="s">
        <v>142</v>
      </c>
      <c r="F25" s="1">
        <v>42768</v>
      </c>
      <c r="G25" s="1">
        <v>42768</v>
      </c>
      <c r="H25">
        <v>-94.2</v>
      </c>
      <c r="I25">
        <v>94.2</v>
      </c>
      <c r="K25" t="s">
        <v>28</v>
      </c>
      <c r="L25" t="s">
        <v>294</v>
      </c>
      <c r="M25" t="s">
        <v>10</v>
      </c>
      <c r="N25" t="s">
        <v>157</v>
      </c>
    </row>
    <row r="26" spans="1:14" x14ac:dyDescent="0.25">
      <c r="A26">
        <v>15</v>
      </c>
      <c r="B26" t="s">
        <v>8</v>
      </c>
      <c r="D26">
        <v>2017</v>
      </c>
      <c r="E26" t="s">
        <v>142</v>
      </c>
      <c r="F26" s="1">
        <v>42768</v>
      </c>
      <c r="G26" s="1">
        <v>42768</v>
      </c>
      <c r="H26">
        <v>-185.24</v>
      </c>
      <c r="I26">
        <v>185.24</v>
      </c>
      <c r="K26" t="s">
        <v>28</v>
      </c>
      <c r="L26" t="s">
        <v>294</v>
      </c>
      <c r="M26" t="s">
        <v>10</v>
      </c>
      <c r="N26" t="s">
        <v>157</v>
      </c>
    </row>
    <row r="27" spans="1:14" x14ac:dyDescent="0.25">
      <c r="A27">
        <v>14</v>
      </c>
      <c r="B27" t="s">
        <v>8</v>
      </c>
      <c r="D27">
        <v>2017</v>
      </c>
      <c r="E27" t="s">
        <v>142</v>
      </c>
      <c r="F27" s="1">
        <v>42768</v>
      </c>
      <c r="G27" s="1">
        <v>42768</v>
      </c>
      <c r="H27">
        <v>-185.24</v>
      </c>
      <c r="I27">
        <v>185.24</v>
      </c>
      <c r="K27" t="s">
        <v>28</v>
      </c>
      <c r="L27" t="s">
        <v>294</v>
      </c>
      <c r="M27" t="s">
        <v>10</v>
      </c>
      <c r="N27" t="s">
        <v>157</v>
      </c>
    </row>
    <row r="28" spans="1:14" x14ac:dyDescent="0.25">
      <c r="A28">
        <v>13</v>
      </c>
      <c r="B28" t="s">
        <v>8</v>
      </c>
      <c r="D28">
        <v>2017</v>
      </c>
      <c r="E28" t="s">
        <v>142</v>
      </c>
      <c r="F28" s="1">
        <v>42768</v>
      </c>
      <c r="G28" s="1">
        <v>42768</v>
      </c>
      <c r="H28">
        <v>-6.85</v>
      </c>
      <c r="I28">
        <v>6.85</v>
      </c>
      <c r="K28" t="s">
        <v>30</v>
      </c>
      <c r="L28" t="s">
        <v>294</v>
      </c>
      <c r="M28" t="s">
        <v>10</v>
      </c>
      <c r="N28" t="s">
        <v>157</v>
      </c>
    </row>
    <row r="29" spans="1:14" x14ac:dyDescent="0.25">
      <c r="A29">
        <v>11</v>
      </c>
      <c r="B29" t="s">
        <v>8</v>
      </c>
      <c r="D29">
        <v>2017</v>
      </c>
      <c r="E29" t="s">
        <v>142</v>
      </c>
      <c r="F29" s="1">
        <v>42768</v>
      </c>
      <c r="G29" s="1">
        <v>42768</v>
      </c>
      <c r="H29">
        <v>-183.74</v>
      </c>
      <c r="I29">
        <v>183.74</v>
      </c>
      <c r="K29" t="s">
        <v>28</v>
      </c>
      <c r="L29" t="s">
        <v>294</v>
      </c>
      <c r="M29" t="s">
        <v>10</v>
      </c>
      <c r="N29" t="s">
        <v>157</v>
      </c>
    </row>
    <row r="30" spans="1:14" x14ac:dyDescent="0.25">
      <c r="A30">
        <v>10</v>
      </c>
      <c r="B30" t="s">
        <v>8</v>
      </c>
      <c r="D30">
        <v>2017</v>
      </c>
      <c r="E30" t="s">
        <v>142</v>
      </c>
      <c r="F30" s="1">
        <v>42768</v>
      </c>
      <c r="G30" s="1">
        <v>42768</v>
      </c>
      <c r="H30">
        <v>-2.97</v>
      </c>
      <c r="I30">
        <v>2.97</v>
      </c>
      <c r="K30" t="s">
        <v>13</v>
      </c>
      <c r="L30" t="s">
        <v>294</v>
      </c>
      <c r="M30" t="s">
        <v>10</v>
      </c>
      <c r="N30" t="s">
        <v>157</v>
      </c>
    </row>
    <row r="31" spans="1:14" x14ac:dyDescent="0.25">
      <c r="A31">
        <v>31</v>
      </c>
      <c r="B31" t="s">
        <v>8</v>
      </c>
      <c r="D31">
        <v>2017</v>
      </c>
      <c r="E31" t="s">
        <v>143</v>
      </c>
      <c r="F31" s="1">
        <v>42800</v>
      </c>
      <c r="G31" s="1">
        <v>42800</v>
      </c>
      <c r="H31">
        <v>12</v>
      </c>
      <c r="I31">
        <v>12</v>
      </c>
      <c r="K31" t="s">
        <v>56</v>
      </c>
      <c r="L31" t="s">
        <v>241</v>
      </c>
      <c r="M31" t="s">
        <v>54</v>
      </c>
      <c r="N31" t="s">
        <v>55</v>
      </c>
    </row>
    <row r="32" spans="1:14" x14ac:dyDescent="0.25">
      <c r="A32">
        <v>29</v>
      </c>
      <c r="B32" t="s">
        <v>8</v>
      </c>
      <c r="D32">
        <v>2017</v>
      </c>
      <c r="E32" t="s">
        <v>143</v>
      </c>
      <c r="F32" s="1">
        <v>42800</v>
      </c>
      <c r="G32" s="1">
        <v>42800</v>
      </c>
      <c r="H32">
        <v>-12</v>
      </c>
      <c r="I32">
        <v>12</v>
      </c>
      <c r="K32" t="s">
        <v>53</v>
      </c>
      <c r="L32" t="s">
        <v>241</v>
      </c>
      <c r="M32" t="s">
        <v>54</v>
      </c>
      <c r="N32" t="s">
        <v>55</v>
      </c>
    </row>
    <row r="33" spans="1:14" x14ac:dyDescent="0.25">
      <c r="A33">
        <v>33</v>
      </c>
      <c r="B33" t="s">
        <v>8</v>
      </c>
      <c r="D33">
        <v>2017</v>
      </c>
      <c r="E33" t="s">
        <v>143</v>
      </c>
      <c r="F33" s="1">
        <v>42816</v>
      </c>
      <c r="G33" s="1">
        <v>42816</v>
      </c>
      <c r="H33">
        <v>2.76</v>
      </c>
      <c r="I33">
        <v>2.76</v>
      </c>
      <c r="K33" t="s">
        <v>62</v>
      </c>
      <c r="L33" t="s">
        <v>306</v>
      </c>
      <c r="M33" t="s">
        <v>18</v>
      </c>
      <c r="N33" t="s">
        <v>61</v>
      </c>
    </row>
    <row r="34" spans="1:14" x14ac:dyDescent="0.25">
      <c r="A34">
        <v>32</v>
      </c>
      <c r="B34" t="s">
        <v>8</v>
      </c>
      <c r="D34">
        <v>2017</v>
      </c>
      <c r="E34" t="s">
        <v>143</v>
      </c>
      <c r="F34" s="1">
        <v>42814</v>
      </c>
      <c r="G34" s="1">
        <v>42814</v>
      </c>
      <c r="H34">
        <v>-4.68</v>
      </c>
      <c r="I34">
        <v>4.68</v>
      </c>
      <c r="K34" t="s">
        <v>60</v>
      </c>
      <c r="L34" t="s">
        <v>306</v>
      </c>
      <c r="M34" t="s">
        <v>18</v>
      </c>
      <c r="N34" t="s">
        <v>61</v>
      </c>
    </row>
    <row r="35" spans="1:14" x14ac:dyDescent="0.25">
      <c r="A35">
        <v>30</v>
      </c>
      <c r="B35" t="s">
        <v>8</v>
      </c>
      <c r="D35">
        <v>2017</v>
      </c>
      <c r="E35" t="s">
        <v>143</v>
      </c>
      <c r="F35" s="1">
        <v>42800</v>
      </c>
      <c r="G35" s="1">
        <v>42800</v>
      </c>
      <c r="H35">
        <v>-10.9</v>
      </c>
      <c r="I35">
        <v>10.9</v>
      </c>
      <c r="K35" t="s">
        <v>20</v>
      </c>
      <c r="L35" t="s">
        <v>306</v>
      </c>
      <c r="M35" t="s">
        <v>18</v>
      </c>
      <c r="N35" t="s">
        <v>21</v>
      </c>
    </row>
    <row r="36" spans="1:14" x14ac:dyDescent="0.25">
      <c r="A36">
        <v>39</v>
      </c>
      <c r="B36" t="s">
        <v>8</v>
      </c>
      <c r="D36">
        <v>2017</v>
      </c>
      <c r="E36" t="s">
        <v>143</v>
      </c>
      <c r="F36" s="1">
        <v>42821</v>
      </c>
      <c r="G36" s="1">
        <v>42821</v>
      </c>
      <c r="H36">
        <v>-7</v>
      </c>
      <c r="I36">
        <v>7</v>
      </c>
      <c r="K36" t="s">
        <v>51</v>
      </c>
      <c r="L36" t="s">
        <v>306</v>
      </c>
      <c r="M36" t="s">
        <v>18</v>
      </c>
      <c r="N36" t="s">
        <v>152</v>
      </c>
    </row>
    <row r="37" spans="1:14" x14ac:dyDescent="0.25">
      <c r="A37">
        <v>28</v>
      </c>
      <c r="B37" t="s">
        <v>8</v>
      </c>
      <c r="D37">
        <v>2017</v>
      </c>
      <c r="E37" t="s">
        <v>143</v>
      </c>
      <c r="F37" s="1">
        <v>42797</v>
      </c>
      <c r="G37" s="1">
        <v>42797</v>
      </c>
      <c r="H37">
        <v>-0.99</v>
      </c>
      <c r="I37">
        <v>0.99</v>
      </c>
      <c r="K37" t="s">
        <v>52</v>
      </c>
      <c r="L37" t="s">
        <v>241</v>
      </c>
      <c r="M37" t="s">
        <v>16</v>
      </c>
      <c r="N37" t="s">
        <v>15</v>
      </c>
    </row>
    <row r="38" spans="1:14" x14ac:dyDescent="0.25">
      <c r="A38">
        <v>40</v>
      </c>
      <c r="B38" t="s">
        <v>8</v>
      </c>
      <c r="D38">
        <v>2017</v>
      </c>
      <c r="E38" t="s">
        <v>143</v>
      </c>
      <c r="F38" s="1">
        <v>42824</v>
      </c>
      <c r="G38" s="1">
        <v>42824</v>
      </c>
      <c r="H38">
        <v>-2.8</v>
      </c>
      <c r="I38">
        <v>2.8</v>
      </c>
      <c r="K38" t="s">
        <v>66</v>
      </c>
      <c r="L38" t="s">
        <v>241</v>
      </c>
      <c r="M38" t="s">
        <v>16</v>
      </c>
      <c r="N38" t="s">
        <v>27</v>
      </c>
    </row>
    <row r="39" spans="1:14" x14ac:dyDescent="0.25">
      <c r="A39">
        <v>27</v>
      </c>
      <c r="B39" t="s">
        <v>8</v>
      </c>
      <c r="D39">
        <v>2017</v>
      </c>
      <c r="E39" t="s">
        <v>143</v>
      </c>
      <c r="F39" s="1">
        <v>42797</v>
      </c>
      <c r="G39" s="1">
        <v>42797</v>
      </c>
      <c r="H39">
        <v>-1.99</v>
      </c>
      <c r="I39">
        <v>1.99</v>
      </c>
      <c r="K39" t="s">
        <v>51</v>
      </c>
      <c r="L39" t="s">
        <v>241</v>
      </c>
      <c r="M39" t="s">
        <v>16</v>
      </c>
      <c r="N39" t="s">
        <v>27</v>
      </c>
    </row>
    <row r="40" spans="1:14" x14ac:dyDescent="0.25">
      <c r="A40">
        <v>26</v>
      </c>
      <c r="B40" t="s">
        <v>8</v>
      </c>
      <c r="D40">
        <v>2017</v>
      </c>
      <c r="E40" t="s">
        <v>143</v>
      </c>
      <c r="F40" s="1">
        <v>42796</v>
      </c>
      <c r="G40" s="1">
        <v>42796</v>
      </c>
      <c r="H40">
        <v>-1.99</v>
      </c>
      <c r="I40">
        <v>1.99</v>
      </c>
      <c r="K40" t="s">
        <v>32</v>
      </c>
      <c r="L40" t="s">
        <v>241</v>
      </c>
      <c r="M40" t="s">
        <v>16</v>
      </c>
      <c r="N40" t="s">
        <v>27</v>
      </c>
    </row>
    <row r="41" spans="1:14" x14ac:dyDescent="0.25">
      <c r="A41">
        <v>36</v>
      </c>
      <c r="B41" t="s">
        <v>8</v>
      </c>
      <c r="D41">
        <v>2017</v>
      </c>
      <c r="E41" t="s">
        <v>143</v>
      </c>
      <c r="F41" s="1">
        <v>42821</v>
      </c>
      <c r="G41" s="1">
        <v>42821</v>
      </c>
      <c r="H41">
        <v>-9.99</v>
      </c>
      <c r="I41">
        <v>9.99</v>
      </c>
      <c r="K41" t="s">
        <v>51</v>
      </c>
      <c r="L41" t="s">
        <v>306</v>
      </c>
      <c r="M41" t="s">
        <v>18</v>
      </c>
      <c r="N41" t="s">
        <v>63</v>
      </c>
    </row>
    <row r="42" spans="1:14" x14ac:dyDescent="0.25">
      <c r="A42">
        <v>43</v>
      </c>
      <c r="B42" t="s">
        <v>8</v>
      </c>
      <c r="D42">
        <v>2017</v>
      </c>
      <c r="E42" t="s">
        <v>144</v>
      </c>
      <c r="F42" s="1">
        <v>42830</v>
      </c>
      <c r="G42" s="1">
        <v>42830</v>
      </c>
      <c r="H42">
        <v>-10.9</v>
      </c>
      <c r="I42">
        <v>10.9</v>
      </c>
      <c r="K42" t="s">
        <v>69</v>
      </c>
      <c r="L42" t="s">
        <v>306</v>
      </c>
      <c r="M42" t="s">
        <v>18</v>
      </c>
      <c r="N42" t="s">
        <v>21</v>
      </c>
    </row>
    <row r="43" spans="1:14" x14ac:dyDescent="0.25">
      <c r="A43">
        <v>45</v>
      </c>
      <c r="B43" t="s">
        <v>8</v>
      </c>
      <c r="D43">
        <v>2017</v>
      </c>
      <c r="E43" t="s">
        <v>144</v>
      </c>
      <c r="F43" s="1">
        <v>42850</v>
      </c>
      <c r="G43" s="1">
        <v>42850</v>
      </c>
      <c r="H43">
        <v>-7</v>
      </c>
      <c r="I43">
        <v>7</v>
      </c>
      <c r="K43" t="s">
        <v>51</v>
      </c>
      <c r="L43" t="s">
        <v>306</v>
      </c>
      <c r="M43" t="s">
        <v>18</v>
      </c>
      <c r="N43" t="s">
        <v>152</v>
      </c>
    </row>
    <row r="44" spans="1:14" x14ac:dyDescent="0.25">
      <c r="A44">
        <v>41</v>
      </c>
      <c r="B44" t="s">
        <v>8</v>
      </c>
      <c r="D44">
        <v>2017</v>
      </c>
      <c r="E44" t="s">
        <v>144</v>
      </c>
      <c r="F44" s="1">
        <v>42828</v>
      </c>
      <c r="G44" s="1">
        <v>42828</v>
      </c>
      <c r="H44">
        <v>-0.99</v>
      </c>
      <c r="I44">
        <v>0.99</v>
      </c>
      <c r="K44" t="s">
        <v>67</v>
      </c>
      <c r="L44" t="s">
        <v>241</v>
      </c>
      <c r="M44" t="s">
        <v>16</v>
      </c>
      <c r="N44" t="s">
        <v>15</v>
      </c>
    </row>
    <row r="45" spans="1:14" x14ac:dyDescent="0.25">
      <c r="A45">
        <v>44</v>
      </c>
      <c r="B45" t="s">
        <v>8</v>
      </c>
      <c r="D45">
        <v>2017</v>
      </c>
      <c r="E45" t="s">
        <v>144</v>
      </c>
      <c r="F45" s="1">
        <v>42850</v>
      </c>
      <c r="G45" s="1">
        <v>42850</v>
      </c>
      <c r="H45">
        <v>-9.99</v>
      </c>
      <c r="I45">
        <v>9.99</v>
      </c>
      <c r="K45" t="s">
        <v>51</v>
      </c>
      <c r="L45" t="s">
        <v>306</v>
      </c>
      <c r="M45" t="s">
        <v>18</v>
      </c>
      <c r="N45" t="s">
        <v>63</v>
      </c>
    </row>
    <row r="46" spans="1:14" x14ac:dyDescent="0.25">
      <c r="A46">
        <v>42</v>
      </c>
      <c r="B46" t="s">
        <v>8</v>
      </c>
      <c r="D46">
        <v>2017</v>
      </c>
      <c r="E46" t="s">
        <v>144</v>
      </c>
      <c r="F46" s="1">
        <v>42829</v>
      </c>
      <c r="G46" s="1">
        <v>42829</v>
      </c>
      <c r="H46">
        <v>-8.7799999999999994</v>
      </c>
      <c r="I46">
        <v>8.7799999999999994</v>
      </c>
      <c r="K46" t="s">
        <v>68</v>
      </c>
      <c r="L46" t="s">
        <v>306</v>
      </c>
      <c r="M46" t="s">
        <v>18</v>
      </c>
      <c r="N46" t="s">
        <v>19</v>
      </c>
    </row>
    <row r="47" spans="1:14" x14ac:dyDescent="0.25">
      <c r="A47">
        <v>48</v>
      </c>
      <c r="B47" t="s">
        <v>8</v>
      </c>
      <c r="D47">
        <v>2017</v>
      </c>
      <c r="E47" t="s">
        <v>145</v>
      </c>
      <c r="F47" s="1">
        <v>42860</v>
      </c>
      <c r="G47" s="1">
        <v>42860</v>
      </c>
      <c r="H47">
        <v>-10.9</v>
      </c>
      <c r="I47">
        <v>10.9</v>
      </c>
      <c r="K47" t="s">
        <v>77</v>
      </c>
      <c r="L47" t="s">
        <v>306</v>
      </c>
      <c r="M47" t="s">
        <v>18</v>
      </c>
      <c r="N47" t="s">
        <v>21</v>
      </c>
    </row>
    <row r="48" spans="1:14" x14ac:dyDescent="0.25">
      <c r="A48">
        <v>49</v>
      </c>
      <c r="B48" t="s">
        <v>8</v>
      </c>
      <c r="D48">
        <v>2017</v>
      </c>
      <c r="E48" t="s">
        <v>145</v>
      </c>
      <c r="F48" s="1">
        <v>42878</v>
      </c>
      <c r="G48" s="1">
        <v>42878</v>
      </c>
      <c r="H48">
        <v>-7</v>
      </c>
      <c r="I48">
        <v>7</v>
      </c>
      <c r="K48" t="s">
        <v>51</v>
      </c>
      <c r="L48" t="s">
        <v>306</v>
      </c>
      <c r="M48" t="s">
        <v>18</v>
      </c>
      <c r="N48" t="s">
        <v>152</v>
      </c>
    </row>
    <row r="49" spans="1:14" x14ac:dyDescent="0.25">
      <c r="A49">
        <v>47</v>
      </c>
      <c r="B49" t="s">
        <v>8</v>
      </c>
      <c r="D49">
        <v>2017</v>
      </c>
      <c r="E49" t="s">
        <v>145</v>
      </c>
      <c r="F49" s="1">
        <v>42858</v>
      </c>
      <c r="G49" s="1">
        <v>42858</v>
      </c>
      <c r="H49">
        <v>-0.99</v>
      </c>
      <c r="I49">
        <v>0.99</v>
      </c>
      <c r="K49" t="s">
        <v>76</v>
      </c>
      <c r="L49" t="s">
        <v>241</v>
      </c>
      <c r="M49" t="s">
        <v>16</v>
      </c>
      <c r="N49" t="s">
        <v>15</v>
      </c>
    </row>
    <row r="50" spans="1:14" x14ac:dyDescent="0.25">
      <c r="A50">
        <v>50</v>
      </c>
      <c r="B50" t="s">
        <v>8</v>
      </c>
      <c r="D50">
        <v>2017</v>
      </c>
      <c r="E50" t="s">
        <v>145</v>
      </c>
      <c r="F50" s="1">
        <v>42881</v>
      </c>
      <c r="G50" s="1">
        <v>42881</v>
      </c>
      <c r="H50">
        <v>-9.99</v>
      </c>
      <c r="I50">
        <v>9.99</v>
      </c>
      <c r="K50" t="s">
        <v>51</v>
      </c>
      <c r="L50" t="s">
        <v>306</v>
      </c>
      <c r="M50" t="s">
        <v>18</v>
      </c>
      <c r="N50" t="s">
        <v>63</v>
      </c>
    </row>
    <row r="51" spans="1:14" x14ac:dyDescent="0.25">
      <c r="A51">
        <v>46</v>
      </c>
      <c r="B51" t="s">
        <v>8</v>
      </c>
      <c r="D51">
        <v>2017</v>
      </c>
      <c r="E51" t="s">
        <v>145</v>
      </c>
      <c r="F51" s="1">
        <v>42858</v>
      </c>
      <c r="G51" s="1">
        <v>42858</v>
      </c>
      <c r="H51">
        <v>-8.7799999999999994</v>
      </c>
      <c r="I51">
        <v>8.7799999999999994</v>
      </c>
      <c r="K51" t="s">
        <v>68</v>
      </c>
      <c r="L51" t="s">
        <v>306</v>
      </c>
      <c r="M51" t="s">
        <v>18</v>
      </c>
      <c r="N51" t="s">
        <v>19</v>
      </c>
    </row>
    <row r="52" spans="1:14" x14ac:dyDescent="0.25">
      <c r="A52">
        <v>55</v>
      </c>
      <c r="B52" t="s">
        <v>8</v>
      </c>
      <c r="D52">
        <v>2017</v>
      </c>
      <c r="E52" t="s">
        <v>146</v>
      </c>
      <c r="F52" s="1">
        <v>42906</v>
      </c>
      <c r="G52" s="1">
        <v>42906</v>
      </c>
      <c r="H52">
        <v>-4.55</v>
      </c>
      <c r="I52">
        <v>4.55</v>
      </c>
      <c r="K52" t="s">
        <v>84</v>
      </c>
      <c r="L52" t="s">
        <v>306</v>
      </c>
      <c r="M52" t="s">
        <v>18</v>
      </c>
      <c r="N52" t="s">
        <v>61</v>
      </c>
    </row>
    <row r="53" spans="1:14" x14ac:dyDescent="0.25">
      <c r="A53">
        <v>53</v>
      </c>
      <c r="B53" t="s">
        <v>8</v>
      </c>
      <c r="D53">
        <v>2017</v>
      </c>
      <c r="E53" t="s">
        <v>146</v>
      </c>
      <c r="F53" s="1">
        <v>42892</v>
      </c>
      <c r="G53" s="1">
        <v>42892</v>
      </c>
      <c r="H53">
        <v>-10.9</v>
      </c>
      <c r="I53">
        <v>10.9</v>
      </c>
      <c r="K53" t="s">
        <v>81</v>
      </c>
      <c r="L53" t="s">
        <v>306</v>
      </c>
      <c r="M53" t="s">
        <v>18</v>
      </c>
      <c r="N53" t="s">
        <v>21</v>
      </c>
    </row>
    <row r="54" spans="1:14" x14ac:dyDescent="0.25">
      <c r="A54">
        <v>56</v>
      </c>
      <c r="B54" t="s">
        <v>8</v>
      </c>
      <c r="D54">
        <v>2017</v>
      </c>
      <c r="E54" t="s">
        <v>146</v>
      </c>
      <c r="F54" s="1">
        <v>42909</v>
      </c>
      <c r="G54" s="1">
        <v>42909</v>
      </c>
      <c r="H54">
        <v>-7</v>
      </c>
      <c r="I54">
        <v>7</v>
      </c>
      <c r="K54" t="s">
        <v>51</v>
      </c>
      <c r="L54" t="s">
        <v>306</v>
      </c>
      <c r="M54" t="s">
        <v>18</v>
      </c>
      <c r="N54" t="s">
        <v>152</v>
      </c>
    </row>
    <row r="55" spans="1:14" x14ac:dyDescent="0.25">
      <c r="A55">
        <v>54</v>
      </c>
      <c r="B55" t="s">
        <v>8</v>
      </c>
      <c r="D55">
        <v>2017</v>
      </c>
      <c r="E55" t="s">
        <v>146</v>
      </c>
      <c r="F55" s="1">
        <v>42892</v>
      </c>
      <c r="G55" s="1">
        <v>42892</v>
      </c>
      <c r="H55">
        <v>-0.99</v>
      </c>
      <c r="I55">
        <v>0.99</v>
      </c>
      <c r="K55" t="s">
        <v>82</v>
      </c>
      <c r="L55" t="s">
        <v>241</v>
      </c>
      <c r="M55" t="s">
        <v>16</v>
      </c>
      <c r="N55" t="s">
        <v>15</v>
      </c>
    </row>
    <row r="56" spans="1:14" x14ac:dyDescent="0.25">
      <c r="A56">
        <v>57</v>
      </c>
      <c r="B56" t="s">
        <v>8</v>
      </c>
      <c r="D56">
        <v>2017</v>
      </c>
      <c r="E56" t="s">
        <v>146</v>
      </c>
      <c r="F56" s="1">
        <v>42913</v>
      </c>
      <c r="G56" s="1">
        <v>42913</v>
      </c>
      <c r="H56">
        <v>-9.99</v>
      </c>
      <c r="I56">
        <v>9.99</v>
      </c>
      <c r="K56" t="s">
        <v>51</v>
      </c>
      <c r="L56" t="s">
        <v>306</v>
      </c>
      <c r="M56" t="s">
        <v>18</v>
      </c>
      <c r="N56" t="s">
        <v>63</v>
      </c>
    </row>
    <row r="57" spans="1:14" x14ac:dyDescent="0.25">
      <c r="A57">
        <v>52</v>
      </c>
      <c r="B57" t="s">
        <v>8</v>
      </c>
      <c r="D57">
        <v>2017</v>
      </c>
      <c r="E57" t="s">
        <v>146</v>
      </c>
      <c r="F57" s="1">
        <v>42888</v>
      </c>
      <c r="G57" s="1">
        <v>42888</v>
      </c>
      <c r="H57">
        <v>-8.7799999999999994</v>
      </c>
      <c r="I57">
        <v>8.7799999999999994</v>
      </c>
      <c r="K57" t="s">
        <v>68</v>
      </c>
      <c r="L57" t="s">
        <v>306</v>
      </c>
      <c r="M57" t="s">
        <v>18</v>
      </c>
      <c r="N57" t="s">
        <v>19</v>
      </c>
    </row>
    <row r="58" spans="1:14" x14ac:dyDescent="0.25">
      <c r="A58">
        <v>51</v>
      </c>
      <c r="B58" t="s">
        <v>8</v>
      </c>
      <c r="D58">
        <v>2017</v>
      </c>
      <c r="E58" t="s">
        <v>146</v>
      </c>
      <c r="F58" s="1">
        <v>42888</v>
      </c>
      <c r="G58" s="1">
        <v>42888</v>
      </c>
      <c r="H58">
        <v>-26</v>
      </c>
      <c r="I58">
        <v>26</v>
      </c>
      <c r="K58" t="s">
        <v>80</v>
      </c>
      <c r="L58" t="s">
        <v>306</v>
      </c>
      <c r="M58" t="s">
        <v>18</v>
      </c>
      <c r="N58" t="s">
        <v>19</v>
      </c>
    </row>
    <row r="59" spans="1:14" x14ac:dyDescent="0.25">
      <c r="A59">
        <v>63</v>
      </c>
      <c r="B59" t="s">
        <v>8</v>
      </c>
      <c r="D59">
        <v>2017</v>
      </c>
      <c r="E59" t="s">
        <v>147</v>
      </c>
      <c r="F59" s="1">
        <v>42936</v>
      </c>
      <c r="G59" s="1">
        <v>42936</v>
      </c>
      <c r="H59">
        <v>-4.43</v>
      </c>
      <c r="I59">
        <v>4.43</v>
      </c>
      <c r="K59" t="s">
        <v>89</v>
      </c>
      <c r="L59" t="s">
        <v>306</v>
      </c>
      <c r="M59" t="s">
        <v>18</v>
      </c>
      <c r="N59" t="s">
        <v>61</v>
      </c>
    </row>
    <row r="60" spans="1:14" x14ac:dyDescent="0.25">
      <c r="A60">
        <v>62</v>
      </c>
      <c r="B60" t="s">
        <v>8</v>
      </c>
      <c r="D60">
        <v>2017</v>
      </c>
      <c r="E60" t="s">
        <v>147</v>
      </c>
      <c r="F60" s="1">
        <v>42936</v>
      </c>
      <c r="G60" s="1">
        <v>42936</v>
      </c>
      <c r="H60">
        <v>-42.38</v>
      </c>
      <c r="I60">
        <v>42.38</v>
      </c>
      <c r="K60" t="s">
        <v>51</v>
      </c>
      <c r="L60" t="s">
        <v>306</v>
      </c>
      <c r="M60" t="s">
        <v>18</v>
      </c>
      <c r="N60" t="s">
        <v>61</v>
      </c>
    </row>
    <row r="61" spans="1:14" x14ac:dyDescent="0.25">
      <c r="A61">
        <v>61</v>
      </c>
      <c r="B61" t="s">
        <v>8</v>
      </c>
      <c r="D61">
        <v>2017</v>
      </c>
      <c r="E61" t="s">
        <v>147</v>
      </c>
      <c r="F61" s="1">
        <v>42921</v>
      </c>
      <c r="G61" s="1">
        <v>42921</v>
      </c>
      <c r="H61">
        <v>-10.9</v>
      </c>
      <c r="I61">
        <v>10.9</v>
      </c>
      <c r="K61" t="s">
        <v>88</v>
      </c>
      <c r="L61" t="s">
        <v>306</v>
      </c>
      <c r="M61" t="s">
        <v>18</v>
      </c>
      <c r="N61" t="s">
        <v>21</v>
      </c>
    </row>
    <row r="62" spans="1:14" x14ac:dyDescent="0.25">
      <c r="A62">
        <v>59</v>
      </c>
      <c r="B62" t="s">
        <v>8</v>
      </c>
      <c r="D62">
        <v>2017</v>
      </c>
      <c r="E62" t="s">
        <v>147</v>
      </c>
      <c r="F62" s="1">
        <v>42920</v>
      </c>
      <c r="G62" s="1">
        <v>42920</v>
      </c>
      <c r="H62">
        <v>-14.44</v>
      </c>
      <c r="I62">
        <v>14.44</v>
      </c>
      <c r="K62" t="s">
        <v>86</v>
      </c>
      <c r="L62" t="s">
        <v>306</v>
      </c>
      <c r="M62" t="s">
        <v>18</v>
      </c>
      <c r="N62" t="s">
        <v>87</v>
      </c>
    </row>
    <row r="63" spans="1:14" x14ac:dyDescent="0.25">
      <c r="A63">
        <v>64</v>
      </c>
      <c r="B63" t="s">
        <v>8</v>
      </c>
      <c r="D63">
        <v>2017</v>
      </c>
      <c r="E63" t="s">
        <v>147</v>
      </c>
      <c r="F63" s="1">
        <v>42941</v>
      </c>
      <c r="G63" s="1">
        <v>42941</v>
      </c>
      <c r="H63">
        <v>-7</v>
      </c>
      <c r="I63">
        <v>7</v>
      </c>
      <c r="K63" t="s">
        <v>51</v>
      </c>
      <c r="L63" t="s">
        <v>306</v>
      </c>
      <c r="M63" t="s">
        <v>18</v>
      </c>
      <c r="N63" t="s">
        <v>152</v>
      </c>
    </row>
    <row r="64" spans="1:14" x14ac:dyDescent="0.25">
      <c r="A64">
        <v>58</v>
      </c>
      <c r="B64" t="s">
        <v>8</v>
      </c>
      <c r="D64">
        <v>2017</v>
      </c>
      <c r="E64" t="s">
        <v>147</v>
      </c>
      <c r="F64" s="1">
        <v>42919</v>
      </c>
      <c r="G64" s="1">
        <v>42919</v>
      </c>
      <c r="H64">
        <v>-0.99</v>
      </c>
      <c r="I64">
        <v>0.99</v>
      </c>
      <c r="K64" t="s">
        <v>85</v>
      </c>
      <c r="L64" t="s">
        <v>241</v>
      </c>
      <c r="M64" t="s">
        <v>16</v>
      </c>
      <c r="N64" t="s">
        <v>15</v>
      </c>
    </row>
    <row r="65" spans="1:14" x14ac:dyDescent="0.25">
      <c r="A65">
        <v>65</v>
      </c>
      <c r="B65" t="s">
        <v>8</v>
      </c>
      <c r="D65">
        <v>2017</v>
      </c>
      <c r="E65" t="s">
        <v>147</v>
      </c>
      <c r="F65" s="1">
        <v>42942</v>
      </c>
      <c r="G65" s="1">
        <v>42942</v>
      </c>
      <c r="H65">
        <v>-9.99</v>
      </c>
      <c r="I65">
        <v>9.99</v>
      </c>
      <c r="K65" t="s">
        <v>51</v>
      </c>
      <c r="L65" t="s">
        <v>306</v>
      </c>
      <c r="M65" t="s">
        <v>18</v>
      </c>
      <c r="N65" t="s">
        <v>63</v>
      </c>
    </row>
    <row r="66" spans="1:14" x14ac:dyDescent="0.25">
      <c r="A66">
        <v>60</v>
      </c>
      <c r="B66" t="s">
        <v>8</v>
      </c>
      <c r="D66">
        <v>2017</v>
      </c>
      <c r="E66" t="s">
        <v>147</v>
      </c>
      <c r="F66" s="1">
        <v>42920</v>
      </c>
      <c r="G66" s="1">
        <v>42920</v>
      </c>
      <c r="H66">
        <v>-8.7799999999999994</v>
      </c>
      <c r="I66">
        <v>8.7799999999999994</v>
      </c>
      <c r="K66" t="s">
        <v>68</v>
      </c>
      <c r="L66" t="s">
        <v>306</v>
      </c>
      <c r="M66" t="s">
        <v>18</v>
      </c>
      <c r="N66" t="s">
        <v>19</v>
      </c>
    </row>
    <row r="67" spans="1:14" x14ac:dyDescent="0.25">
      <c r="A67">
        <v>69</v>
      </c>
      <c r="B67" t="s">
        <v>8</v>
      </c>
      <c r="D67">
        <v>2017</v>
      </c>
      <c r="E67" t="s">
        <v>148</v>
      </c>
      <c r="F67" s="1">
        <v>42954</v>
      </c>
      <c r="G67" s="1">
        <v>42954</v>
      </c>
      <c r="H67">
        <v>-10.9</v>
      </c>
      <c r="I67">
        <v>10.9</v>
      </c>
      <c r="K67" t="s">
        <v>93</v>
      </c>
      <c r="L67" t="s">
        <v>306</v>
      </c>
      <c r="M67" t="s">
        <v>18</v>
      </c>
      <c r="N67" t="s">
        <v>21</v>
      </c>
    </row>
    <row r="68" spans="1:14" x14ac:dyDescent="0.25">
      <c r="A68">
        <v>68</v>
      </c>
      <c r="B68" t="s">
        <v>8</v>
      </c>
      <c r="D68">
        <v>2017</v>
      </c>
      <c r="E68" t="s">
        <v>148</v>
      </c>
      <c r="F68" s="1">
        <v>42951</v>
      </c>
      <c r="G68" s="1">
        <v>42951</v>
      </c>
      <c r="H68">
        <v>-13.97</v>
      </c>
      <c r="I68">
        <v>13.97</v>
      </c>
      <c r="K68" t="s">
        <v>92</v>
      </c>
      <c r="L68" t="s">
        <v>306</v>
      </c>
      <c r="M68" t="s">
        <v>18</v>
      </c>
      <c r="N68" t="s">
        <v>87</v>
      </c>
    </row>
    <row r="69" spans="1:14" x14ac:dyDescent="0.25">
      <c r="A69">
        <v>70</v>
      </c>
      <c r="B69" t="s">
        <v>8</v>
      </c>
      <c r="D69">
        <v>2017</v>
      </c>
      <c r="E69" t="s">
        <v>148</v>
      </c>
      <c r="F69" s="1">
        <v>42970</v>
      </c>
      <c r="G69" s="1">
        <v>42970</v>
      </c>
      <c r="H69">
        <v>-7</v>
      </c>
      <c r="I69">
        <v>7</v>
      </c>
      <c r="K69" t="s">
        <v>51</v>
      </c>
      <c r="L69" t="s">
        <v>306</v>
      </c>
      <c r="M69" t="s">
        <v>18</v>
      </c>
      <c r="N69" t="s">
        <v>152</v>
      </c>
    </row>
    <row r="70" spans="1:14" x14ac:dyDescent="0.25">
      <c r="A70">
        <v>67</v>
      </c>
      <c r="B70" t="s">
        <v>8</v>
      </c>
      <c r="D70">
        <v>2017</v>
      </c>
      <c r="E70" t="s">
        <v>148</v>
      </c>
      <c r="F70" s="1">
        <v>42950</v>
      </c>
      <c r="G70" s="1">
        <v>42950</v>
      </c>
      <c r="H70">
        <v>-0.99</v>
      </c>
      <c r="I70">
        <v>0.99</v>
      </c>
      <c r="K70" t="s">
        <v>91</v>
      </c>
      <c r="L70" t="s">
        <v>241</v>
      </c>
      <c r="M70" t="s">
        <v>16</v>
      </c>
      <c r="N70" t="s">
        <v>15</v>
      </c>
    </row>
    <row r="71" spans="1:14" x14ac:dyDescent="0.25">
      <c r="A71">
        <v>71</v>
      </c>
      <c r="B71" t="s">
        <v>8</v>
      </c>
      <c r="D71">
        <v>2017</v>
      </c>
      <c r="E71" t="s">
        <v>148</v>
      </c>
      <c r="F71" s="1">
        <v>42976</v>
      </c>
      <c r="G71" s="1">
        <v>42976</v>
      </c>
      <c r="H71">
        <v>-9.99</v>
      </c>
      <c r="I71">
        <v>9.99</v>
      </c>
      <c r="K71" t="s">
        <v>51</v>
      </c>
      <c r="L71" t="s">
        <v>306</v>
      </c>
      <c r="M71" t="s">
        <v>18</v>
      </c>
      <c r="N71" t="s">
        <v>63</v>
      </c>
    </row>
    <row r="72" spans="1:14" x14ac:dyDescent="0.25">
      <c r="A72">
        <v>66</v>
      </c>
      <c r="B72" t="s">
        <v>8</v>
      </c>
      <c r="D72">
        <v>2017</v>
      </c>
      <c r="E72" t="s">
        <v>148</v>
      </c>
      <c r="F72" s="1">
        <v>42949</v>
      </c>
      <c r="G72" s="1">
        <v>42949</v>
      </c>
      <c r="H72">
        <v>-8.7799999999999994</v>
      </c>
      <c r="I72">
        <v>8.7799999999999994</v>
      </c>
      <c r="K72" t="s">
        <v>68</v>
      </c>
      <c r="L72" t="s">
        <v>306</v>
      </c>
      <c r="M72" t="s">
        <v>18</v>
      </c>
      <c r="N72" t="s">
        <v>19</v>
      </c>
    </row>
    <row r="73" spans="1:14" x14ac:dyDescent="0.25">
      <c r="A73">
        <v>74</v>
      </c>
      <c r="B73" t="s">
        <v>8</v>
      </c>
      <c r="D73">
        <v>2017</v>
      </c>
      <c r="E73" t="s">
        <v>149</v>
      </c>
      <c r="F73" s="1">
        <v>42983</v>
      </c>
      <c r="G73" s="1">
        <v>42983</v>
      </c>
      <c r="H73">
        <v>-10.9</v>
      </c>
      <c r="I73">
        <v>10.9</v>
      </c>
      <c r="K73" t="s">
        <v>95</v>
      </c>
      <c r="L73" t="s">
        <v>306</v>
      </c>
      <c r="M73" t="s">
        <v>18</v>
      </c>
      <c r="N73" t="s">
        <v>21</v>
      </c>
    </row>
    <row r="74" spans="1:14" x14ac:dyDescent="0.25">
      <c r="A74">
        <v>75</v>
      </c>
      <c r="B74" t="s">
        <v>8</v>
      </c>
      <c r="D74">
        <v>2017</v>
      </c>
      <c r="E74" t="s">
        <v>149</v>
      </c>
      <c r="F74" s="1">
        <v>43003</v>
      </c>
      <c r="G74" s="1">
        <v>43003</v>
      </c>
      <c r="H74">
        <v>-7</v>
      </c>
      <c r="I74">
        <v>7</v>
      </c>
      <c r="K74" t="s">
        <v>51</v>
      </c>
      <c r="L74" t="s">
        <v>306</v>
      </c>
      <c r="M74" t="s">
        <v>18</v>
      </c>
      <c r="N74" t="s">
        <v>152</v>
      </c>
    </row>
    <row r="75" spans="1:14" x14ac:dyDescent="0.25">
      <c r="A75">
        <v>73</v>
      </c>
      <c r="B75" t="s">
        <v>8</v>
      </c>
      <c r="D75">
        <v>2017</v>
      </c>
      <c r="E75" t="s">
        <v>149</v>
      </c>
      <c r="F75" s="1">
        <v>42982</v>
      </c>
      <c r="G75" s="1">
        <v>42982</v>
      </c>
      <c r="H75">
        <v>-0.99</v>
      </c>
      <c r="I75">
        <v>0.99</v>
      </c>
      <c r="K75" t="s">
        <v>94</v>
      </c>
      <c r="L75" t="s">
        <v>241</v>
      </c>
      <c r="M75" t="s">
        <v>16</v>
      </c>
      <c r="N75" t="s">
        <v>15</v>
      </c>
    </row>
    <row r="76" spans="1:14" x14ac:dyDescent="0.25">
      <c r="A76">
        <v>76</v>
      </c>
      <c r="B76" t="s">
        <v>8</v>
      </c>
      <c r="D76">
        <v>2017</v>
      </c>
      <c r="E76" t="s">
        <v>149</v>
      </c>
      <c r="F76" s="1">
        <v>43006</v>
      </c>
      <c r="G76" s="1">
        <v>43006</v>
      </c>
      <c r="H76">
        <v>-9.99</v>
      </c>
      <c r="I76">
        <v>9.99</v>
      </c>
      <c r="K76" t="s">
        <v>51</v>
      </c>
      <c r="L76" t="s">
        <v>306</v>
      </c>
      <c r="M76" t="s">
        <v>18</v>
      </c>
      <c r="N76" t="s">
        <v>63</v>
      </c>
    </row>
    <row r="77" spans="1:14" x14ac:dyDescent="0.25">
      <c r="A77">
        <v>72</v>
      </c>
      <c r="B77" t="s">
        <v>8</v>
      </c>
      <c r="D77">
        <v>2017</v>
      </c>
      <c r="E77" t="s">
        <v>149</v>
      </c>
      <c r="F77" s="1">
        <v>42982</v>
      </c>
      <c r="G77" s="1">
        <v>42982</v>
      </c>
      <c r="H77">
        <v>-8.7799999999999994</v>
      </c>
      <c r="I77">
        <v>8.7799999999999994</v>
      </c>
      <c r="K77" t="s">
        <v>68</v>
      </c>
      <c r="L77" t="s">
        <v>306</v>
      </c>
      <c r="M77" t="s">
        <v>18</v>
      </c>
      <c r="N77" t="s">
        <v>19</v>
      </c>
    </row>
    <row r="78" spans="1:14" x14ac:dyDescent="0.25">
      <c r="A78">
        <v>79</v>
      </c>
      <c r="B78" t="s">
        <v>8</v>
      </c>
      <c r="D78">
        <v>2017</v>
      </c>
      <c r="E78" t="s">
        <v>96</v>
      </c>
      <c r="F78" s="1">
        <v>43013</v>
      </c>
      <c r="G78" s="1">
        <v>43013</v>
      </c>
      <c r="H78">
        <v>-10.9</v>
      </c>
      <c r="I78">
        <v>10.9</v>
      </c>
      <c r="K78" t="s">
        <v>99</v>
      </c>
      <c r="L78" t="s">
        <v>306</v>
      </c>
      <c r="M78" t="s">
        <v>18</v>
      </c>
      <c r="N78" t="s">
        <v>21</v>
      </c>
    </row>
    <row r="79" spans="1:14" x14ac:dyDescent="0.25">
      <c r="A79">
        <v>82</v>
      </c>
      <c r="B79" t="s">
        <v>8</v>
      </c>
      <c r="D79">
        <v>2017</v>
      </c>
      <c r="E79" t="s">
        <v>96</v>
      </c>
      <c r="F79" s="1">
        <v>43032</v>
      </c>
      <c r="G79" s="1">
        <v>43032</v>
      </c>
      <c r="H79">
        <v>-7</v>
      </c>
      <c r="I79">
        <v>7</v>
      </c>
      <c r="K79" t="s">
        <v>51</v>
      </c>
      <c r="L79" t="s">
        <v>306</v>
      </c>
      <c r="M79" t="s">
        <v>18</v>
      </c>
      <c r="N79" t="s">
        <v>152</v>
      </c>
    </row>
    <row r="80" spans="1:14" x14ac:dyDescent="0.25">
      <c r="A80">
        <v>81</v>
      </c>
      <c r="B80" t="s">
        <v>8</v>
      </c>
      <c r="D80">
        <v>2017</v>
      </c>
      <c r="E80" t="s">
        <v>96</v>
      </c>
      <c r="F80" s="1">
        <v>43027</v>
      </c>
      <c r="G80" s="1">
        <v>43027</v>
      </c>
      <c r="H80">
        <v>-99.99</v>
      </c>
      <c r="I80">
        <v>99.99</v>
      </c>
      <c r="K80" t="s">
        <v>102</v>
      </c>
      <c r="L80" t="s">
        <v>241</v>
      </c>
      <c r="M80" t="s">
        <v>57</v>
      </c>
      <c r="N80" t="s">
        <v>59</v>
      </c>
    </row>
    <row r="81" spans="1:14" x14ac:dyDescent="0.25">
      <c r="A81">
        <v>78</v>
      </c>
      <c r="B81" t="s">
        <v>8</v>
      </c>
      <c r="D81">
        <v>2017</v>
      </c>
      <c r="E81" t="s">
        <v>96</v>
      </c>
      <c r="F81" s="1">
        <v>43012</v>
      </c>
      <c r="G81" s="1">
        <v>43012</v>
      </c>
      <c r="H81">
        <v>-0.99</v>
      </c>
      <c r="I81">
        <v>0.99</v>
      </c>
      <c r="K81" t="s">
        <v>98</v>
      </c>
      <c r="L81" t="s">
        <v>241</v>
      </c>
      <c r="M81" t="s">
        <v>16</v>
      </c>
      <c r="N81" t="s">
        <v>15</v>
      </c>
    </row>
    <row r="82" spans="1:14" x14ac:dyDescent="0.25">
      <c r="A82">
        <v>83</v>
      </c>
      <c r="B82" t="s">
        <v>8</v>
      </c>
      <c r="D82">
        <v>2017</v>
      </c>
      <c r="E82" t="s">
        <v>96</v>
      </c>
      <c r="F82" s="1">
        <v>43033</v>
      </c>
      <c r="G82" s="1">
        <v>43033</v>
      </c>
      <c r="H82">
        <v>-2.87</v>
      </c>
      <c r="I82">
        <v>2.87</v>
      </c>
      <c r="K82" t="s">
        <v>103</v>
      </c>
      <c r="L82" t="s">
        <v>294</v>
      </c>
      <c r="M82" t="s">
        <v>10</v>
      </c>
      <c r="N82" t="s">
        <v>244</v>
      </c>
    </row>
    <row r="83" spans="1:14" x14ac:dyDescent="0.25">
      <c r="A83">
        <v>80</v>
      </c>
      <c r="B83" t="s">
        <v>8</v>
      </c>
      <c r="D83">
        <v>2017</v>
      </c>
      <c r="E83" t="s">
        <v>96</v>
      </c>
      <c r="F83" s="1">
        <v>43017</v>
      </c>
      <c r="G83" s="1">
        <v>43017</v>
      </c>
      <c r="H83">
        <v>-6.01</v>
      </c>
      <c r="I83">
        <v>6.01</v>
      </c>
      <c r="K83" t="s">
        <v>100</v>
      </c>
      <c r="L83" t="s">
        <v>241</v>
      </c>
      <c r="M83" t="s">
        <v>16</v>
      </c>
      <c r="N83" t="s">
        <v>47</v>
      </c>
    </row>
    <row r="84" spans="1:14" x14ac:dyDescent="0.25">
      <c r="A84">
        <v>84</v>
      </c>
      <c r="B84" t="s">
        <v>8</v>
      </c>
      <c r="D84">
        <v>2017</v>
      </c>
      <c r="E84" t="s">
        <v>96</v>
      </c>
      <c r="F84" s="1">
        <v>43039</v>
      </c>
      <c r="G84" s="1">
        <v>43039</v>
      </c>
      <c r="H84">
        <v>-9.99</v>
      </c>
      <c r="I84">
        <v>9.99</v>
      </c>
      <c r="K84" t="s">
        <v>51</v>
      </c>
      <c r="L84" t="s">
        <v>306</v>
      </c>
      <c r="M84" t="s">
        <v>18</v>
      </c>
      <c r="N84" t="s">
        <v>63</v>
      </c>
    </row>
    <row r="85" spans="1:14" x14ac:dyDescent="0.25">
      <c r="A85">
        <v>77</v>
      </c>
      <c r="B85" t="s">
        <v>8</v>
      </c>
      <c r="D85">
        <v>2017</v>
      </c>
      <c r="E85" t="s">
        <v>96</v>
      </c>
      <c r="F85" s="1">
        <v>43011</v>
      </c>
      <c r="G85" s="1">
        <v>43011</v>
      </c>
      <c r="H85">
        <v>-8.7799999999999994</v>
      </c>
      <c r="I85">
        <v>8.7799999999999994</v>
      </c>
      <c r="K85" t="s">
        <v>68</v>
      </c>
      <c r="L85" t="s">
        <v>306</v>
      </c>
      <c r="M85" t="s">
        <v>18</v>
      </c>
      <c r="N85" t="s">
        <v>19</v>
      </c>
    </row>
    <row r="86" spans="1:14" x14ac:dyDescent="0.25">
      <c r="A86">
        <v>89</v>
      </c>
      <c r="B86" t="s">
        <v>8</v>
      </c>
      <c r="D86">
        <v>2017</v>
      </c>
      <c r="E86" t="s">
        <v>104</v>
      </c>
      <c r="F86" s="1">
        <v>43045</v>
      </c>
      <c r="G86" s="1">
        <v>43045</v>
      </c>
      <c r="H86">
        <v>-4.82</v>
      </c>
      <c r="I86">
        <v>4.82</v>
      </c>
      <c r="K86" t="s">
        <v>108</v>
      </c>
      <c r="L86" t="s">
        <v>241</v>
      </c>
      <c r="M86" t="s">
        <v>48</v>
      </c>
      <c r="N86" t="s">
        <v>50</v>
      </c>
    </row>
    <row r="87" spans="1:14" x14ac:dyDescent="0.25">
      <c r="A87">
        <v>87</v>
      </c>
      <c r="B87" t="s">
        <v>8</v>
      </c>
      <c r="D87">
        <v>2017</v>
      </c>
      <c r="E87" t="s">
        <v>104</v>
      </c>
      <c r="F87" s="1">
        <v>43045</v>
      </c>
      <c r="G87" s="1">
        <v>43045</v>
      </c>
      <c r="H87">
        <v>-10.9</v>
      </c>
      <c r="I87">
        <v>10.9</v>
      </c>
      <c r="K87" t="s">
        <v>106</v>
      </c>
      <c r="L87" t="s">
        <v>306</v>
      </c>
      <c r="M87" t="s">
        <v>18</v>
      </c>
      <c r="N87" t="s">
        <v>21</v>
      </c>
    </row>
    <row r="88" spans="1:14" x14ac:dyDescent="0.25">
      <c r="A88">
        <v>93</v>
      </c>
      <c r="B88" t="s">
        <v>8</v>
      </c>
      <c r="D88">
        <v>2017</v>
      </c>
      <c r="E88" t="s">
        <v>104</v>
      </c>
      <c r="F88" s="1">
        <v>43062</v>
      </c>
      <c r="G88" s="1">
        <v>43062</v>
      </c>
      <c r="H88">
        <v>-7</v>
      </c>
      <c r="I88">
        <v>7</v>
      </c>
      <c r="K88" t="s">
        <v>51</v>
      </c>
      <c r="L88" t="s">
        <v>306</v>
      </c>
      <c r="M88" t="s">
        <v>18</v>
      </c>
      <c r="N88" t="s">
        <v>152</v>
      </c>
    </row>
    <row r="89" spans="1:14" x14ac:dyDescent="0.25">
      <c r="A89">
        <v>90</v>
      </c>
      <c r="B89" t="s">
        <v>8</v>
      </c>
      <c r="D89">
        <v>2017</v>
      </c>
      <c r="E89" t="s">
        <v>104</v>
      </c>
      <c r="F89" s="1">
        <v>43045</v>
      </c>
      <c r="G89" s="1">
        <v>43045</v>
      </c>
      <c r="H89">
        <v>-0.99</v>
      </c>
      <c r="I89">
        <v>0.99</v>
      </c>
      <c r="K89" t="s">
        <v>109</v>
      </c>
      <c r="L89" t="s">
        <v>241</v>
      </c>
      <c r="M89" t="s">
        <v>16</v>
      </c>
      <c r="N89" t="s">
        <v>15</v>
      </c>
    </row>
    <row r="90" spans="1:14" x14ac:dyDescent="0.25">
      <c r="A90">
        <v>88</v>
      </c>
      <c r="B90" t="s">
        <v>8</v>
      </c>
      <c r="D90">
        <v>2017</v>
      </c>
      <c r="E90" t="s">
        <v>104</v>
      </c>
      <c r="F90" s="1">
        <v>43045</v>
      </c>
      <c r="G90" s="1">
        <v>43045</v>
      </c>
      <c r="H90">
        <v>-5.8</v>
      </c>
      <c r="I90">
        <v>5.8</v>
      </c>
      <c r="K90" t="s">
        <v>107</v>
      </c>
      <c r="L90" t="s">
        <v>294</v>
      </c>
      <c r="M90" t="s">
        <v>10</v>
      </c>
      <c r="N90" t="s">
        <v>244</v>
      </c>
    </row>
    <row r="91" spans="1:14" x14ac:dyDescent="0.25">
      <c r="A91">
        <v>92</v>
      </c>
      <c r="B91" t="s">
        <v>8</v>
      </c>
      <c r="D91">
        <v>2017</v>
      </c>
      <c r="E91" t="s">
        <v>104</v>
      </c>
      <c r="F91" s="1">
        <v>43060</v>
      </c>
      <c r="G91" s="1">
        <v>43060</v>
      </c>
      <c r="H91">
        <v>-2.99</v>
      </c>
      <c r="I91">
        <v>2.99</v>
      </c>
      <c r="K91" t="s">
        <v>111</v>
      </c>
      <c r="L91" t="s">
        <v>241</v>
      </c>
      <c r="M91" t="s">
        <v>16</v>
      </c>
      <c r="N91" t="s">
        <v>47</v>
      </c>
    </row>
    <row r="92" spans="1:14" x14ac:dyDescent="0.25">
      <c r="A92">
        <v>94</v>
      </c>
      <c r="B92" t="s">
        <v>8</v>
      </c>
      <c r="D92">
        <v>2017</v>
      </c>
      <c r="E92" t="s">
        <v>104</v>
      </c>
      <c r="F92" s="1">
        <v>43069</v>
      </c>
      <c r="G92" s="1">
        <v>43069</v>
      </c>
      <c r="H92">
        <v>-9.99</v>
      </c>
      <c r="I92">
        <v>9.99</v>
      </c>
      <c r="K92" t="s">
        <v>51</v>
      </c>
      <c r="L92" t="s">
        <v>306</v>
      </c>
      <c r="M92" t="s">
        <v>18</v>
      </c>
      <c r="N92" t="s">
        <v>63</v>
      </c>
    </row>
    <row r="93" spans="1:14" x14ac:dyDescent="0.25">
      <c r="A93">
        <v>85</v>
      </c>
      <c r="B93" t="s">
        <v>8</v>
      </c>
      <c r="D93">
        <v>2017</v>
      </c>
      <c r="E93" t="s">
        <v>104</v>
      </c>
      <c r="F93" s="1">
        <v>43042</v>
      </c>
      <c r="G93" s="1">
        <v>43042</v>
      </c>
      <c r="H93">
        <v>-8.7799999999999994</v>
      </c>
      <c r="I93">
        <v>8.7799999999999994</v>
      </c>
      <c r="K93" t="s">
        <v>68</v>
      </c>
      <c r="L93" t="s">
        <v>306</v>
      </c>
      <c r="M93" t="s">
        <v>18</v>
      </c>
      <c r="N93" t="s">
        <v>19</v>
      </c>
    </row>
    <row r="94" spans="1:14" x14ac:dyDescent="0.25">
      <c r="A94">
        <v>91</v>
      </c>
      <c r="B94" t="s">
        <v>8</v>
      </c>
      <c r="D94">
        <v>2017</v>
      </c>
      <c r="E94" t="s">
        <v>104</v>
      </c>
      <c r="F94" s="1">
        <v>43059</v>
      </c>
      <c r="G94" s="1">
        <v>43059</v>
      </c>
      <c r="H94">
        <v>-301.19</v>
      </c>
      <c r="I94">
        <v>301.19</v>
      </c>
      <c r="K94" t="s">
        <v>110</v>
      </c>
      <c r="L94" t="s">
        <v>294</v>
      </c>
      <c r="M94" t="s">
        <v>10</v>
      </c>
      <c r="N94" t="s">
        <v>157</v>
      </c>
    </row>
    <row r="95" spans="1:14" x14ac:dyDescent="0.25">
      <c r="A95">
        <v>86</v>
      </c>
      <c r="B95" t="s">
        <v>8</v>
      </c>
      <c r="D95">
        <v>2017</v>
      </c>
      <c r="E95" t="s">
        <v>104</v>
      </c>
      <c r="F95" s="1">
        <v>43045</v>
      </c>
      <c r="G95" s="1">
        <v>43045</v>
      </c>
      <c r="H95">
        <v>-179.11</v>
      </c>
      <c r="I95">
        <v>179.11</v>
      </c>
      <c r="K95" t="s">
        <v>105</v>
      </c>
      <c r="L95" t="s">
        <v>294</v>
      </c>
      <c r="M95" t="s">
        <v>10</v>
      </c>
      <c r="N95" t="s">
        <v>157</v>
      </c>
    </row>
    <row r="96" spans="1:14" x14ac:dyDescent="0.25">
      <c r="A96">
        <v>99</v>
      </c>
      <c r="B96" t="s">
        <v>8</v>
      </c>
      <c r="D96">
        <v>2017</v>
      </c>
      <c r="E96" t="s">
        <v>112</v>
      </c>
      <c r="F96" s="1">
        <v>43089</v>
      </c>
      <c r="G96" s="1">
        <v>43089</v>
      </c>
      <c r="H96">
        <v>-66.84</v>
      </c>
      <c r="I96">
        <v>66.84</v>
      </c>
      <c r="K96" t="s">
        <v>158</v>
      </c>
      <c r="L96" t="s">
        <v>295</v>
      </c>
      <c r="M96" t="s">
        <v>161</v>
      </c>
      <c r="N96" t="s">
        <v>162</v>
      </c>
    </row>
    <row r="97" spans="1:14" x14ac:dyDescent="0.25">
      <c r="A97">
        <v>101</v>
      </c>
      <c r="B97" t="s">
        <v>8</v>
      </c>
      <c r="D97">
        <v>2017</v>
      </c>
      <c r="E97" t="s">
        <v>112</v>
      </c>
      <c r="F97" s="1">
        <v>43091</v>
      </c>
      <c r="G97" s="1">
        <v>43091</v>
      </c>
      <c r="H97">
        <v>-4.29</v>
      </c>
      <c r="I97">
        <v>4.29</v>
      </c>
      <c r="K97" t="s">
        <v>117</v>
      </c>
      <c r="L97" t="s">
        <v>241</v>
      </c>
      <c r="M97" t="s">
        <v>48</v>
      </c>
      <c r="N97" t="s">
        <v>50</v>
      </c>
    </row>
    <row r="98" spans="1:14" x14ac:dyDescent="0.25">
      <c r="A98">
        <v>98</v>
      </c>
      <c r="B98" t="s">
        <v>8</v>
      </c>
      <c r="D98">
        <v>2017</v>
      </c>
      <c r="E98" t="s">
        <v>112</v>
      </c>
      <c r="F98" s="1">
        <v>43088</v>
      </c>
      <c r="G98" s="1">
        <v>43088</v>
      </c>
      <c r="H98">
        <v>-3.89</v>
      </c>
      <c r="I98">
        <v>3.89</v>
      </c>
      <c r="K98" t="s">
        <v>115</v>
      </c>
      <c r="L98" t="s">
        <v>241</v>
      </c>
      <c r="M98" t="s">
        <v>48</v>
      </c>
      <c r="N98" t="s">
        <v>50</v>
      </c>
    </row>
    <row r="99" spans="1:14" x14ac:dyDescent="0.25">
      <c r="A99">
        <v>96</v>
      </c>
      <c r="B99" t="s">
        <v>8</v>
      </c>
      <c r="D99">
        <v>2017</v>
      </c>
      <c r="E99" t="s">
        <v>112</v>
      </c>
      <c r="F99" s="1">
        <v>43074</v>
      </c>
      <c r="G99" s="1">
        <v>43074</v>
      </c>
      <c r="H99">
        <v>-10.9</v>
      </c>
      <c r="I99">
        <v>10.9</v>
      </c>
      <c r="K99" t="s">
        <v>113</v>
      </c>
      <c r="L99" t="s">
        <v>306</v>
      </c>
      <c r="M99" t="s">
        <v>18</v>
      </c>
      <c r="N99" t="s">
        <v>21</v>
      </c>
    </row>
    <row r="100" spans="1:14" x14ac:dyDescent="0.25">
      <c r="A100">
        <v>102</v>
      </c>
      <c r="B100" t="s">
        <v>8</v>
      </c>
      <c r="D100">
        <v>2017</v>
      </c>
      <c r="E100" t="s">
        <v>112</v>
      </c>
      <c r="F100" s="1">
        <v>43097</v>
      </c>
      <c r="G100" s="1">
        <v>43097</v>
      </c>
      <c r="H100">
        <v>-7</v>
      </c>
      <c r="I100">
        <v>7</v>
      </c>
      <c r="K100" t="s">
        <v>51</v>
      </c>
      <c r="L100" t="s">
        <v>306</v>
      </c>
      <c r="M100" t="s">
        <v>18</v>
      </c>
      <c r="N100" t="s">
        <v>152</v>
      </c>
    </row>
    <row r="101" spans="1:14" x14ac:dyDescent="0.25">
      <c r="A101">
        <v>97</v>
      </c>
      <c r="B101" t="s">
        <v>8</v>
      </c>
      <c r="D101">
        <v>2017</v>
      </c>
      <c r="E101" t="s">
        <v>112</v>
      </c>
      <c r="F101" s="1">
        <v>43074</v>
      </c>
      <c r="G101" s="1">
        <v>43074</v>
      </c>
      <c r="H101">
        <v>-0.99</v>
      </c>
      <c r="I101">
        <v>0.99</v>
      </c>
      <c r="K101" t="s">
        <v>114</v>
      </c>
      <c r="L101" t="s">
        <v>241</v>
      </c>
      <c r="M101" t="s">
        <v>16</v>
      </c>
      <c r="N101" t="s">
        <v>15</v>
      </c>
    </row>
    <row r="102" spans="1:14" x14ac:dyDescent="0.25">
      <c r="A102">
        <v>100</v>
      </c>
      <c r="B102" t="s">
        <v>8</v>
      </c>
      <c r="D102">
        <v>2017</v>
      </c>
      <c r="E102" t="s">
        <v>112</v>
      </c>
      <c r="F102" s="1">
        <v>43090</v>
      </c>
      <c r="G102" s="1">
        <v>43090</v>
      </c>
      <c r="H102">
        <v>-75.94</v>
      </c>
      <c r="I102">
        <v>75.94</v>
      </c>
      <c r="K102" t="s">
        <v>116</v>
      </c>
      <c r="L102" t="s">
        <v>294</v>
      </c>
      <c r="M102" t="s">
        <v>10</v>
      </c>
      <c r="N102" t="s">
        <v>244</v>
      </c>
    </row>
    <row r="103" spans="1:14" x14ac:dyDescent="0.25">
      <c r="A103">
        <v>95</v>
      </c>
      <c r="B103" t="s">
        <v>8</v>
      </c>
      <c r="D103">
        <v>2017</v>
      </c>
      <c r="E103" t="s">
        <v>112</v>
      </c>
      <c r="F103" s="1">
        <v>43073</v>
      </c>
      <c r="G103" s="1">
        <v>43073</v>
      </c>
      <c r="H103">
        <v>-8.7799999999999994</v>
      </c>
      <c r="I103">
        <v>8.7799999999999994</v>
      </c>
      <c r="K103" t="s">
        <v>68</v>
      </c>
      <c r="L103" t="s">
        <v>306</v>
      </c>
      <c r="M103" t="s">
        <v>18</v>
      </c>
      <c r="N103" t="s">
        <v>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41291-041E-4CB3-A167-FAC934837CCC}">
  <dimension ref="A1:X16"/>
  <sheetViews>
    <sheetView workbookViewId="0">
      <selection activeCell="H2" sqref="H2:H16"/>
    </sheetView>
  </sheetViews>
  <sheetFormatPr defaultRowHeight="15" x14ac:dyDescent="0.25"/>
  <cols>
    <col min="7" max="7" width="17.85546875" customWidth="1"/>
    <col min="8" max="8" width="9.28515625" customWidth="1"/>
    <col min="9" max="9" width="14.140625" customWidth="1"/>
    <col min="11" max="11" width="18.5703125" customWidth="1"/>
    <col min="13" max="13" width="11.42578125" customWidth="1"/>
    <col min="14" max="14" width="9.5703125" customWidth="1"/>
    <col min="15" max="15" width="9.42578125" customWidth="1"/>
    <col min="16" max="16" width="15.28515625" customWidth="1"/>
  </cols>
  <sheetData>
    <row r="1" spans="1:24" x14ac:dyDescent="0.25">
      <c r="A1" t="s">
        <v>186</v>
      </c>
      <c r="B1" t="s">
        <v>0</v>
      </c>
      <c r="C1" t="s">
        <v>228</v>
      </c>
      <c r="D1" t="s">
        <v>1</v>
      </c>
      <c r="E1" t="s">
        <v>3</v>
      </c>
      <c r="F1" t="s">
        <v>2</v>
      </c>
      <c r="G1" t="s">
        <v>243</v>
      </c>
      <c r="H1" t="s">
        <v>4</v>
      </c>
      <c r="I1" t="s">
        <v>307</v>
      </c>
      <c r="J1" t="s">
        <v>215</v>
      </c>
      <c r="K1" t="s">
        <v>5</v>
      </c>
      <c r="L1" t="s">
        <v>242</v>
      </c>
      <c r="M1" t="s">
        <v>6</v>
      </c>
      <c r="N1" t="s">
        <v>7</v>
      </c>
      <c r="O1" t="s">
        <v>365</v>
      </c>
      <c r="P1" t="s">
        <v>194</v>
      </c>
      <c r="Q1" t="s">
        <v>225</v>
      </c>
      <c r="R1" t="s">
        <v>226</v>
      </c>
      <c r="S1" t="s">
        <v>195</v>
      </c>
      <c r="T1" t="s">
        <v>317</v>
      </c>
      <c r="U1" t="s">
        <v>382</v>
      </c>
      <c r="V1" t="s">
        <v>318</v>
      </c>
      <c r="W1" t="s">
        <v>319</v>
      </c>
      <c r="X1" t="s">
        <v>320</v>
      </c>
    </row>
    <row r="2" spans="1:24" x14ac:dyDescent="0.25">
      <c r="A2">
        <v>202305114</v>
      </c>
      <c r="B2" t="s">
        <v>128</v>
      </c>
      <c r="C2" t="s">
        <v>176</v>
      </c>
      <c r="D2">
        <v>2023</v>
      </c>
      <c r="E2" t="s">
        <v>314</v>
      </c>
      <c r="F2" s="1">
        <v>45048</v>
      </c>
      <c r="G2" s="1">
        <v>45048</v>
      </c>
      <c r="H2">
        <v>-137.5</v>
      </c>
      <c r="I2">
        <v>290.58999999999997</v>
      </c>
      <c r="J2" t="s">
        <v>201</v>
      </c>
      <c r="K2" t="s">
        <v>192</v>
      </c>
      <c r="L2" t="s">
        <v>306</v>
      </c>
      <c r="M2" t="s">
        <v>18</v>
      </c>
      <c r="N2" t="s">
        <v>75</v>
      </c>
      <c r="O2">
        <v>290.58999999999997</v>
      </c>
      <c r="Q2" t="s">
        <v>355</v>
      </c>
      <c r="R2">
        <v>606796363200709</v>
      </c>
      <c r="S2" t="s">
        <v>193</v>
      </c>
      <c r="U2" t="s">
        <v>356</v>
      </c>
      <c r="V2" t="s">
        <v>177</v>
      </c>
    </row>
    <row r="3" spans="1:24" x14ac:dyDescent="0.25">
      <c r="A3">
        <v>202305013</v>
      </c>
      <c r="B3" t="s">
        <v>128</v>
      </c>
      <c r="C3" t="s">
        <v>176</v>
      </c>
      <c r="D3">
        <v>2023</v>
      </c>
      <c r="E3" t="s">
        <v>314</v>
      </c>
      <c r="F3" s="1">
        <v>44946</v>
      </c>
      <c r="G3" s="1">
        <v>44946</v>
      </c>
      <c r="H3">
        <v>154</v>
      </c>
      <c r="I3">
        <v>487.45</v>
      </c>
      <c r="J3" t="s">
        <v>212</v>
      </c>
      <c r="K3" t="s">
        <v>78</v>
      </c>
      <c r="L3" t="s">
        <v>306</v>
      </c>
      <c r="M3" t="s">
        <v>18</v>
      </c>
      <c r="N3" t="s">
        <v>90</v>
      </c>
      <c r="O3">
        <v>487.45</v>
      </c>
      <c r="Q3" t="s">
        <v>343</v>
      </c>
      <c r="U3" t="s">
        <v>344</v>
      </c>
      <c r="V3" t="s">
        <v>177</v>
      </c>
    </row>
    <row r="4" spans="1:24" x14ac:dyDescent="0.25">
      <c r="A4">
        <v>202305012</v>
      </c>
      <c r="B4" t="s">
        <v>128</v>
      </c>
      <c r="C4" t="s">
        <v>176</v>
      </c>
      <c r="D4">
        <v>2023</v>
      </c>
      <c r="E4" t="s">
        <v>314</v>
      </c>
      <c r="F4" s="1">
        <v>44946</v>
      </c>
      <c r="G4" s="1">
        <v>44946</v>
      </c>
      <c r="H4">
        <v>-67.2</v>
      </c>
      <c r="I4">
        <v>333.45</v>
      </c>
      <c r="J4" t="s">
        <v>341</v>
      </c>
      <c r="K4" t="s">
        <v>23</v>
      </c>
      <c r="L4" t="s">
        <v>306</v>
      </c>
      <c r="M4" t="s">
        <v>18</v>
      </c>
      <c r="N4" t="s">
        <v>24</v>
      </c>
      <c r="O4">
        <v>333.45</v>
      </c>
      <c r="Q4">
        <v>250001452145</v>
      </c>
      <c r="R4">
        <v>200000512223</v>
      </c>
      <c r="S4" t="s">
        <v>185</v>
      </c>
      <c r="U4" t="s">
        <v>342</v>
      </c>
      <c r="V4" t="s">
        <v>177</v>
      </c>
    </row>
    <row r="5" spans="1:24" x14ac:dyDescent="0.25">
      <c r="A5">
        <v>202305011</v>
      </c>
      <c r="B5" t="s">
        <v>128</v>
      </c>
      <c r="C5" t="s">
        <v>176</v>
      </c>
      <c r="D5">
        <v>2023</v>
      </c>
      <c r="E5" t="s">
        <v>314</v>
      </c>
      <c r="F5" s="1">
        <v>44946</v>
      </c>
      <c r="G5" s="1">
        <v>44946</v>
      </c>
      <c r="H5">
        <v>-5</v>
      </c>
      <c r="I5">
        <v>400.65</v>
      </c>
      <c r="J5" t="s">
        <v>218</v>
      </c>
      <c r="K5" t="s">
        <v>26</v>
      </c>
      <c r="L5" t="s">
        <v>306</v>
      </c>
      <c r="M5" t="s">
        <v>18</v>
      </c>
      <c r="N5" t="s">
        <v>27</v>
      </c>
      <c r="O5">
        <v>400.65</v>
      </c>
      <c r="Q5" t="s">
        <v>339</v>
      </c>
      <c r="R5">
        <v>316648</v>
      </c>
      <c r="S5" t="s">
        <v>285</v>
      </c>
      <c r="U5" t="s">
        <v>340</v>
      </c>
      <c r="V5" t="s">
        <v>177</v>
      </c>
    </row>
    <row r="6" spans="1:24" x14ac:dyDescent="0.25">
      <c r="A6">
        <v>202305010</v>
      </c>
      <c r="B6" t="s">
        <v>128</v>
      </c>
      <c r="C6" t="s">
        <v>176</v>
      </c>
      <c r="D6">
        <v>2023</v>
      </c>
      <c r="E6" t="s">
        <v>314</v>
      </c>
      <c r="F6" s="1">
        <v>44946</v>
      </c>
      <c r="G6" s="1">
        <v>44946</v>
      </c>
      <c r="H6">
        <v>-9.99</v>
      </c>
      <c r="I6">
        <v>405.65</v>
      </c>
      <c r="J6" t="s">
        <v>336</v>
      </c>
      <c r="K6" t="s">
        <v>181</v>
      </c>
      <c r="L6" t="s">
        <v>306</v>
      </c>
      <c r="M6" t="s">
        <v>18</v>
      </c>
      <c r="N6" t="s">
        <v>63</v>
      </c>
      <c r="O6">
        <v>405.65</v>
      </c>
      <c r="Q6" t="s">
        <v>337</v>
      </c>
      <c r="R6" t="s">
        <v>179</v>
      </c>
      <c r="S6" t="s">
        <v>180</v>
      </c>
      <c r="U6" t="s">
        <v>338</v>
      </c>
      <c r="V6" t="s">
        <v>177</v>
      </c>
    </row>
    <row r="7" spans="1:24" x14ac:dyDescent="0.25">
      <c r="A7">
        <v>202305007</v>
      </c>
      <c r="B7" t="s">
        <v>128</v>
      </c>
      <c r="C7" t="s">
        <v>176</v>
      </c>
      <c r="D7">
        <v>2023</v>
      </c>
      <c r="E7" t="s">
        <v>314</v>
      </c>
      <c r="F7" s="1">
        <v>44944</v>
      </c>
      <c r="G7" s="1">
        <v>44944</v>
      </c>
      <c r="H7">
        <v>-6</v>
      </c>
      <c r="I7">
        <v>-50.51</v>
      </c>
      <c r="J7" t="s">
        <v>182</v>
      </c>
      <c r="K7" t="s">
        <v>132</v>
      </c>
      <c r="L7" t="s">
        <v>306</v>
      </c>
      <c r="M7" t="s">
        <v>18</v>
      </c>
      <c r="N7" t="s">
        <v>129</v>
      </c>
      <c r="O7">
        <v>-50.51</v>
      </c>
      <c r="Q7" t="s">
        <v>332</v>
      </c>
      <c r="R7" t="s">
        <v>183</v>
      </c>
      <c r="S7" t="s">
        <v>184</v>
      </c>
      <c r="U7" t="s">
        <v>333</v>
      </c>
      <c r="V7" t="s">
        <v>177</v>
      </c>
    </row>
    <row r="8" spans="1:24" x14ac:dyDescent="0.25">
      <c r="A8">
        <v>202305006</v>
      </c>
      <c r="B8" t="s">
        <v>128</v>
      </c>
      <c r="C8" t="s">
        <v>176</v>
      </c>
      <c r="D8">
        <v>2023</v>
      </c>
      <c r="E8" t="s">
        <v>314</v>
      </c>
      <c r="F8" s="1">
        <v>44932</v>
      </c>
      <c r="G8" s="1">
        <v>44932</v>
      </c>
      <c r="H8">
        <v>-137.5</v>
      </c>
      <c r="I8">
        <v>-44.51</v>
      </c>
      <c r="J8" t="s">
        <v>201</v>
      </c>
      <c r="K8" t="s">
        <v>192</v>
      </c>
      <c r="L8" t="s">
        <v>306</v>
      </c>
      <c r="M8" t="s">
        <v>18</v>
      </c>
      <c r="N8" t="s">
        <v>75</v>
      </c>
      <c r="O8">
        <v>-44.51</v>
      </c>
      <c r="Q8" t="s">
        <v>330</v>
      </c>
      <c r="R8">
        <v>606796363200709</v>
      </c>
      <c r="S8" t="s">
        <v>193</v>
      </c>
      <c r="U8" t="s">
        <v>331</v>
      </c>
      <c r="V8" t="s">
        <v>177</v>
      </c>
    </row>
    <row r="9" spans="1:24" x14ac:dyDescent="0.25">
      <c r="A9">
        <v>202305004</v>
      </c>
      <c r="B9" t="s">
        <v>128</v>
      </c>
      <c r="C9" t="s">
        <v>176</v>
      </c>
      <c r="D9">
        <v>2023</v>
      </c>
      <c r="E9" t="s">
        <v>314</v>
      </c>
      <c r="F9" s="1">
        <v>44929</v>
      </c>
      <c r="G9" s="1">
        <v>44927</v>
      </c>
      <c r="H9">
        <v>-5.65</v>
      </c>
      <c r="I9">
        <v>75.260000000000005</v>
      </c>
      <c r="K9" t="s">
        <v>17</v>
      </c>
      <c r="L9" t="s">
        <v>306</v>
      </c>
      <c r="M9" t="s">
        <v>18</v>
      </c>
      <c r="N9" t="s">
        <v>19</v>
      </c>
      <c r="O9">
        <v>75.260000000000005</v>
      </c>
      <c r="U9" t="s">
        <v>327</v>
      </c>
      <c r="V9" t="s">
        <v>177</v>
      </c>
    </row>
    <row r="10" spans="1:24" x14ac:dyDescent="0.25">
      <c r="A10">
        <v>202305003</v>
      </c>
      <c r="B10" t="s">
        <v>128</v>
      </c>
      <c r="C10" t="s">
        <v>176</v>
      </c>
      <c r="D10">
        <v>2023</v>
      </c>
      <c r="E10" t="s">
        <v>314</v>
      </c>
      <c r="F10" s="1">
        <v>44929</v>
      </c>
      <c r="G10" s="1">
        <v>44927</v>
      </c>
      <c r="H10">
        <v>-0.8</v>
      </c>
      <c r="I10">
        <v>80.91</v>
      </c>
      <c r="K10" t="s">
        <v>17</v>
      </c>
      <c r="L10" t="s">
        <v>306</v>
      </c>
      <c r="M10" t="s">
        <v>18</v>
      </c>
      <c r="N10" t="s">
        <v>19</v>
      </c>
      <c r="O10">
        <v>80.91</v>
      </c>
      <c r="U10" t="s">
        <v>326</v>
      </c>
      <c r="V10" t="s">
        <v>177</v>
      </c>
    </row>
    <row r="11" spans="1:24" x14ac:dyDescent="0.25">
      <c r="A11">
        <v>202305001</v>
      </c>
      <c r="B11" t="s">
        <v>128</v>
      </c>
      <c r="C11" t="s">
        <v>176</v>
      </c>
      <c r="D11">
        <v>2023</v>
      </c>
      <c r="E11" t="s">
        <v>314</v>
      </c>
      <c r="F11" s="1">
        <v>44928</v>
      </c>
      <c r="G11" s="1">
        <v>44928</v>
      </c>
      <c r="H11">
        <v>-3.52</v>
      </c>
      <c r="I11">
        <v>149.83000000000001</v>
      </c>
      <c r="J11" t="s">
        <v>197</v>
      </c>
      <c r="K11" t="s">
        <v>190</v>
      </c>
      <c r="L11" t="s">
        <v>306</v>
      </c>
      <c r="M11" t="s">
        <v>18</v>
      </c>
      <c r="N11" t="s">
        <v>216</v>
      </c>
      <c r="O11">
        <v>149.83000000000001</v>
      </c>
      <c r="Q11" t="s">
        <v>324</v>
      </c>
      <c r="R11">
        <v>3272007</v>
      </c>
      <c r="S11" t="s">
        <v>191</v>
      </c>
      <c r="U11" t="s">
        <v>325</v>
      </c>
      <c r="V11" t="s">
        <v>177</v>
      </c>
    </row>
    <row r="12" spans="1:24" x14ac:dyDescent="0.25">
      <c r="A12">
        <v>202305009</v>
      </c>
      <c r="B12" t="s">
        <v>128</v>
      </c>
      <c r="C12" t="s">
        <v>176</v>
      </c>
      <c r="D12">
        <v>2023</v>
      </c>
      <c r="E12" t="s">
        <v>314</v>
      </c>
      <c r="F12" s="1">
        <v>44944</v>
      </c>
      <c r="G12" s="1">
        <v>44945</v>
      </c>
      <c r="H12">
        <v>-33.85</v>
      </c>
      <c r="I12">
        <v>415.64</v>
      </c>
      <c r="J12" t="s">
        <v>299</v>
      </c>
      <c r="K12" t="s">
        <v>300</v>
      </c>
      <c r="L12" t="s">
        <v>240</v>
      </c>
      <c r="M12" t="s">
        <v>72</v>
      </c>
      <c r="N12" t="s">
        <v>73</v>
      </c>
      <c r="O12">
        <v>415.64</v>
      </c>
      <c r="Q12" t="s">
        <v>334</v>
      </c>
      <c r="U12" t="s">
        <v>335</v>
      </c>
      <c r="V12" t="s">
        <v>177</v>
      </c>
    </row>
    <row r="13" spans="1:24" x14ac:dyDescent="0.25">
      <c r="A13">
        <v>202305005</v>
      </c>
      <c r="B13" t="s">
        <v>128</v>
      </c>
      <c r="C13" t="s">
        <v>176</v>
      </c>
      <c r="D13">
        <v>2023</v>
      </c>
      <c r="E13" t="s">
        <v>314</v>
      </c>
      <c r="F13" s="1">
        <v>44931</v>
      </c>
      <c r="G13" s="1">
        <v>44931</v>
      </c>
      <c r="H13">
        <v>17.73</v>
      </c>
      <c r="I13">
        <v>92.99</v>
      </c>
      <c r="J13" t="s">
        <v>309</v>
      </c>
      <c r="K13" t="s">
        <v>379</v>
      </c>
      <c r="L13" t="s">
        <v>241</v>
      </c>
      <c r="M13" t="s">
        <v>124</v>
      </c>
      <c r="N13" t="s">
        <v>124</v>
      </c>
      <c r="O13">
        <v>92.99</v>
      </c>
      <c r="Q13" t="s">
        <v>328</v>
      </c>
      <c r="U13" t="s">
        <v>329</v>
      </c>
      <c r="V13" t="s">
        <v>177</v>
      </c>
    </row>
    <row r="14" spans="1:24" x14ac:dyDescent="0.25">
      <c r="A14">
        <v>202305014</v>
      </c>
      <c r="B14" t="s">
        <v>128</v>
      </c>
      <c r="C14" t="s">
        <v>176</v>
      </c>
      <c r="D14">
        <v>2023</v>
      </c>
      <c r="E14" t="s">
        <v>314</v>
      </c>
      <c r="F14" s="1">
        <v>44954</v>
      </c>
      <c r="G14" s="1">
        <v>44954</v>
      </c>
      <c r="H14">
        <v>-7.98</v>
      </c>
      <c r="I14">
        <v>479.47</v>
      </c>
      <c r="K14" t="s">
        <v>219</v>
      </c>
      <c r="L14" t="s">
        <v>156</v>
      </c>
      <c r="M14" t="s">
        <v>156</v>
      </c>
      <c r="N14" t="s">
        <v>156</v>
      </c>
      <c r="O14">
        <v>479.47</v>
      </c>
      <c r="U14" t="s">
        <v>345</v>
      </c>
      <c r="V14" t="s">
        <v>177</v>
      </c>
    </row>
    <row r="15" spans="1:24" x14ac:dyDescent="0.25">
      <c r="A15">
        <v>202305008</v>
      </c>
      <c r="B15" t="s">
        <v>128</v>
      </c>
      <c r="C15" t="s">
        <v>176</v>
      </c>
      <c r="D15">
        <v>2023</v>
      </c>
      <c r="E15" t="s">
        <v>314</v>
      </c>
      <c r="F15" s="1">
        <v>44944</v>
      </c>
      <c r="G15" s="1">
        <v>44944</v>
      </c>
      <c r="H15">
        <v>500</v>
      </c>
      <c r="I15">
        <v>449.49</v>
      </c>
      <c r="J15" t="s">
        <v>178</v>
      </c>
      <c r="K15" t="s">
        <v>227</v>
      </c>
      <c r="L15" t="s">
        <v>156</v>
      </c>
      <c r="M15" t="s">
        <v>156</v>
      </c>
      <c r="N15" t="s">
        <v>156</v>
      </c>
      <c r="O15">
        <v>449.49</v>
      </c>
      <c r="U15" t="s">
        <v>177</v>
      </c>
      <c r="V15" t="s">
        <v>177</v>
      </c>
    </row>
    <row r="16" spans="1:24" x14ac:dyDescent="0.25">
      <c r="A16">
        <v>202305002</v>
      </c>
      <c r="B16" t="s">
        <v>128</v>
      </c>
      <c r="C16" t="s">
        <v>176</v>
      </c>
      <c r="D16">
        <v>2023</v>
      </c>
      <c r="E16" t="s">
        <v>314</v>
      </c>
      <c r="F16" s="1">
        <v>44928</v>
      </c>
      <c r="G16" s="1">
        <v>44928</v>
      </c>
      <c r="H16">
        <v>-68.12</v>
      </c>
      <c r="I16">
        <v>81.709999999999994</v>
      </c>
      <c r="J16" t="s">
        <v>281</v>
      </c>
      <c r="K16" t="s">
        <v>133</v>
      </c>
      <c r="L16" t="s">
        <v>295</v>
      </c>
      <c r="M16" t="s">
        <v>165</v>
      </c>
      <c r="N16" t="s">
        <v>22</v>
      </c>
      <c r="O16">
        <v>81.709999999999994</v>
      </c>
      <c r="Q16" t="s">
        <v>310</v>
      </c>
      <c r="R16" t="s">
        <v>311</v>
      </c>
      <c r="S16" t="s">
        <v>284</v>
      </c>
      <c r="U16" t="s">
        <v>310</v>
      </c>
      <c r="V16" t="s">
        <v>177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DD8D-6DC3-4AC7-A0C3-9A3FE140A3B9}">
  <dimension ref="A3:P18"/>
  <sheetViews>
    <sheetView workbookViewId="0">
      <selection activeCell="H11" sqref="H11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7109375" bestFit="1" customWidth="1"/>
    <col min="4" max="4" width="8" bestFit="1" customWidth="1"/>
    <col min="5" max="7" width="12.7109375" bestFit="1" customWidth="1"/>
    <col min="8" max="11" width="8.5703125" bestFit="1" customWidth="1"/>
    <col min="12" max="12" width="12.7109375" bestFit="1" customWidth="1"/>
    <col min="13" max="13" width="9.85546875" bestFit="1" customWidth="1"/>
    <col min="14" max="14" width="9.140625" bestFit="1" customWidth="1"/>
    <col min="15" max="15" width="12.140625" bestFit="1" customWidth="1"/>
    <col min="16" max="16" width="12.7109375" bestFit="1" customWidth="1"/>
    <col min="17" max="18" width="8.5703125" bestFit="1" customWidth="1"/>
    <col min="19" max="20" width="12.7109375" bestFit="1" customWidth="1"/>
    <col min="21" max="24" width="8.5703125" bestFit="1" customWidth="1"/>
    <col min="25" max="25" width="12.7109375" bestFit="1" customWidth="1"/>
    <col min="26" max="26" width="9.85546875" bestFit="1" customWidth="1"/>
    <col min="27" max="27" width="9.140625" bestFit="1" customWidth="1"/>
    <col min="28" max="28" width="12.140625" bestFit="1" customWidth="1"/>
    <col min="29" max="29" width="12.7109375" bestFit="1" customWidth="1"/>
    <col min="30" max="30" width="8.5703125" bestFit="1" customWidth="1"/>
    <col min="31" max="32" width="12.7109375" bestFit="1" customWidth="1"/>
    <col min="33" max="36" width="8.5703125" bestFit="1" customWidth="1"/>
    <col min="37" max="37" width="12.7109375" bestFit="1" customWidth="1"/>
    <col min="38" max="38" width="9.85546875" bestFit="1" customWidth="1"/>
    <col min="39" max="39" width="9.140625" bestFit="1" customWidth="1"/>
    <col min="40" max="40" width="12.140625" bestFit="1" customWidth="1"/>
    <col min="41" max="41" width="12.7109375" bestFit="1" customWidth="1"/>
    <col min="42" max="43" width="8.5703125" bestFit="1" customWidth="1"/>
    <col min="44" max="45" width="12.7109375" bestFit="1" customWidth="1"/>
    <col min="46" max="49" width="8.5703125" bestFit="1" customWidth="1"/>
    <col min="50" max="50" width="12.7109375" bestFit="1" customWidth="1"/>
    <col min="51" max="51" width="9.85546875" bestFit="1" customWidth="1"/>
    <col min="52" max="52" width="9.140625" bestFit="1" customWidth="1"/>
    <col min="53" max="53" width="12.140625" bestFit="1" customWidth="1"/>
    <col min="54" max="54" width="12.7109375" bestFit="1" customWidth="1"/>
    <col min="55" max="57" width="8.5703125" bestFit="1" customWidth="1"/>
    <col min="58" max="59" width="12.7109375" bestFit="1" customWidth="1"/>
    <col min="60" max="63" width="8.5703125" bestFit="1" customWidth="1"/>
    <col min="64" max="64" width="12.7109375" bestFit="1" customWidth="1"/>
    <col min="65" max="65" width="9.85546875" bestFit="1" customWidth="1"/>
    <col min="66" max="66" width="9.140625" bestFit="1" customWidth="1"/>
    <col min="67" max="67" width="12.140625" bestFit="1" customWidth="1"/>
    <col min="68" max="68" width="12.7109375" bestFit="1" customWidth="1"/>
    <col min="69" max="70" width="8.5703125" bestFit="1" customWidth="1"/>
    <col min="71" max="72" width="12.7109375" bestFit="1" customWidth="1"/>
    <col min="73" max="76" width="8.5703125" bestFit="1" customWidth="1"/>
    <col min="77" max="77" width="12.7109375" bestFit="1" customWidth="1"/>
    <col min="78" max="78" width="9.85546875" bestFit="1" customWidth="1"/>
    <col min="79" max="79" width="9.140625" bestFit="1" customWidth="1"/>
    <col min="80" max="80" width="12.140625" bestFit="1" customWidth="1"/>
    <col min="81" max="81" width="12.7109375" bestFit="1" customWidth="1"/>
    <col min="82" max="82" width="8.5703125" bestFit="1" customWidth="1"/>
    <col min="83" max="84" width="12.7109375" bestFit="1" customWidth="1"/>
    <col min="85" max="88" width="8.5703125" bestFit="1" customWidth="1"/>
    <col min="89" max="89" width="12.7109375" bestFit="1" customWidth="1"/>
    <col min="90" max="90" width="9.85546875" bestFit="1" customWidth="1"/>
    <col min="92" max="92" width="12.140625" bestFit="1" customWidth="1"/>
    <col min="93" max="93" width="12.7109375" bestFit="1" customWidth="1"/>
  </cols>
  <sheetData>
    <row r="3" spans="1:16" x14ac:dyDescent="0.25">
      <c r="A3" s="5" t="s">
        <v>316</v>
      </c>
      <c r="B3" s="5" t="s">
        <v>289</v>
      </c>
    </row>
    <row r="4" spans="1:16" x14ac:dyDescent="0.25">
      <c r="B4">
        <v>2017</v>
      </c>
      <c r="C4">
        <v>2018</v>
      </c>
      <c r="D4">
        <v>2019</v>
      </c>
      <c r="E4">
        <v>2020</v>
      </c>
      <c r="F4">
        <v>2021</v>
      </c>
      <c r="G4">
        <v>2022</v>
      </c>
      <c r="H4">
        <v>2023</v>
      </c>
      <c r="M4" t="s">
        <v>293</v>
      </c>
      <c r="N4" t="s">
        <v>313</v>
      </c>
      <c r="O4" t="s">
        <v>380</v>
      </c>
      <c r="P4" t="s">
        <v>290</v>
      </c>
    </row>
    <row r="5" spans="1:16" x14ac:dyDescent="0.25">
      <c r="A5" s="5" t="s">
        <v>291</v>
      </c>
      <c r="H5" t="s">
        <v>314</v>
      </c>
      <c r="I5" t="s">
        <v>368</v>
      </c>
      <c r="J5" t="s">
        <v>367</v>
      </c>
      <c r="K5" t="s">
        <v>369</v>
      </c>
      <c r="L5" t="s">
        <v>366</v>
      </c>
      <c r="N5" t="s">
        <v>313</v>
      </c>
    </row>
    <row r="6" spans="1:16" x14ac:dyDescent="0.25">
      <c r="A6" s="3" t="s">
        <v>8</v>
      </c>
      <c r="B6" s="71">
        <v>-3225.9599999999969</v>
      </c>
      <c r="C6" s="71">
        <v>-979.0299999999994</v>
      </c>
      <c r="D6" s="71">
        <v>-726.02000000000032</v>
      </c>
      <c r="E6" s="71">
        <v>-681.20999999999992</v>
      </c>
      <c r="F6" s="71"/>
      <c r="G6" s="71"/>
      <c r="H6" s="71"/>
      <c r="I6" s="71"/>
      <c r="J6" s="71"/>
      <c r="K6" s="71"/>
      <c r="L6" s="71"/>
      <c r="M6" s="71"/>
      <c r="N6" s="71"/>
      <c r="O6" s="71"/>
      <c r="P6" s="71">
        <v>-5612.2199999999966</v>
      </c>
    </row>
    <row r="7" spans="1:16" x14ac:dyDescent="0.25">
      <c r="A7" s="3" t="s">
        <v>230</v>
      </c>
      <c r="B7" s="71"/>
      <c r="C7" s="71">
        <v>-276.7</v>
      </c>
      <c r="D7" s="71">
        <v>-232.32999999999996</v>
      </c>
      <c r="E7" s="71">
        <v>-27</v>
      </c>
      <c r="F7" s="71">
        <v>150</v>
      </c>
      <c r="G7" s="71"/>
      <c r="H7" s="71"/>
      <c r="I7" s="71"/>
      <c r="J7" s="71"/>
      <c r="K7" s="71"/>
      <c r="L7" s="71"/>
      <c r="M7" s="71"/>
      <c r="N7" s="71"/>
      <c r="O7" s="71"/>
      <c r="P7" s="71">
        <v>-386.03</v>
      </c>
    </row>
    <row r="8" spans="1:16" x14ac:dyDescent="0.25">
      <c r="A8" s="3" t="s">
        <v>302</v>
      </c>
      <c r="B8" s="71"/>
      <c r="C8" s="71"/>
      <c r="D8" s="71"/>
      <c r="E8" s="71"/>
      <c r="F8" s="71"/>
      <c r="G8" s="71">
        <v>-150</v>
      </c>
      <c r="H8" s="71"/>
      <c r="I8" s="71"/>
      <c r="J8" s="71"/>
      <c r="K8" s="71"/>
      <c r="L8" s="71"/>
      <c r="M8" s="71"/>
      <c r="N8" s="71"/>
      <c r="O8" s="71"/>
      <c r="P8" s="71">
        <v>-150</v>
      </c>
    </row>
    <row r="9" spans="1:16" x14ac:dyDescent="0.25">
      <c r="A9" s="3" t="s">
        <v>36</v>
      </c>
      <c r="B9" s="71">
        <v>-1674.1999999999996</v>
      </c>
      <c r="C9" s="71">
        <v>-1778.4500000000003</v>
      </c>
      <c r="D9" s="71">
        <v>-874.16999999999985</v>
      </c>
      <c r="E9" s="71">
        <v>78.800000000000011</v>
      </c>
      <c r="F9" s="71">
        <v>17.5</v>
      </c>
      <c r="G9" s="71">
        <v>-245.83342465753418</v>
      </c>
      <c r="H9" s="71"/>
      <c r="I9" s="71"/>
      <c r="J9" s="71"/>
      <c r="K9" s="71"/>
      <c r="L9" s="71"/>
      <c r="M9" s="71"/>
      <c r="N9" s="71"/>
      <c r="O9" s="71"/>
      <c r="P9" s="71">
        <v>-4476.3534246575337</v>
      </c>
    </row>
    <row r="10" spans="1:16" x14ac:dyDescent="0.25">
      <c r="A10" s="3" t="s">
        <v>156</v>
      </c>
      <c r="B10" s="71">
        <v>0</v>
      </c>
      <c r="C10" s="71">
        <v>-42</v>
      </c>
      <c r="D10" s="71">
        <v>-431</v>
      </c>
      <c r="E10" s="71">
        <v>123.57142857142861</v>
      </c>
      <c r="F10" s="71">
        <v>-797.52777777777783</v>
      </c>
      <c r="G10" s="71">
        <v>-2739.2233333333338</v>
      </c>
      <c r="H10" s="71"/>
      <c r="I10" s="71"/>
      <c r="J10" s="71"/>
      <c r="K10" s="71"/>
      <c r="L10" s="71"/>
      <c r="M10" s="71"/>
      <c r="N10" s="71"/>
      <c r="O10" s="71"/>
      <c r="P10" s="71">
        <v>-3886.1796825396832</v>
      </c>
    </row>
    <row r="11" spans="1:16" x14ac:dyDescent="0.25">
      <c r="A11" s="3" t="s">
        <v>128</v>
      </c>
      <c r="B11" s="71">
        <v>4104.1599999999971</v>
      </c>
      <c r="C11" s="71">
        <v>3510.3400000000051</v>
      </c>
      <c r="D11" s="71">
        <v>6281.9099999999971</v>
      </c>
      <c r="E11" s="71">
        <v>-2488.7299999999937</v>
      </c>
      <c r="F11" s="71">
        <v>1485.55</v>
      </c>
      <c r="G11" s="71">
        <v>731.8400000000081</v>
      </c>
      <c r="H11" s="71">
        <v>188.62</v>
      </c>
      <c r="I11" s="71">
        <v>169.81999999999988</v>
      </c>
      <c r="J11" s="71">
        <v>95.319999999999737</v>
      </c>
      <c r="K11" s="71">
        <v>-128.04</v>
      </c>
      <c r="L11" s="71">
        <v>-316.52</v>
      </c>
      <c r="M11" s="71">
        <v>9.1999999999997044</v>
      </c>
      <c r="N11" s="71"/>
      <c r="O11" s="71"/>
      <c r="P11" s="71">
        <v>13634.270000000011</v>
      </c>
    </row>
    <row r="12" spans="1:16" x14ac:dyDescent="0.25">
      <c r="A12" s="3" t="s">
        <v>178</v>
      </c>
      <c r="B12" s="71"/>
      <c r="C12" s="71"/>
      <c r="D12" s="71"/>
      <c r="E12" s="71">
        <v>1.23</v>
      </c>
      <c r="F12" s="71">
        <v>4588.3999999999996</v>
      </c>
      <c r="G12" s="71">
        <v>-1149.5899999999999</v>
      </c>
      <c r="H12" s="71">
        <v>-497.3</v>
      </c>
      <c r="I12" s="71">
        <v>1300</v>
      </c>
      <c r="J12" s="71">
        <v>1700</v>
      </c>
      <c r="K12" s="71"/>
      <c r="L12" s="71"/>
      <c r="M12" s="71">
        <v>2502.6999999999998</v>
      </c>
      <c r="N12" s="71"/>
      <c r="O12" s="71"/>
      <c r="P12" s="71">
        <v>5942.7399999999989</v>
      </c>
    </row>
    <row r="13" spans="1:16" x14ac:dyDescent="0.25">
      <c r="A13" s="3" t="s">
        <v>222</v>
      </c>
      <c r="B13" s="71"/>
      <c r="C13" s="71"/>
      <c r="D13" s="71"/>
      <c r="E13" s="71">
        <v>4.2300000000000004</v>
      </c>
      <c r="F13" s="71"/>
      <c r="G13" s="71">
        <v>501</v>
      </c>
      <c r="H13" s="71">
        <v>-7</v>
      </c>
      <c r="I13" s="71">
        <v>-7</v>
      </c>
      <c r="J13" s="71">
        <v>-7</v>
      </c>
      <c r="K13" s="71"/>
      <c r="L13" s="71">
        <v>-7</v>
      </c>
      <c r="M13" s="71">
        <v>-28</v>
      </c>
      <c r="N13" s="71"/>
      <c r="O13" s="71"/>
      <c r="P13" s="71">
        <v>477.23</v>
      </c>
    </row>
    <row r="14" spans="1:16" x14ac:dyDescent="0.25">
      <c r="A14" s="3" t="s">
        <v>155</v>
      </c>
      <c r="B14" s="71"/>
      <c r="C14" s="71">
        <v>-32.5</v>
      </c>
      <c r="D14" s="71">
        <v>-288.55</v>
      </c>
      <c r="E14" s="71">
        <v>-156.44999999999999</v>
      </c>
      <c r="F14" s="71">
        <v>25</v>
      </c>
      <c r="G14" s="71"/>
      <c r="H14" s="71"/>
      <c r="I14" s="71"/>
      <c r="J14" s="71"/>
      <c r="K14" s="71"/>
      <c r="L14" s="71"/>
      <c r="M14" s="71"/>
      <c r="N14" s="71"/>
      <c r="O14" s="71"/>
      <c r="P14" s="71">
        <v>-452.5</v>
      </c>
    </row>
    <row r="15" spans="1:16" x14ac:dyDescent="0.25">
      <c r="A15" s="3" t="s">
        <v>140</v>
      </c>
      <c r="B15" s="71">
        <v>-474.41999999999996</v>
      </c>
      <c r="C15" s="71">
        <v>-1459.9800000000002</v>
      </c>
      <c r="D15" s="71">
        <v>-948.68000000000006</v>
      </c>
      <c r="E15" s="71">
        <v>-1396.0400000000002</v>
      </c>
      <c r="F15" s="71">
        <v>3.5899999999998684</v>
      </c>
      <c r="G15" s="71">
        <v>500.00000000000017</v>
      </c>
      <c r="H15" s="71">
        <v>0</v>
      </c>
      <c r="I15" s="71">
        <v>0</v>
      </c>
      <c r="J15" s="71">
        <v>0</v>
      </c>
      <c r="K15" s="71">
        <v>-4.99</v>
      </c>
      <c r="L15" s="71">
        <v>-4.4408920985006262E-16</v>
      </c>
      <c r="M15" s="71">
        <v>-4.99</v>
      </c>
      <c r="N15" s="71"/>
      <c r="O15" s="71"/>
      <c r="P15" s="71">
        <v>-3780.5199999999995</v>
      </c>
    </row>
    <row r="16" spans="1:16" x14ac:dyDescent="0.25">
      <c r="A16" s="3" t="s">
        <v>312</v>
      </c>
      <c r="B16" s="71"/>
      <c r="C16" s="71"/>
      <c r="D16" s="71"/>
      <c r="E16" s="71"/>
      <c r="F16" s="71"/>
      <c r="G16" s="71">
        <v>13.409999999999997</v>
      </c>
      <c r="H16" s="71"/>
      <c r="I16" s="71"/>
      <c r="J16" s="71"/>
      <c r="K16" s="71"/>
      <c r="L16" s="71"/>
      <c r="M16" s="71"/>
      <c r="N16" s="71"/>
      <c r="O16" s="71"/>
      <c r="P16" s="71">
        <v>13.409999999999997</v>
      </c>
    </row>
    <row r="17" spans="1:16" x14ac:dyDescent="0.25">
      <c r="A17" s="3" t="s">
        <v>313</v>
      </c>
      <c r="B17" s="71"/>
      <c r="C17" s="71"/>
      <c r="D17" s="71"/>
      <c r="E17" s="71"/>
      <c r="F17" s="71"/>
      <c r="G17" s="71"/>
      <c r="H17" s="71"/>
      <c r="I17" s="71">
        <v>59.09</v>
      </c>
      <c r="J17" s="71"/>
      <c r="K17" s="71">
        <v>25.780000000000005</v>
      </c>
      <c r="L17" s="71"/>
      <c r="M17" s="71">
        <v>84.87</v>
      </c>
      <c r="N17" s="71"/>
      <c r="O17" s="71"/>
      <c r="P17" s="71">
        <v>84.87</v>
      </c>
    </row>
    <row r="18" spans="1:16" x14ac:dyDescent="0.25">
      <c r="A18" s="3" t="s">
        <v>290</v>
      </c>
      <c r="B18" s="71">
        <v>-1270.4199999999992</v>
      </c>
      <c r="C18" s="71">
        <v>-1058.3199999999945</v>
      </c>
      <c r="D18" s="71">
        <v>2781.1599999999971</v>
      </c>
      <c r="E18" s="71">
        <v>-4541.5985714285653</v>
      </c>
      <c r="F18" s="71">
        <v>5472.5122222222217</v>
      </c>
      <c r="G18" s="71">
        <v>-2538.3967579908604</v>
      </c>
      <c r="H18" s="71">
        <v>-315.68</v>
      </c>
      <c r="I18" s="71">
        <v>1521.9099999999999</v>
      </c>
      <c r="J18" s="71">
        <v>1788.3199999999997</v>
      </c>
      <c r="K18" s="71">
        <v>-107.25</v>
      </c>
      <c r="L18" s="71">
        <v>-323.52</v>
      </c>
      <c r="M18" s="71">
        <v>2563.7799999999997</v>
      </c>
      <c r="N18" s="71"/>
      <c r="O18" s="71"/>
      <c r="P18" s="71">
        <v>1408.7168928027991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FB8B-7C3D-4ECE-BB15-49402F347A2B}">
  <sheetPr codeName="Blad3"/>
  <dimension ref="A1:W211"/>
  <sheetViews>
    <sheetView tabSelected="1" zoomScale="82" zoomScaleNormal="85" workbookViewId="0">
      <pane ySplit="1" topLeftCell="A4" activePane="bottomLeft" state="frozen"/>
      <selection pane="bottomLeft" activeCell="D14" sqref="D14"/>
    </sheetView>
  </sheetViews>
  <sheetFormatPr defaultColWidth="13.28515625" defaultRowHeight="15.6" customHeight="1" x14ac:dyDescent="0.25"/>
  <cols>
    <col min="2" max="2" width="22.28515625" customWidth="1"/>
    <col min="3" max="3" width="21.140625" customWidth="1"/>
    <col min="4" max="4" width="14" style="20" bestFit="1" customWidth="1"/>
    <col min="5" max="5" width="26" customWidth="1"/>
    <col min="6" max="6" width="14.85546875" customWidth="1"/>
    <col min="10" max="10" width="13.42578125" bestFit="1" customWidth="1"/>
    <col min="16" max="16" width="13.42578125" bestFit="1" customWidth="1"/>
    <col min="20" max="20" width="13.42578125" bestFit="1" customWidth="1"/>
    <col min="22" max="22" width="17.140625" bestFit="1" customWidth="1"/>
  </cols>
  <sheetData>
    <row r="1" spans="1:23" ht="15.6" customHeight="1" thickBot="1" x14ac:dyDescent="0.3">
      <c r="A1" s="9" t="s">
        <v>186</v>
      </c>
      <c r="B1" s="9" t="s">
        <v>388</v>
      </c>
      <c r="C1" s="10" t="s">
        <v>387</v>
      </c>
      <c r="D1" s="19" t="s">
        <v>4</v>
      </c>
      <c r="E1" s="9" t="s">
        <v>386</v>
      </c>
      <c r="F1" s="9" t="s">
        <v>385</v>
      </c>
      <c r="G1" s="9" t="s">
        <v>383</v>
      </c>
      <c r="H1" s="8" t="s">
        <v>384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 spans="1:23" ht="15.6" customHeight="1" thickBot="1" x14ac:dyDescent="0.3">
      <c r="A2" s="67">
        <v>202305000</v>
      </c>
      <c r="B2" s="72" t="s">
        <v>391</v>
      </c>
      <c r="C2" s="10">
        <v>44927</v>
      </c>
      <c r="D2" s="77">
        <v>4714.95</v>
      </c>
      <c r="E2" s="9" t="s">
        <v>390</v>
      </c>
      <c r="F2" s="56" t="s">
        <v>392</v>
      </c>
      <c r="G2" s="56" t="s">
        <v>392</v>
      </c>
      <c r="H2" s="56" t="s">
        <v>392</v>
      </c>
    </row>
    <row r="3" spans="1:23" ht="15.6" customHeight="1" thickBot="1" x14ac:dyDescent="0.3">
      <c r="A3" s="67">
        <v>202305000</v>
      </c>
      <c r="B3" s="9" t="s">
        <v>393</v>
      </c>
      <c r="C3" s="10">
        <v>44927</v>
      </c>
      <c r="D3" s="64">
        <v>443</v>
      </c>
      <c r="E3" s="9" t="s">
        <v>390</v>
      </c>
      <c r="F3" s="56" t="s">
        <v>392</v>
      </c>
      <c r="G3" s="56" t="s">
        <v>392</v>
      </c>
      <c r="H3" s="56" t="s">
        <v>392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</row>
    <row r="4" spans="1:23" ht="15.6" customHeight="1" x14ac:dyDescent="0.25">
      <c r="A4" s="67">
        <v>202305000</v>
      </c>
      <c r="B4" s="73" t="s">
        <v>188</v>
      </c>
      <c r="C4" s="10">
        <v>44927</v>
      </c>
      <c r="D4" s="74">
        <v>32.4</v>
      </c>
      <c r="E4" s="9" t="s">
        <v>390</v>
      </c>
      <c r="F4" s="56" t="s">
        <v>392</v>
      </c>
      <c r="G4" s="56" t="s">
        <v>392</v>
      </c>
      <c r="H4" s="56" t="s">
        <v>392</v>
      </c>
    </row>
    <row r="5" spans="1:23" ht="15.6" customHeight="1" x14ac:dyDescent="0.25">
      <c r="A5" s="67">
        <v>202305000</v>
      </c>
      <c r="B5" s="72" t="s">
        <v>70</v>
      </c>
      <c r="C5" s="10">
        <v>44927</v>
      </c>
      <c r="D5" s="74">
        <v>9152</v>
      </c>
      <c r="E5" s="9" t="s">
        <v>390</v>
      </c>
      <c r="F5" s="56" t="s">
        <v>392</v>
      </c>
      <c r="G5" s="56" t="s">
        <v>392</v>
      </c>
      <c r="H5" s="56" t="s">
        <v>392</v>
      </c>
    </row>
    <row r="6" spans="1:23" ht="15.6" customHeight="1" x14ac:dyDescent="0.25">
      <c r="A6" s="67">
        <v>202305000</v>
      </c>
      <c r="B6" s="22" t="s">
        <v>128</v>
      </c>
      <c r="C6" s="10">
        <v>44927</v>
      </c>
      <c r="D6" s="74">
        <v>13.35</v>
      </c>
      <c r="E6" s="9" t="s">
        <v>390</v>
      </c>
      <c r="F6" s="56" t="s">
        <v>392</v>
      </c>
      <c r="G6" s="56" t="s">
        <v>392</v>
      </c>
      <c r="H6" s="56" t="s">
        <v>392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</row>
    <row r="7" spans="1:23" ht="15.6" customHeight="1" x14ac:dyDescent="0.25">
      <c r="A7" s="67">
        <v>202305000</v>
      </c>
      <c r="B7" s="22" t="s">
        <v>178</v>
      </c>
      <c r="C7" s="10">
        <v>44927</v>
      </c>
      <c r="D7" s="75">
        <v>815.32</v>
      </c>
      <c r="E7" s="9" t="s">
        <v>390</v>
      </c>
      <c r="F7" s="56" t="s">
        <v>392</v>
      </c>
      <c r="G7" s="56" t="s">
        <v>392</v>
      </c>
      <c r="H7" s="56" t="s">
        <v>392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</row>
    <row r="8" spans="1:23" ht="15.6" customHeight="1" x14ac:dyDescent="0.25">
      <c r="A8" s="67">
        <v>202305000</v>
      </c>
      <c r="B8" s="72" t="s">
        <v>323</v>
      </c>
      <c r="C8" s="10">
        <v>44927</v>
      </c>
      <c r="D8" s="74">
        <v>1000</v>
      </c>
      <c r="E8" s="9" t="s">
        <v>390</v>
      </c>
      <c r="F8" s="56" t="s">
        <v>392</v>
      </c>
      <c r="G8" s="56" t="s">
        <v>392</v>
      </c>
      <c r="H8" s="56" t="s">
        <v>392</v>
      </c>
    </row>
    <row r="9" spans="1:23" ht="15.6" customHeight="1" x14ac:dyDescent="0.25">
      <c r="A9" s="67">
        <v>202305000</v>
      </c>
      <c r="B9" s="9" t="s">
        <v>222</v>
      </c>
      <c r="C9" s="10">
        <v>44927</v>
      </c>
      <c r="D9" s="21">
        <v>51</v>
      </c>
      <c r="E9" s="9" t="s">
        <v>390</v>
      </c>
      <c r="F9" s="56" t="s">
        <v>392</v>
      </c>
      <c r="G9" s="56" t="s">
        <v>392</v>
      </c>
      <c r="H9" s="56" t="s">
        <v>392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</row>
    <row r="10" spans="1:23" ht="15.6" customHeight="1" x14ac:dyDescent="0.25">
      <c r="A10" s="67">
        <v>202305000</v>
      </c>
      <c r="B10" t="s">
        <v>140</v>
      </c>
      <c r="C10" s="10">
        <v>44927</v>
      </c>
      <c r="D10" s="19">
        <v>0</v>
      </c>
      <c r="E10" s="9" t="s">
        <v>390</v>
      </c>
      <c r="F10" s="56" t="s">
        <v>392</v>
      </c>
      <c r="G10" s="56" t="s">
        <v>392</v>
      </c>
      <c r="H10" s="56" t="s">
        <v>392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</row>
    <row r="11" spans="1:23" ht="15.6" customHeight="1" x14ac:dyDescent="0.25">
      <c r="A11" s="67">
        <v>202305000</v>
      </c>
      <c r="B11" s="61" t="s">
        <v>389</v>
      </c>
      <c r="C11" s="10">
        <v>44927</v>
      </c>
      <c r="D11" s="76">
        <v>13.41</v>
      </c>
      <c r="E11" s="9" t="s">
        <v>390</v>
      </c>
      <c r="F11" s="56" t="s">
        <v>392</v>
      </c>
      <c r="G11" s="56" t="s">
        <v>392</v>
      </c>
      <c r="H11" s="56" t="s">
        <v>392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</row>
    <row r="12" spans="1:23" ht="15.6" customHeight="1" x14ac:dyDescent="0.25">
      <c r="A12" s="67">
        <v>202305000</v>
      </c>
      <c r="B12" s="72" t="s">
        <v>322</v>
      </c>
      <c r="C12" s="10">
        <v>44927</v>
      </c>
      <c r="D12" s="74">
        <v>59.73</v>
      </c>
      <c r="E12" s="9" t="s">
        <v>390</v>
      </c>
      <c r="F12" s="56" t="s">
        <v>392</v>
      </c>
      <c r="G12" s="56" t="s">
        <v>392</v>
      </c>
      <c r="H12" s="56" t="s">
        <v>392</v>
      </c>
    </row>
    <row r="13" spans="1:23" ht="15.6" customHeight="1" x14ac:dyDescent="0.25">
      <c r="A13" s="67">
        <v>202305000</v>
      </c>
      <c r="B13" s="73" t="s">
        <v>187</v>
      </c>
      <c r="C13" s="10">
        <v>44927</v>
      </c>
      <c r="D13" s="74">
        <v>910.76</v>
      </c>
      <c r="E13" s="9" t="s">
        <v>390</v>
      </c>
      <c r="F13" s="56" t="s">
        <v>392</v>
      </c>
      <c r="G13" s="56" t="s">
        <v>392</v>
      </c>
      <c r="H13" s="56" t="s">
        <v>392</v>
      </c>
    </row>
    <row r="14" spans="1:23" ht="15.6" customHeight="1" x14ac:dyDescent="0.25">
      <c r="A14" s="67">
        <v>202305001</v>
      </c>
      <c r="B14" s="22" t="s">
        <v>128</v>
      </c>
      <c r="C14" s="23">
        <v>44928</v>
      </c>
      <c r="D14" s="22">
        <v>-3.52</v>
      </c>
      <c r="E14" s="22" t="s">
        <v>190</v>
      </c>
      <c r="F14" s="9" t="s">
        <v>306</v>
      </c>
      <c r="G14" s="9" t="s">
        <v>18</v>
      </c>
      <c r="H14" s="9" t="s">
        <v>216</v>
      </c>
    </row>
    <row r="15" spans="1:23" ht="15.6" customHeight="1" x14ac:dyDescent="0.25">
      <c r="A15" s="67">
        <v>202305002</v>
      </c>
      <c r="B15" s="22" t="s">
        <v>128</v>
      </c>
      <c r="C15" s="23">
        <v>44928</v>
      </c>
      <c r="D15" s="22">
        <v>-2100</v>
      </c>
      <c r="E15" s="22" t="s">
        <v>133</v>
      </c>
      <c r="F15" t="s">
        <v>295</v>
      </c>
      <c r="G15" s="9" t="s">
        <v>165</v>
      </c>
      <c r="H15" s="8" t="s">
        <v>22</v>
      </c>
    </row>
    <row r="16" spans="1:23" ht="15.6" customHeight="1" x14ac:dyDescent="0.25">
      <c r="A16" s="67">
        <v>202305003</v>
      </c>
      <c r="B16" s="22" t="s">
        <v>128</v>
      </c>
      <c r="C16" s="23">
        <v>44929</v>
      </c>
      <c r="D16" s="22">
        <v>-1500</v>
      </c>
      <c r="E16" s="22" t="s">
        <v>17</v>
      </c>
      <c r="F16" s="9" t="s">
        <v>306</v>
      </c>
      <c r="G16" s="9" t="s">
        <v>18</v>
      </c>
      <c r="H16" s="8" t="s">
        <v>19</v>
      </c>
    </row>
    <row r="17" spans="1:8" ht="15.6" customHeight="1" x14ac:dyDescent="0.25">
      <c r="A17" s="67">
        <v>202305004</v>
      </c>
      <c r="B17" s="22" t="s">
        <v>128</v>
      </c>
      <c r="C17" s="23">
        <v>44929</v>
      </c>
      <c r="D17" s="22">
        <v>-500</v>
      </c>
      <c r="E17" s="22" t="s">
        <v>17</v>
      </c>
      <c r="F17" s="9" t="s">
        <v>306</v>
      </c>
      <c r="G17" s="9" t="s">
        <v>18</v>
      </c>
      <c r="H17" s="8" t="s">
        <v>19</v>
      </c>
    </row>
    <row r="18" spans="1:8" ht="15.6" customHeight="1" x14ac:dyDescent="0.25">
      <c r="A18" s="67">
        <v>202305142</v>
      </c>
      <c r="B18" s="57" t="s">
        <v>140</v>
      </c>
      <c r="C18" s="23">
        <v>44929</v>
      </c>
      <c r="D18" s="22">
        <v>-400</v>
      </c>
      <c r="E18" s="22" t="s">
        <v>237</v>
      </c>
      <c r="F18" s="9" t="s">
        <v>306</v>
      </c>
      <c r="G18" s="57" t="s">
        <v>18</v>
      </c>
      <c r="H18" s="8" t="s">
        <v>217</v>
      </c>
    </row>
    <row r="19" spans="1:8" ht="15.6" customHeight="1" x14ac:dyDescent="0.25">
      <c r="A19" s="67">
        <v>202305005</v>
      </c>
      <c r="B19" s="22" t="s">
        <v>128</v>
      </c>
      <c r="C19" s="23">
        <v>44931</v>
      </c>
      <c r="D19" s="22">
        <v>-200</v>
      </c>
      <c r="E19" s="22" t="s">
        <v>379</v>
      </c>
      <c r="F19" s="70" t="s">
        <v>241</v>
      </c>
      <c r="G19" s="9" t="s">
        <v>124</v>
      </c>
      <c r="H19" s="9" t="s">
        <v>124</v>
      </c>
    </row>
    <row r="20" spans="1:8" ht="15.6" customHeight="1" x14ac:dyDescent="0.25">
      <c r="A20" s="67">
        <v>202305006</v>
      </c>
      <c r="B20" s="22" t="s">
        <v>128</v>
      </c>
      <c r="C20" s="23">
        <v>44932</v>
      </c>
      <c r="D20" s="22">
        <v>-137.5</v>
      </c>
      <c r="E20" s="22" t="s">
        <v>192</v>
      </c>
      <c r="F20" s="9" t="s">
        <v>306</v>
      </c>
      <c r="G20" s="9" t="s">
        <v>18</v>
      </c>
      <c r="H20" s="8" t="s">
        <v>75</v>
      </c>
    </row>
    <row r="21" spans="1:8" ht="15.6" customHeight="1" x14ac:dyDescent="0.25">
      <c r="A21" s="67">
        <v>202305007</v>
      </c>
      <c r="B21" s="22" t="s">
        <v>128</v>
      </c>
      <c r="C21" s="23">
        <v>44944</v>
      </c>
      <c r="D21" s="22">
        <v>-137.5</v>
      </c>
      <c r="E21" s="22" t="s">
        <v>132</v>
      </c>
      <c r="F21" s="9" t="s">
        <v>306</v>
      </c>
      <c r="G21" s="9" t="s">
        <v>18</v>
      </c>
      <c r="H21" s="9" t="s">
        <v>129</v>
      </c>
    </row>
    <row r="22" spans="1:8" ht="15.6" customHeight="1" x14ac:dyDescent="0.25">
      <c r="A22" s="67">
        <v>202305008</v>
      </c>
      <c r="B22" s="22" t="s">
        <v>128</v>
      </c>
      <c r="C22" s="23">
        <v>44944</v>
      </c>
      <c r="D22" s="22">
        <v>-137.5</v>
      </c>
      <c r="E22" s="22" t="s">
        <v>227</v>
      </c>
      <c r="F22" s="56" t="s">
        <v>156</v>
      </c>
      <c r="G22" s="56" t="s">
        <v>156</v>
      </c>
      <c r="H22" s="56" t="s">
        <v>156</v>
      </c>
    </row>
    <row r="23" spans="1:8" ht="15.6" customHeight="1" x14ac:dyDescent="0.25">
      <c r="A23" s="67">
        <v>202305009</v>
      </c>
      <c r="B23" s="22" t="s">
        <v>128</v>
      </c>
      <c r="C23" s="23">
        <v>44944</v>
      </c>
      <c r="D23" s="22">
        <v>-137.5</v>
      </c>
      <c r="E23" s="22" t="s">
        <v>300</v>
      </c>
      <c r="F23" t="s">
        <v>240</v>
      </c>
      <c r="G23" s="9" t="s">
        <v>72</v>
      </c>
      <c r="H23" s="8" t="s">
        <v>73</v>
      </c>
    </row>
    <row r="24" spans="1:8" ht="15.6" customHeight="1" x14ac:dyDescent="0.25">
      <c r="A24" s="67">
        <v>202305133</v>
      </c>
      <c r="B24" s="22" t="s">
        <v>178</v>
      </c>
      <c r="C24" s="23">
        <v>44944</v>
      </c>
      <c r="D24" s="22">
        <v>-137.5</v>
      </c>
      <c r="E24" s="22" t="s">
        <v>227</v>
      </c>
      <c r="F24" s="56" t="s">
        <v>156</v>
      </c>
      <c r="G24" s="56" t="s">
        <v>156</v>
      </c>
      <c r="H24" s="56" t="s">
        <v>156</v>
      </c>
    </row>
    <row r="25" spans="1:8" ht="15.6" customHeight="1" x14ac:dyDescent="0.25">
      <c r="A25" s="67">
        <v>202305143</v>
      </c>
      <c r="B25" s="57" t="s">
        <v>140</v>
      </c>
      <c r="C25" s="23">
        <v>44944</v>
      </c>
      <c r="D25" s="22">
        <v>-88.37</v>
      </c>
      <c r="E25" s="22" t="s">
        <v>359</v>
      </c>
      <c r="F25" s="9" t="s">
        <v>306</v>
      </c>
      <c r="G25" s="9" t="s">
        <v>18</v>
      </c>
      <c r="H25" s="8" t="s">
        <v>119</v>
      </c>
    </row>
    <row r="26" spans="1:8" ht="15.6" customHeight="1" x14ac:dyDescent="0.25">
      <c r="A26" s="67">
        <v>202305010</v>
      </c>
      <c r="B26" s="22" t="s">
        <v>128</v>
      </c>
      <c r="C26" s="23">
        <v>44946</v>
      </c>
      <c r="D26" s="22">
        <v>-68.12</v>
      </c>
      <c r="E26" s="22" t="s">
        <v>181</v>
      </c>
      <c r="F26" s="9" t="s">
        <v>306</v>
      </c>
      <c r="G26" s="9" t="s">
        <v>18</v>
      </c>
      <c r="H26" s="2" t="s">
        <v>63</v>
      </c>
    </row>
    <row r="27" spans="1:8" ht="15.6" customHeight="1" x14ac:dyDescent="0.25">
      <c r="A27" s="67">
        <v>202305011</v>
      </c>
      <c r="B27" s="22" t="s">
        <v>128</v>
      </c>
      <c r="C27" s="23">
        <v>44946</v>
      </c>
      <c r="D27" s="22">
        <v>-68.12</v>
      </c>
      <c r="E27" s="22" t="s">
        <v>26</v>
      </c>
      <c r="F27" s="9" t="s">
        <v>306</v>
      </c>
      <c r="G27" t="s">
        <v>18</v>
      </c>
      <c r="H27" t="s">
        <v>27</v>
      </c>
    </row>
    <row r="28" spans="1:8" ht="15.6" customHeight="1" x14ac:dyDescent="0.25">
      <c r="A28" s="67">
        <v>202305012</v>
      </c>
      <c r="B28" s="22" t="s">
        <v>128</v>
      </c>
      <c r="C28" s="23">
        <v>44946</v>
      </c>
      <c r="D28" s="22">
        <v>-67.2</v>
      </c>
      <c r="E28" s="22" t="s">
        <v>23</v>
      </c>
      <c r="F28" s="9" t="s">
        <v>306</v>
      </c>
      <c r="G28" s="9" t="s">
        <v>18</v>
      </c>
      <c r="H28" s="8" t="s">
        <v>24</v>
      </c>
    </row>
    <row r="29" spans="1:8" ht="15.6" customHeight="1" x14ac:dyDescent="0.25">
      <c r="A29" s="67">
        <v>202305013</v>
      </c>
      <c r="B29" s="22" t="s">
        <v>128</v>
      </c>
      <c r="C29" s="23">
        <v>44946</v>
      </c>
      <c r="D29" s="22">
        <v>-55.63</v>
      </c>
      <c r="E29" s="22" t="s">
        <v>78</v>
      </c>
      <c r="F29" s="9" t="s">
        <v>306</v>
      </c>
      <c r="G29" s="9" t="s">
        <v>18</v>
      </c>
      <c r="H29" s="8" t="s">
        <v>90</v>
      </c>
    </row>
    <row r="30" spans="1:8" ht="15.6" customHeight="1" x14ac:dyDescent="0.25">
      <c r="A30" s="9">
        <v>202305159</v>
      </c>
      <c r="B30" s="22" t="s">
        <v>222</v>
      </c>
      <c r="C30" s="1">
        <v>44949</v>
      </c>
      <c r="D30" s="22">
        <v>-50</v>
      </c>
      <c r="E30" s="22" t="s">
        <v>370</v>
      </c>
      <c r="F30" t="s">
        <v>241</v>
      </c>
      <c r="G30" s="9" t="s">
        <v>18</v>
      </c>
      <c r="H30" s="2" t="s">
        <v>152</v>
      </c>
    </row>
    <row r="31" spans="1:8" ht="15.6" customHeight="1" x14ac:dyDescent="0.25">
      <c r="A31" s="67">
        <v>202305014</v>
      </c>
      <c r="B31" s="22" t="s">
        <v>128</v>
      </c>
      <c r="C31" s="23">
        <v>44954</v>
      </c>
      <c r="D31" s="22">
        <v>-42.85</v>
      </c>
      <c r="E31" s="22" t="s">
        <v>219</v>
      </c>
      <c r="F31" s="56" t="s">
        <v>156</v>
      </c>
      <c r="G31" s="56" t="s">
        <v>156</v>
      </c>
      <c r="H31" s="56" t="s">
        <v>156</v>
      </c>
    </row>
    <row r="32" spans="1:8" ht="15.6" customHeight="1" x14ac:dyDescent="0.25">
      <c r="A32" s="67">
        <v>202305144</v>
      </c>
      <c r="B32" s="57" t="s">
        <v>140</v>
      </c>
      <c r="C32" s="23">
        <v>44954</v>
      </c>
      <c r="D32" s="22">
        <v>-37.5</v>
      </c>
      <c r="E32" s="22" t="s">
        <v>220</v>
      </c>
      <c r="F32" s="56" t="s">
        <v>156</v>
      </c>
      <c r="G32" s="56" t="s">
        <v>156</v>
      </c>
      <c r="H32" s="56" t="s">
        <v>156</v>
      </c>
    </row>
    <row r="33" spans="1:8" ht="15.6" customHeight="1" x14ac:dyDescent="0.25">
      <c r="A33" s="67">
        <v>202305015</v>
      </c>
      <c r="B33" s="22" t="s">
        <v>128</v>
      </c>
      <c r="C33" s="23">
        <v>44958</v>
      </c>
      <c r="D33" s="22">
        <v>-37.5</v>
      </c>
      <c r="E33" s="22" t="s">
        <v>192</v>
      </c>
      <c r="F33" s="9" t="s">
        <v>306</v>
      </c>
      <c r="G33" s="9" t="s">
        <v>18</v>
      </c>
      <c r="H33" s="8" t="s">
        <v>75</v>
      </c>
    </row>
    <row r="34" spans="1:8" ht="15.6" customHeight="1" x14ac:dyDescent="0.25">
      <c r="A34" s="67">
        <v>202305016</v>
      </c>
      <c r="B34" s="22" t="s">
        <v>128</v>
      </c>
      <c r="C34" s="23">
        <v>44958</v>
      </c>
      <c r="D34" s="22">
        <v>-37.5</v>
      </c>
      <c r="E34" s="22" t="s">
        <v>190</v>
      </c>
      <c r="F34" s="9" t="s">
        <v>306</v>
      </c>
      <c r="G34" s="9" t="s">
        <v>18</v>
      </c>
      <c r="H34" s="9" t="s">
        <v>216</v>
      </c>
    </row>
    <row r="35" spans="1:8" ht="15.6" customHeight="1" x14ac:dyDescent="0.25">
      <c r="A35" s="67">
        <v>202305017</v>
      </c>
      <c r="B35" s="22" t="s">
        <v>128</v>
      </c>
      <c r="C35" s="23">
        <v>44958</v>
      </c>
      <c r="D35" s="22">
        <v>-37</v>
      </c>
      <c r="E35" s="22" t="s">
        <v>133</v>
      </c>
      <c r="F35" t="s">
        <v>295</v>
      </c>
      <c r="G35" s="9" t="s">
        <v>165</v>
      </c>
      <c r="H35" s="8" t="s">
        <v>22</v>
      </c>
    </row>
    <row r="36" spans="1:8" ht="15.6" customHeight="1" x14ac:dyDescent="0.25">
      <c r="A36" s="67">
        <v>202305018</v>
      </c>
      <c r="B36" s="22" t="s">
        <v>128</v>
      </c>
      <c r="C36" s="23">
        <v>44959</v>
      </c>
      <c r="D36" s="22">
        <v>-37</v>
      </c>
      <c r="E36" s="22" t="s">
        <v>33</v>
      </c>
      <c r="F36" s="9" t="s">
        <v>306</v>
      </c>
      <c r="G36" s="9" t="s">
        <v>18</v>
      </c>
      <c r="H36" s="9" t="s">
        <v>19</v>
      </c>
    </row>
    <row r="37" spans="1:8" ht="15.6" customHeight="1" x14ac:dyDescent="0.25">
      <c r="A37" s="67">
        <v>202305019</v>
      </c>
      <c r="B37" s="22" t="s">
        <v>128</v>
      </c>
      <c r="C37" s="23">
        <v>44959</v>
      </c>
      <c r="D37" s="22">
        <v>-36.65</v>
      </c>
      <c r="E37" s="22" t="s">
        <v>17</v>
      </c>
      <c r="F37" s="9" t="s">
        <v>306</v>
      </c>
      <c r="G37" s="9" t="s">
        <v>18</v>
      </c>
      <c r="H37" s="8" t="s">
        <v>19</v>
      </c>
    </row>
    <row r="38" spans="1:8" ht="15.6" customHeight="1" x14ac:dyDescent="0.25">
      <c r="A38" s="67">
        <v>202305020</v>
      </c>
      <c r="B38" s="22" t="s">
        <v>128</v>
      </c>
      <c r="C38" s="23">
        <v>44959</v>
      </c>
      <c r="D38" s="22">
        <v>-34.11</v>
      </c>
      <c r="E38" s="22" t="s">
        <v>17</v>
      </c>
      <c r="F38" s="9" t="s">
        <v>306</v>
      </c>
      <c r="G38" s="9" t="s">
        <v>18</v>
      </c>
      <c r="H38" s="8" t="s">
        <v>19</v>
      </c>
    </row>
    <row r="39" spans="1:8" ht="15.6" customHeight="1" x14ac:dyDescent="0.25">
      <c r="A39" s="67">
        <v>202305145</v>
      </c>
      <c r="B39" s="57" t="s">
        <v>140</v>
      </c>
      <c r="C39" s="23">
        <v>44961</v>
      </c>
      <c r="D39" s="22">
        <v>-33.85</v>
      </c>
      <c r="E39" s="22" t="s">
        <v>286</v>
      </c>
      <c r="F39" s="9" t="s">
        <v>306</v>
      </c>
      <c r="G39" s="9" t="s">
        <v>18</v>
      </c>
      <c r="H39" s="8" t="s">
        <v>217</v>
      </c>
    </row>
    <row r="40" spans="1:8" ht="15.6" customHeight="1" x14ac:dyDescent="0.25">
      <c r="A40" s="67">
        <v>202305021</v>
      </c>
      <c r="B40" s="22" t="s">
        <v>128</v>
      </c>
      <c r="C40" s="23">
        <v>44974</v>
      </c>
      <c r="D40" s="22">
        <v>-29.92</v>
      </c>
      <c r="E40" s="22" t="s">
        <v>132</v>
      </c>
      <c r="F40" s="9" t="s">
        <v>306</v>
      </c>
      <c r="G40" s="9" t="s">
        <v>18</v>
      </c>
      <c r="H40" s="9" t="s">
        <v>129</v>
      </c>
    </row>
    <row r="41" spans="1:8" ht="15.6" customHeight="1" x14ac:dyDescent="0.25">
      <c r="A41" s="67">
        <v>202305022</v>
      </c>
      <c r="B41" s="22" t="s">
        <v>128</v>
      </c>
      <c r="C41" s="23">
        <v>44974</v>
      </c>
      <c r="D41" s="22">
        <v>-26.42</v>
      </c>
      <c r="E41" s="22" t="s">
        <v>346</v>
      </c>
      <c r="F41" s="68" t="s">
        <v>241</v>
      </c>
      <c r="G41" s="68" t="s">
        <v>16</v>
      </c>
      <c r="H41" s="68" t="s">
        <v>27</v>
      </c>
    </row>
    <row r="42" spans="1:8" ht="15.6" customHeight="1" x14ac:dyDescent="0.25">
      <c r="A42" s="67">
        <v>202305146</v>
      </c>
      <c r="B42" s="57" t="s">
        <v>140</v>
      </c>
      <c r="C42" s="23">
        <v>44975</v>
      </c>
      <c r="D42" s="22">
        <v>-25.59</v>
      </c>
      <c r="E42" s="22" t="s">
        <v>359</v>
      </c>
      <c r="F42" s="9" t="s">
        <v>306</v>
      </c>
      <c r="G42" s="9" t="s">
        <v>18</v>
      </c>
      <c r="H42" s="8" t="s">
        <v>119</v>
      </c>
    </row>
    <row r="43" spans="1:8" ht="15.6" customHeight="1" x14ac:dyDescent="0.25">
      <c r="A43" s="67">
        <v>202305023</v>
      </c>
      <c r="B43" s="22" t="s">
        <v>128</v>
      </c>
      <c r="C43" s="23">
        <v>44977</v>
      </c>
      <c r="D43" s="22">
        <v>-23.45</v>
      </c>
      <c r="E43" s="22" t="s">
        <v>78</v>
      </c>
      <c r="F43" s="9" t="s">
        <v>306</v>
      </c>
      <c r="G43" s="9" t="s">
        <v>18</v>
      </c>
      <c r="H43" s="8" t="s">
        <v>90</v>
      </c>
    </row>
    <row r="44" spans="1:8" ht="15.6" customHeight="1" x14ac:dyDescent="0.25">
      <c r="A44" s="67">
        <v>202305147</v>
      </c>
      <c r="B44" s="57" t="s">
        <v>140</v>
      </c>
      <c r="C44" s="23">
        <v>44977</v>
      </c>
      <c r="D44" s="22">
        <v>-22</v>
      </c>
      <c r="E44" s="22" t="s">
        <v>360</v>
      </c>
      <c r="F44" t="s">
        <v>294</v>
      </c>
      <c r="G44" s="11" t="s">
        <v>10</v>
      </c>
      <c r="H44" s="8" t="s">
        <v>173</v>
      </c>
    </row>
    <row r="45" spans="1:8" ht="15.6" customHeight="1" x14ac:dyDescent="0.25">
      <c r="A45" s="67">
        <v>202305148</v>
      </c>
      <c r="B45" s="57" t="s">
        <v>140</v>
      </c>
      <c r="C45" s="23">
        <v>44977</v>
      </c>
      <c r="D45" s="22">
        <v>-22</v>
      </c>
      <c r="E45" s="22" t="s">
        <v>238</v>
      </c>
      <c r="F45" s="7" t="s">
        <v>241</v>
      </c>
      <c r="G45" s="57" t="s">
        <v>16</v>
      </c>
      <c r="H45" s="8" t="s">
        <v>288</v>
      </c>
    </row>
    <row r="46" spans="1:8" ht="15.6" customHeight="1" x14ac:dyDescent="0.25">
      <c r="A46" s="67">
        <v>202305149</v>
      </c>
      <c r="B46" s="57" t="s">
        <v>140</v>
      </c>
      <c r="C46" s="23">
        <v>44977</v>
      </c>
      <c r="D46" s="22">
        <v>-21.74</v>
      </c>
      <c r="E46" s="22" t="s">
        <v>361</v>
      </c>
      <c r="F46" t="s">
        <v>294</v>
      </c>
      <c r="G46" s="11" t="s">
        <v>10</v>
      </c>
      <c r="H46" s="8" t="s">
        <v>173</v>
      </c>
    </row>
    <row r="47" spans="1:8" ht="15.6" customHeight="1" x14ac:dyDescent="0.25">
      <c r="A47" s="67">
        <v>202305150</v>
      </c>
      <c r="B47" s="57" t="s">
        <v>140</v>
      </c>
      <c r="C47" s="23">
        <v>44977</v>
      </c>
      <c r="D47" s="22">
        <v>-19.75</v>
      </c>
      <c r="E47" s="22" t="s">
        <v>238</v>
      </c>
      <c r="F47" s="7" t="s">
        <v>241</v>
      </c>
      <c r="G47" s="57" t="s">
        <v>16</v>
      </c>
      <c r="H47" s="8" t="s">
        <v>288</v>
      </c>
    </row>
    <row r="48" spans="1:8" ht="15.6" customHeight="1" x14ac:dyDescent="0.25">
      <c r="A48" s="67">
        <v>202305024</v>
      </c>
      <c r="B48" s="22" t="s">
        <v>128</v>
      </c>
      <c r="C48" s="23">
        <v>44978</v>
      </c>
      <c r="D48" s="22">
        <v>-18.829999999999998</v>
      </c>
      <c r="E48" s="22" t="s">
        <v>234</v>
      </c>
      <c r="F48" s="9" t="s">
        <v>306</v>
      </c>
      <c r="G48" s="9" t="s">
        <v>18</v>
      </c>
      <c r="H48" s="8" t="s">
        <v>153</v>
      </c>
    </row>
    <row r="49" spans="1:8" ht="15.6" customHeight="1" x14ac:dyDescent="0.25">
      <c r="A49" s="67">
        <v>202305025</v>
      </c>
      <c r="B49" s="22" t="s">
        <v>128</v>
      </c>
      <c r="C49" s="23">
        <v>44979</v>
      </c>
      <c r="D49" s="22">
        <v>-18.12</v>
      </c>
      <c r="E49" s="22" t="s">
        <v>181</v>
      </c>
      <c r="F49" s="9" t="s">
        <v>306</v>
      </c>
      <c r="G49" s="9" t="s">
        <v>18</v>
      </c>
      <c r="H49" s="2" t="s">
        <v>63</v>
      </c>
    </row>
    <row r="50" spans="1:8" ht="15.6" customHeight="1" x14ac:dyDescent="0.25">
      <c r="A50" s="67">
        <v>202305026</v>
      </c>
      <c r="B50" s="22" t="s">
        <v>128</v>
      </c>
      <c r="C50" s="23">
        <v>44979</v>
      </c>
      <c r="D50" s="22">
        <v>-17.97</v>
      </c>
      <c r="E50" s="22" t="s">
        <v>347</v>
      </c>
      <c r="F50" s="55" t="s">
        <v>241</v>
      </c>
      <c r="G50" s="9" t="s">
        <v>38</v>
      </c>
      <c r="H50" s="9" t="s">
        <v>39</v>
      </c>
    </row>
    <row r="51" spans="1:8" ht="15.6" customHeight="1" x14ac:dyDescent="0.25">
      <c r="A51" s="9">
        <v>202305160</v>
      </c>
      <c r="B51" s="22" t="s">
        <v>222</v>
      </c>
      <c r="C51" s="1">
        <v>44980</v>
      </c>
      <c r="D51" s="22">
        <v>-17.41</v>
      </c>
      <c r="E51" s="22" t="s">
        <v>370</v>
      </c>
      <c r="F51" t="s">
        <v>241</v>
      </c>
      <c r="G51" s="9" t="s">
        <v>18</v>
      </c>
      <c r="H51" s="2" t="s">
        <v>152</v>
      </c>
    </row>
    <row r="52" spans="1:8" ht="15.6" customHeight="1" x14ac:dyDescent="0.25">
      <c r="A52" s="67">
        <v>202305027</v>
      </c>
      <c r="B52" s="22" t="s">
        <v>128</v>
      </c>
      <c r="C52" s="23">
        <v>44981</v>
      </c>
      <c r="D52" s="22">
        <v>-17.34</v>
      </c>
      <c r="E52" s="22" t="s">
        <v>133</v>
      </c>
      <c r="F52" t="s">
        <v>295</v>
      </c>
      <c r="G52" s="9" t="s">
        <v>165</v>
      </c>
      <c r="H52" s="8" t="s">
        <v>22</v>
      </c>
    </row>
    <row r="53" spans="1:8" ht="15.6" customHeight="1" x14ac:dyDescent="0.25">
      <c r="A53" s="67">
        <v>202305028</v>
      </c>
      <c r="B53" s="22" t="s">
        <v>128</v>
      </c>
      <c r="C53" s="23">
        <v>44982</v>
      </c>
      <c r="D53" s="22">
        <v>-16.36</v>
      </c>
      <c r="E53" s="22" t="s">
        <v>348</v>
      </c>
      <c r="F53" t="s">
        <v>241</v>
      </c>
      <c r="G53" s="9" t="s">
        <v>42</v>
      </c>
      <c r="H53" s="8" t="s">
        <v>43</v>
      </c>
    </row>
    <row r="54" spans="1:8" ht="15.6" customHeight="1" x14ac:dyDescent="0.25">
      <c r="A54" s="67">
        <v>202305029</v>
      </c>
      <c r="B54" s="22" t="s">
        <v>128</v>
      </c>
      <c r="C54" s="23">
        <v>44984</v>
      </c>
      <c r="D54" s="22">
        <v>-16.010000000000002</v>
      </c>
      <c r="E54" s="22" t="s">
        <v>200</v>
      </c>
      <c r="F54" t="s">
        <v>241</v>
      </c>
      <c r="G54" s="9" t="s">
        <v>38</v>
      </c>
      <c r="H54" s="9" t="s">
        <v>39</v>
      </c>
    </row>
    <row r="55" spans="1:8" ht="15.6" customHeight="1" x14ac:dyDescent="0.25">
      <c r="A55" s="67">
        <v>202305030</v>
      </c>
      <c r="B55" s="22" t="s">
        <v>128</v>
      </c>
      <c r="C55" s="23">
        <v>44985</v>
      </c>
      <c r="D55" s="22">
        <v>-15.92</v>
      </c>
      <c r="E55" s="22" t="s">
        <v>192</v>
      </c>
      <c r="F55" s="9" t="s">
        <v>306</v>
      </c>
      <c r="G55" s="9" t="s">
        <v>18</v>
      </c>
      <c r="H55" s="8" t="s">
        <v>374</v>
      </c>
    </row>
    <row r="56" spans="1:8" ht="15.6" customHeight="1" x14ac:dyDescent="0.25">
      <c r="A56" s="67">
        <v>202305031</v>
      </c>
      <c r="B56" s="22" t="s">
        <v>128</v>
      </c>
      <c r="C56" s="23">
        <v>44985</v>
      </c>
      <c r="D56" s="22">
        <v>-14.98</v>
      </c>
      <c r="E56" s="22" t="s">
        <v>219</v>
      </c>
      <c r="F56" s="56" t="s">
        <v>156</v>
      </c>
      <c r="G56" s="56" t="s">
        <v>156</v>
      </c>
      <c r="H56" s="56" t="s">
        <v>156</v>
      </c>
    </row>
    <row r="57" spans="1:8" ht="15.6" customHeight="1" x14ac:dyDescent="0.25">
      <c r="A57" s="67">
        <v>202305032</v>
      </c>
      <c r="B57" s="22" t="s">
        <v>128</v>
      </c>
      <c r="C57" s="23">
        <v>44985</v>
      </c>
      <c r="D57" s="22">
        <v>-14.78</v>
      </c>
      <c r="E57" s="22" t="s">
        <v>198</v>
      </c>
      <c r="F57" s="55" t="s">
        <v>241</v>
      </c>
      <c r="G57" s="9" t="s">
        <v>38</v>
      </c>
      <c r="H57" s="9" t="s">
        <v>39</v>
      </c>
    </row>
    <row r="58" spans="1:8" ht="15.6" customHeight="1" x14ac:dyDescent="0.25">
      <c r="A58" s="67">
        <v>202305033</v>
      </c>
      <c r="B58" s="22" t="s">
        <v>128</v>
      </c>
      <c r="C58" s="23">
        <v>44985</v>
      </c>
      <c r="D58" s="22">
        <v>-14.03</v>
      </c>
      <c r="E58" s="22" t="s">
        <v>229</v>
      </c>
      <c r="F58" t="s">
        <v>241</v>
      </c>
      <c r="G58" s="9" t="s">
        <v>38</v>
      </c>
      <c r="H58" s="9" t="s">
        <v>39</v>
      </c>
    </row>
    <row r="59" spans="1:8" ht="15.6" customHeight="1" x14ac:dyDescent="0.25">
      <c r="A59" s="67">
        <v>202305034</v>
      </c>
      <c r="B59" s="22" t="s">
        <v>128</v>
      </c>
      <c r="C59" s="23">
        <v>44985</v>
      </c>
      <c r="D59" s="22">
        <v>-12.81</v>
      </c>
      <c r="E59" s="22" t="s">
        <v>199</v>
      </c>
      <c r="F59" t="s">
        <v>241</v>
      </c>
      <c r="G59" t="s">
        <v>16</v>
      </c>
      <c r="H59" t="s">
        <v>27</v>
      </c>
    </row>
    <row r="60" spans="1:8" ht="15.6" customHeight="1" x14ac:dyDescent="0.25">
      <c r="A60" s="67">
        <v>202305151</v>
      </c>
      <c r="B60" s="57" t="s">
        <v>140</v>
      </c>
      <c r="C60" s="23">
        <v>44985</v>
      </c>
      <c r="D60" s="22">
        <v>-12.6</v>
      </c>
      <c r="E60" s="22" t="s">
        <v>220</v>
      </c>
      <c r="F60" s="56" t="s">
        <v>156</v>
      </c>
      <c r="G60" s="56" t="s">
        <v>156</v>
      </c>
      <c r="H60" s="56" t="s">
        <v>156</v>
      </c>
    </row>
    <row r="61" spans="1:8" ht="15.6" customHeight="1" x14ac:dyDescent="0.25">
      <c r="A61" s="67">
        <v>202305035</v>
      </c>
      <c r="B61" s="22" t="s">
        <v>128</v>
      </c>
      <c r="C61" s="23">
        <v>44986</v>
      </c>
      <c r="D61" s="22">
        <v>-12.46</v>
      </c>
      <c r="E61" s="22" t="s">
        <v>192</v>
      </c>
      <c r="F61" s="9" t="s">
        <v>306</v>
      </c>
      <c r="G61" s="9" t="s">
        <v>18</v>
      </c>
      <c r="H61" s="8" t="s">
        <v>75</v>
      </c>
    </row>
    <row r="62" spans="1:8" ht="15.6" customHeight="1" x14ac:dyDescent="0.25">
      <c r="A62" s="67">
        <v>202305036</v>
      </c>
      <c r="B62" s="22" t="s">
        <v>128</v>
      </c>
      <c r="C62" s="23">
        <v>44986</v>
      </c>
      <c r="D62" s="22">
        <v>-12.3</v>
      </c>
      <c r="E62" s="22" t="s">
        <v>190</v>
      </c>
      <c r="F62" s="9" t="s">
        <v>306</v>
      </c>
      <c r="G62" s="9" t="s">
        <v>18</v>
      </c>
      <c r="H62" s="9" t="s">
        <v>216</v>
      </c>
    </row>
    <row r="63" spans="1:8" ht="15.6" customHeight="1" x14ac:dyDescent="0.25">
      <c r="A63" s="67">
        <v>202305037</v>
      </c>
      <c r="B63" s="22" t="s">
        <v>128</v>
      </c>
      <c r="C63" s="23">
        <v>44987</v>
      </c>
      <c r="D63" s="22">
        <v>-11.33</v>
      </c>
      <c r="E63" s="22" t="s">
        <v>17</v>
      </c>
      <c r="F63" s="9" t="s">
        <v>306</v>
      </c>
      <c r="G63" s="9" t="s">
        <v>18</v>
      </c>
      <c r="H63" s="8" t="s">
        <v>19</v>
      </c>
    </row>
    <row r="64" spans="1:8" ht="15.6" customHeight="1" x14ac:dyDescent="0.25">
      <c r="A64" s="67">
        <v>202305038</v>
      </c>
      <c r="B64" s="22" t="s">
        <v>128</v>
      </c>
      <c r="C64" s="23">
        <v>44987</v>
      </c>
      <c r="D64" s="22">
        <v>-10</v>
      </c>
      <c r="E64" s="22" t="s">
        <v>17</v>
      </c>
      <c r="F64" s="9" t="s">
        <v>306</v>
      </c>
      <c r="G64" s="9" t="s">
        <v>18</v>
      </c>
      <c r="H64" s="8" t="s">
        <v>19</v>
      </c>
    </row>
    <row r="65" spans="1:8" ht="15.6" customHeight="1" x14ac:dyDescent="0.25">
      <c r="A65" s="67">
        <v>202305039</v>
      </c>
      <c r="B65" s="22" t="s">
        <v>128</v>
      </c>
      <c r="C65" s="23">
        <v>44988</v>
      </c>
      <c r="D65" s="22">
        <v>-9.99</v>
      </c>
      <c r="E65" s="22" t="s">
        <v>200</v>
      </c>
      <c r="F65" t="s">
        <v>241</v>
      </c>
      <c r="G65" s="9" t="s">
        <v>38</v>
      </c>
      <c r="H65" s="9" t="s">
        <v>39</v>
      </c>
    </row>
    <row r="66" spans="1:8" ht="15.6" customHeight="1" x14ac:dyDescent="0.25">
      <c r="A66" s="67">
        <v>202305152</v>
      </c>
      <c r="B66" s="57" t="s">
        <v>140</v>
      </c>
      <c r="C66" s="23">
        <v>44988</v>
      </c>
      <c r="D66" s="22">
        <v>-9.99</v>
      </c>
      <c r="E66" s="22" t="s">
        <v>362</v>
      </c>
      <c r="F66" s="9" t="s">
        <v>306</v>
      </c>
      <c r="G66" s="9" t="s">
        <v>18</v>
      </c>
      <c r="H66" s="8" t="s">
        <v>217</v>
      </c>
    </row>
    <row r="67" spans="1:8" ht="15.6" customHeight="1" x14ac:dyDescent="0.25">
      <c r="A67" s="67">
        <v>202305040</v>
      </c>
      <c r="B67" s="22" t="s">
        <v>128</v>
      </c>
      <c r="C67" s="23">
        <v>44990</v>
      </c>
      <c r="D67" s="22">
        <v>-9.99</v>
      </c>
      <c r="E67" s="22" t="s">
        <v>349</v>
      </c>
      <c r="F67" t="s">
        <v>241</v>
      </c>
      <c r="G67" t="s">
        <v>38</v>
      </c>
      <c r="H67" t="s">
        <v>39</v>
      </c>
    </row>
    <row r="68" spans="1:8" ht="15.6" customHeight="1" x14ac:dyDescent="0.25">
      <c r="A68" s="67">
        <v>202305041</v>
      </c>
      <c r="B68" s="22" t="s">
        <v>128</v>
      </c>
      <c r="C68" s="23">
        <v>44990</v>
      </c>
      <c r="D68" s="22">
        <v>-9.86</v>
      </c>
      <c r="E68" s="22" t="s">
        <v>198</v>
      </c>
      <c r="F68" s="55" t="s">
        <v>241</v>
      </c>
      <c r="G68" s="9" t="s">
        <v>38</v>
      </c>
      <c r="H68" s="9" t="s">
        <v>39</v>
      </c>
    </row>
    <row r="69" spans="1:8" ht="15.6" customHeight="1" x14ac:dyDescent="0.25">
      <c r="A69" s="67">
        <v>202305042</v>
      </c>
      <c r="B69" s="22" t="s">
        <v>128</v>
      </c>
      <c r="C69" s="23">
        <v>44990</v>
      </c>
      <c r="D69" s="22">
        <v>-9.25</v>
      </c>
      <c r="E69" s="22" t="s">
        <v>229</v>
      </c>
      <c r="F69" t="s">
        <v>241</v>
      </c>
      <c r="G69" s="9" t="s">
        <v>38</v>
      </c>
      <c r="H69" s="9" t="s">
        <v>39</v>
      </c>
    </row>
    <row r="70" spans="1:8" ht="15.6" customHeight="1" x14ac:dyDescent="0.25">
      <c r="A70" s="67">
        <v>202305043</v>
      </c>
      <c r="B70" s="22" t="s">
        <v>128</v>
      </c>
      <c r="C70" s="23">
        <v>44991</v>
      </c>
      <c r="D70" s="22">
        <v>-9</v>
      </c>
      <c r="E70" s="22" t="s">
        <v>227</v>
      </c>
      <c r="F70" s="56" t="s">
        <v>156</v>
      </c>
      <c r="G70" s="56" t="s">
        <v>156</v>
      </c>
      <c r="H70" s="56" t="s">
        <v>156</v>
      </c>
    </row>
    <row r="71" spans="1:8" ht="15.6" customHeight="1" x14ac:dyDescent="0.25">
      <c r="A71" s="67">
        <v>202305044</v>
      </c>
      <c r="B71" s="22" t="s">
        <v>128</v>
      </c>
      <c r="C71" s="23">
        <v>44991</v>
      </c>
      <c r="D71" s="22">
        <v>-8.2200000000000006</v>
      </c>
      <c r="E71" s="22" t="s">
        <v>372</v>
      </c>
      <c r="F71" s="55" t="s">
        <v>241</v>
      </c>
      <c r="G71" s="56" t="s">
        <v>16</v>
      </c>
      <c r="H71" s="22" t="s">
        <v>27</v>
      </c>
    </row>
    <row r="72" spans="1:8" ht="15.6" customHeight="1" x14ac:dyDescent="0.25">
      <c r="A72" s="67">
        <v>202305134</v>
      </c>
      <c r="B72" s="22" t="s">
        <v>178</v>
      </c>
      <c r="C72" s="23">
        <v>44991</v>
      </c>
      <c r="D72" s="22">
        <v>-7.98</v>
      </c>
      <c r="E72" s="22" t="s">
        <v>227</v>
      </c>
      <c r="F72" s="56" t="s">
        <v>156</v>
      </c>
      <c r="G72" s="56" t="s">
        <v>156</v>
      </c>
      <c r="H72" s="56" t="s">
        <v>156</v>
      </c>
    </row>
    <row r="73" spans="1:8" ht="15.6" customHeight="1" x14ac:dyDescent="0.25">
      <c r="A73" s="67">
        <v>202305045</v>
      </c>
      <c r="B73" s="22" t="s">
        <v>128</v>
      </c>
      <c r="C73" s="23">
        <v>44994</v>
      </c>
      <c r="D73" s="22">
        <v>-7.98</v>
      </c>
      <c r="E73" s="22" t="s">
        <v>200</v>
      </c>
      <c r="F73" t="s">
        <v>241</v>
      </c>
      <c r="G73" s="9" t="s">
        <v>38</v>
      </c>
      <c r="H73" s="9" t="s">
        <v>39</v>
      </c>
    </row>
    <row r="74" spans="1:8" ht="15.6" customHeight="1" x14ac:dyDescent="0.25">
      <c r="A74" s="67">
        <v>202305046</v>
      </c>
      <c r="B74" s="22" t="s">
        <v>128</v>
      </c>
      <c r="C74" s="23">
        <v>44995</v>
      </c>
      <c r="D74" s="22">
        <v>-7.98</v>
      </c>
      <c r="E74" s="22" t="s">
        <v>200</v>
      </c>
      <c r="F74" t="s">
        <v>241</v>
      </c>
      <c r="G74" s="9" t="s">
        <v>38</v>
      </c>
      <c r="H74" s="9" t="s">
        <v>39</v>
      </c>
    </row>
    <row r="75" spans="1:8" ht="15.6" customHeight="1" x14ac:dyDescent="0.25">
      <c r="A75" s="67">
        <v>202305047</v>
      </c>
      <c r="B75" s="22" t="s">
        <v>128</v>
      </c>
      <c r="C75" s="23">
        <v>44998</v>
      </c>
      <c r="D75" s="22">
        <v>-7.64</v>
      </c>
      <c r="E75" s="22" t="s">
        <v>200</v>
      </c>
      <c r="F75" t="s">
        <v>241</v>
      </c>
      <c r="G75" s="9" t="s">
        <v>38</v>
      </c>
      <c r="H75" s="9" t="s">
        <v>39</v>
      </c>
    </row>
    <row r="76" spans="1:8" ht="15.6" customHeight="1" x14ac:dyDescent="0.25">
      <c r="A76" s="67">
        <v>202305048</v>
      </c>
      <c r="B76" s="22" t="s">
        <v>128</v>
      </c>
      <c r="C76" s="23">
        <v>44999</v>
      </c>
      <c r="D76" s="22">
        <v>-7.56</v>
      </c>
      <c r="E76" s="22" t="s">
        <v>234</v>
      </c>
      <c r="F76" s="9" t="s">
        <v>306</v>
      </c>
      <c r="G76" s="9" t="s">
        <v>18</v>
      </c>
      <c r="H76" s="8" t="s">
        <v>153</v>
      </c>
    </row>
    <row r="77" spans="1:8" ht="15.6" customHeight="1" x14ac:dyDescent="0.25">
      <c r="A77" s="67">
        <v>202305049</v>
      </c>
      <c r="B77" s="22" t="s">
        <v>128</v>
      </c>
      <c r="C77" s="23">
        <v>44999</v>
      </c>
      <c r="D77" s="22">
        <v>-7.55</v>
      </c>
      <c r="E77" s="22" t="s">
        <v>198</v>
      </c>
      <c r="F77" s="55" t="s">
        <v>241</v>
      </c>
      <c r="G77" s="9" t="s">
        <v>38</v>
      </c>
      <c r="H77" s="9" t="s">
        <v>39</v>
      </c>
    </row>
    <row r="78" spans="1:8" ht="15.6" customHeight="1" x14ac:dyDescent="0.25">
      <c r="A78" s="67">
        <v>202305050</v>
      </c>
      <c r="B78" s="22" t="s">
        <v>128</v>
      </c>
      <c r="C78" s="23">
        <v>45002</v>
      </c>
      <c r="D78" s="22">
        <v>-7.44</v>
      </c>
      <c r="E78" s="22" t="s">
        <v>198</v>
      </c>
      <c r="F78" s="55" t="s">
        <v>241</v>
      </c>
      <c r="G78" s="9" t="s">
        <v>38</v>
      </c>
      <c r="H78" s="9" t="s">
        <v>39</v>
      </c>
    </row>
    <row r="79" spans="1:8" ht="15.6" customHeight="1" x14ac:dyDescent="0.25">
      <c r="A79" s="67">
        <v>202305051</v>
      </c>
      <c r="B79" s="22" t="s">
        <v>128</v>
      </c>
      <c r="C79" s="23">
        <v>45003</v>
      </c>
      <c r="D79" s="20">
        <v>-7</v>
      </c>
      <c r="E79" s="22" t="s">
        <v>377</v>
      </c>
      <c r="F79" s="22" t="s">
        <v>241</v>
      </c>
      <c r="G79" s="9" t="s">
        <v>16</v>
      </c>
      <c r="H79" s="8" t="s">
        <v>83</v>
      </c>
    </row>
    <row r="80" spans="1:8" ht="15.6" customHeight="1" x14ac:dyDescent="0.25">
      <c r="A80" s="67">
        <v>202305153</v>
      </c>
      <c r="B80" s="57" t="s">
        <v>140</v>
      </c>
      <c r="C80" s="23">
        <v>45003</v>
      </c>
      <c r="D80" s="20">
        <v>-7</v>
      </c>
      <c r="E80" s="22" t="s">
        <v>359</v>
      </c>
      <c r="F80" s="9" t="s">
        <v>306</v>
      </c>
      <c r="G80" s="9" t="s">
        <v>18</v>
      </c>
      <c r="H80" s="8" t="s">
        <v>119</v>
      </c>
    </row>
    <row r="81" spans="1:8" ht="15.6" customHeight="1" x14ac:dyDescent="0.25">
      <c r="A81" s="67">
        <v>202305052</v>
      </c>
      <c r="B81" s="22" t="s">
        <v>128</v>
      </c>
      <c r="C81" s="23">
        <v>45005</v>
      </c>
      <c r="D81" s="22">
        <v>-7</v>
      </c>
      <c r="E81" s="22" t="s">
        <v>78</v>
      </c>
      <c r="F81" s="9" t="s">
        <v>306</v>
      </c>
      <c r="G81" s="9" t="s">
        <v>18</v>
      </c>
      <c r="H81" s="8" t="s">
        <v>90</v>
      </c>
    </row>
    <row r="82" spans="1:8" ht="15.6" customHeight="1" x14ac:dyDescent="0.25">
      <c r="A82" s="67">
        <v>202305053</v>
      </c>
      <c r="B82" s="22" t="s">
        <v>128</v>
      </c>
      <c r="C82" s="23">
        <v>45006</v>
      </c>
      <c r="D82" s="20">
        <v>-7</v>
      </c>
      <c r="E82" s="22" t="s">
        <v>132</v>
      </c>
      <c r="F82" s="9" t="s">
        <v>306</v>
      </c>
      <c r="G82" s="9" t="s">
        <v>18</v>
      </c>
      <c r="H82" s="9" t="s">
        <v>129</v>
      </c>
    </row>
    <row r="83" spans="1:8" ht="15.6" customHeight="1" x14ac:dyDescent="0.25">
      <c r="A83" s="67">
        <v>202305054</v>
      </c>
      <c r="B83" s="22" t="s">
        <v>128</v>
      </c>
      <c r="C83" s="23">
        <v>45007</v>
      </c>
      <c r="D83" s="22">
        <v>-7</v>
      </c>
      <c r="E83" s="22" t="s">
        <v>181</v>
      </c>
      <c r="F83" s="9" t="s">
        <v>306</v>
      </c>
      <c r="G83" s="9" t="s">
        <v>18</v>
      </c>
      <c r="H83" s="2" t="s">
        <v>63</v>
      </c>
    </row>
    <row r="84" spans="1:8" ht="15.6" customHeight="1" x14ac:dyDescent="0.25">
      <c r="A84" s="9">
        <v>202305161</v>
      </c>
      <c r="B84" s="22" t="s">
        <v>222</v>
      </c>
      <c r="C84" s="1">
        <v>45008</v>
      </c>
      <c r="D84" s="22">
        <v>-7</v>
      </c>
      <c r="E84" s="22" t="s">
        <v>370</v>
      </c>
      <c r="F84" t="s">
        <v>241</v>
      </c>
      <c r="G84" s="9" t="s">
        <v>18</v>
      </c>
      <c r="H84" s="2" t="s">
        <v>152</v>
      </c>
    </row>
    <row r="85" spans="1:8" ht="15.6" customHeight="1" x14ac:dyDescent="0.25">
      <c r="A85" s="67">
        <v>202305055</v>
      </c>
      <c r="B85" s="22" t="s">
        <v>128</v>
      </c>
      <c r="C85" s="62">
        <v>45009</v>
      </c>
      <c r="D85" s="20">
        <v>-7</v>
      </c>
      <c r="E85" s="65" t="s">
        <v>394</v>
      </c>
      <c r="F85" t="s">
        <v>240</v>
      </c>
      <c r="G85" s="9" t="s">
        <v>72</v>
      </c>
      <c r="H85" s="8" t="s">
        <v>73</v>
      </c>
    </row>
    <row r="86" spans="1:8" ht="15.6" customHeight="1" x14ac:dyDescent="0.25">
      <c r="A86" s="67">
        <v>202305056</v>
      </c>
      <c r="B86" s="22" t="s">
        <v>128</v>
      </c>
      <c r="C86" s="23">
        <v>45009</v>
      </c>
      <c r="D86" s="22">
        <v>-6.99</v>
      </c>
      <c r="E86" s="22" t="s">
        <v>227</v>
      </c>
      <c r="F86" s="56" t="s">
        <v>156</v>
      </c>
      <c r="G86" s="56" t="s">
        <v>156</v>
      </c>
      <c r="H86" s="56" t="s">
        <v>156</v>
      </c>
    </row>
    <row r="87" spans="1:8" ht="15.6" customHeight="1" x14ac:dyDescent="0.25">
      <c r="A87" s="67">
        <v>202305135</v>
      </c>
      <c r="B87" s="22" t="s">
        <v>178</v>
      </c>
      <c r="C87" s="23">
        <v>45009</v>
      </c>
      <c r="D87" s="22">
        <v>-6.5</v>
      </c>
      <c r="E87" s="22" t="s">
        <v>227</v>
      </c>
      <c r="F87" s="56" t="s">
        <v>156</v>
      </c>
      <c r="G87" s="56" t="s">
        <v>156</v>
      </c>
      <c r="H87" s="56" t="s">
        <v>156</v>
      </c>
    </row>
    <row r="88" spans="1:8" ht="15.6" customHeight="1" x14ac:dyDescent="0.25">
      <c r="A88" s="67">
        <v>202305057</v>
      </c>
      <c r="B88" s="22" t="s">
        <v>128</v>
      </c>
      <c r="C88" s="23">
        <v>45010</v>
      </c>
      <c r="D88" s="22">
        <v>-6.5</v>
      </c>
      <c r="E88" s="22" t="s">
        <v>202</v>
      </c>
      <c r="F88" t="s">
        <v>241</v>
      </c>
      <c r="G88" s="9" t="s">
        <v>38</v>
      </c>
      <c r="H88" s="9" t="s">
        <v>39</v>
      </c>
    </row>
    <row r="89" spans="1:8" ht="15.6" customHeight="1" x14ac:dyDescent="0.25">
      <c r="A89" s="67">
        <v>202305058</v>
      </c>
      <c r="B89" s="22" t="s">
        <v>128</v>
      </c>
      <c r="C89" s="23">
        <v>45010</v>
      </c>
      <c r="D89" s="22">
        <v>-6</v>
      </c>
      <c r="E89" s="22" t="s">
        <v>205</v>
      </c>
      <c r="F89" s="55" t="s">
        <v>241</v>
      </c>
      <c r="G89" s="9" t="s">
        <v>16</v>
      </c>
      <c r="H89" t="s">
        <v>27</v>
      </c>
    </row>
    <row r="90" spans="1:8" ht="15.6" customHeight="1" x14ac:dyDescent="0.25">
      <c r="A90" s="67">
        <v>202305059</v>
      </c>
      <c r="B90" s="22" t="s">
        <v>128</v>
      </c>
      <c r="C90" s="23">
        <v>45012</v>
      </c>
      <c r="D90" s="22">
        <v>-6</v>
      </c>
      <c r="E90" s="22" t="s">
        <v>192</v>
      </c>
      <c r="F90" s="9" t="s">
        <v>306</v>
      </c>
      <c r="G90" s="9" t="s">
        <v>18</v>
      </c>
      <c r="H90" s="8" t="s">
        <v>374</v>
      </c>
    </row>
    <row r="91" spans="1:8" ht="15.6" customHeight="1" x14ac:dyDescent="0.25">
      <c r="A91" s="67">
        <v>202305060</v>
      </c>
      <c r="B91" s="22" t="s">
        <v>128</v>
      </c>
      <c r="C91" s="23">
        <v>45012</v>
      </c>
      <c r="D91" s="22">
        <v>-5.99</v>
      </c>
      <c r="E91" s="22" t="s">
        <v>200</v>
      </c>
      <c r="F91" t="s">
        <v>241</v>
      </c>
      <c r="G91" s="9" t="s">
        <v>38</v>
      </c>
      <c r="H91" s="9" t="s">
        <v>39</v>
      </c>
    </row>
    <row r="92" spans="1:8" ht="15.6" customHeight="1" x14ac:dyDescent="0.25">
      <c r="A92" s="67">
        <v>202305061</v>
      </c>
      <c r="B92" s="22" t="s">
        <v>128</v>
      </c>
      <c r="C92" s="23">
        <v>45013</v>
      </c>
      <c r="D92" s="22">
        <v>-5.65</v>
      </c>
      <c r="E92" s="22" t="s">
        <v>219</v>
      </c>
      <c r="F92" s="56" t="s">
        <v>156</v>
      </c>
      <c r="G92" s="56" t="s">
        <v>156</v>
      </c>
      <c r="H92" s="56" t="s">
        <v>156</v>
      </c>
    </row>
    <row r="93" spans="1:8" ht="15.6" customHeight="1" x14ac:dyDescent="0.25">
      <c r="A93" s="67">
        <v>202305154</v>
      </c>
      <c r="B93" s="57" t="s">
        <v>140</v>
      </c>
      <c r="C93" s="23">
        <v>45013</v>
      </c>
      <c r="D93" s="22">
        <v>-5.65</v>
      </c>
      <c r="E93" s="22" t="s">
        <v>220</v>
      </c>
      <c r="F93" s="56" t="s">
        <v>156</v>
      </c>
      <c r="G93" s="56" t="s">
        <v>156</v>
      </c>
      <c r="H93" s="56" t="s">
        <v>156</v>
      </c>
    </row>
    <row r="94" spans="1:8" ht="15.6" customHeight="1" x14ac:dyDescent="0.25">
      <c r="A94" s="67">
        <v>202305062</v>
      </c>
      <c r="B94" s="22" t="s">
        <v>128</v>
      </c>
      <c r="C94" s="23">
        <v>45014</v>
      </c>
      <c r="D94" s="22">
        <v>-5.65</v>
      </c>
      <c r="E94" s="22" t="s">
        <v>373</v>
      </c>
      <c r="F94" s="69" t="s">
        <v>241</v>
      </c>
      <c r="G94" s="70" t="s">
        <v>16</v>
      </c>
      <c r="H94" s="22" t="s">
        <v>27</v>
      </c>
    </row>
    <row r="95" spans="1:8" ht="15.6" customHeight="1" x14ac:dyDescent="0.25">
      <c r="A95" s="67">
        <v>202305063</v>
      </c>
      <c r="B95" s="22" t="s">
        <v>128</v>
      </c>
      <c r="C95" s="23">
        <v>45014</v>
      </c>
      <c r="D95" s="22">
        <v>-5.3</v>
      </c>
      <c r="E95" s="22" t="s">
        <v>198</v>
      </c>
      <c r="F95" s="55" t="s">
        <v>241</v>
      </c>
      <c r="G95" s="9" t="s">
        <v>38</v>
      </c>
      <c r="H95" s="9" t="s">
        <v>39</v>
      </c>
    </row>
    <row r="96" spans="1:8" ht="15.6" customHeight="1" x14ac:dyDescent="0.25">
      <c r="A96" s="67">
        <v>202305064</v>
      </c>
      <c r="B96" s="22" t="s">
        <v>128</v>
      </c>
      <c r="C96" s="23">
        <v>45019</v>
      </c>
      <c r="D96" s="22">
        <v>-5</v>
      </c>
      <c r="E96" s="22" t="s">
        <v>192</v>
      </c>
      <c r="F96" s="9" t="s">
        <v>306</v>
      </c>
      <c r="G96" s="9" t="s">
        <v>18</v>
      </c>
      <c r="H96" s="8" t="s">
        <v>75</v>
      </c>
    </row>
    <row r="97" spans="1:8" ht="15.6" customHeight="1" x14ac:dyDescent="0.25">
      <c r="A97" s="67">
        <v>202305065</v>
      </c>
      <c r="B97" s="22" t="s">
        <v>128</v>
      </c>
      <c r="C97" s="23">
        <v>45019</v>
      </c>
      <c r="D97" s="22">
        <v>-4.99</v>
      </c>
      <c r="E97" s="22" t="s">
        <v>190</v>
      </c>
      <c r="F97" s="9" t="s">
        <v>306</v>
      </c>
      <c r="G97" s="9" t="s">
        <v>18</v>
      </c>
      <c r="H97" s="9" t="s">
        <v>216</v>
      </c>
    </row>
    <row r="98" spans="1:8" ht="15.6" customHeight="1" x14ac:dyDescent="0.25">
      <c r="A98" s="67">
        <v>202305066</v>
      </c>
      <c r="B98" s="22" t="s">
        <v>128</v>
      </c>
      <c r="C98" s="23">
        <v>45020</v>
      </c>
      <c r="D98" s="22">
        <v>-4.99</v>
      </c>
      <c r="E98" s="22" t="s">
        <v>17</v>
      </c>
      <c r="F98" s="9" t="s">
        <v>306</v>
      </c>
      <c r="G98" s="9" t="s">
        <v>18</v>
      </c>
      <c r="H98" s="8" t="s">
        <v>19</v>
      </c>
    </row>
    <row r="99" spans="1:8" ht="15.6" customHeight="1" x14ac:dyDescent="0.25">
      <c r="A99" s="67">
        <v>202305067</v>
      </c>
      <c r="B99" s="22" t="s">
        <v>128</v>
      </c>
      <c r="C99" s="23">
        <v>45020</v>
      </c>
      <c r="D99" s="22">
        <v>-4.99</v>
      </c>
      <c r="E99" s="22" t="s">
        <v>17</v>
      </c>
      <c r="F99" s="9" t="s">
        <v>306</v>
      </c>
      <c r="G99" s="9" t="s">
        <v>18</v>
      </c>
      <c r="H99" s="8" t="s">
        <v>19</v>
      </c>
    </row>
    <row r="100" spans="1:8" ht="15.6" customHeight="1" x14ac:dyDescent="0.25">
      <c r="A100" s="67">
        <v>202305155</v>
      </c>
      <c r="B100" s="57" t="s">
        <v>140</v>
      </c>
      <c r="C100" s="23">
        <v>45020</v>
      </c>
      <c r="D100" s="22">
        <v>-4.99</v>
      </c>
      <c r="E100" s="22" t="s">
        <v>286</v>
      </c>
      <c r="F100" s="9" t="s">
        <v>306</v>
      </c>
      <c r="G100" s="9" t="s">
        <v>18</v>
      </c>
      <c r="H100" s="8" t="s">
        <v>217</v>
      </c>
    </row>
    <row r="101" spans="1:8" ht="15.6" customHeight="1" x14ac:dyDescent="0.25">
      <c r="A101" s="67">
        <v>202305068</v>
      </c>
      <c r="B101" s="22" t="s">
        <v>128</v>
      </c>
      <c r="C101" s="23">
        <v>45021</v>
      </c>
      <c r="D101" s="22">
        <v>-4.99</v>
      </c>
      <c r="E101" s="22" t="s">
        <v>198</v>
      </c>
      <c r="F101" s="55" t="s">
        <v>241</v>
      </c>
      <c r="G101" s="9" t="s">
        <v>38</v>
      </c>
      <c r="H101" s="9" t="s">
        <v>39</v>
      </c>
    </row>
    <row r="102" spans="1:8" ht="15.6" customHeight="1" x14ac:dyDescent="0.25">
      <c r="A102" s="67">
        <v>202305069</v>
      </c>
      <c r="B102" s="22" t="s">
        <v>128</v>
      </c>
      <c r="C102" s="23">
        <v>45023</v>
      </c>
      <c r="D102" s="65">
        <v>-4.99</v>
      </c>
      <c r="E102" s="22" t="s">
        <v>200</v>
      </c>
      <c r="F102" t="s">
        <v>241</v>
      </c>
      <c r="G102" s="9" t="s">
        <v>38</v>
      </c>
      <c r="H102" s="9" t="s">
        <v>39</v>
      </c>
    </row>
    <row r="103" spans="1:8" ht="15.6" customHeight="1" x14ac:dyDescent="0.25">
      <c r="A103" s="67">
        <v>202305070</v>
      </c>
      <c r="B103" s="22" t="s">
        <v>128</v>
      </c>
      <c r="C103" s="23">
        <v>45023</v>
      </c>
      <c r="D103" s="22">
        <v>-4.97</v>
      </c>
      <c r="E103" s="22" t="s">
        <v>232</v>
      </c>
      <c r="F103" s="9" t="s">
        <v>241</v>
      </c>
      <c r="G103" s="9" t="s">
        <v>48</v>
      </c>
      <c r="H103" s="8" t="s">
        <v>167</v>
      </c>
    </row>
    <row r="104" spans="1:8" ht="15.6" customHeight="1" x14ac:dyDescent="0.25">
      <c r="A104" s="67">
        <v>202305071</v>
      </c>
      <c r="B104" s="22" t="s">
        <v>128</v>
      </c>
      <c r="C104" s="23">
        <v>45025</v>
      </c>
      <c r="D104" s="22">
        <v>-4.93</v>
      </c>
      <c r="E104" s="22" t="s">
        <v>200</v>
      </c>
      <c r="F104" t="s">
        <v>241</v>
      </c>
      <c r="G104" s="9" t="s">
        <v>38</v>
      </c>
      <c r="H104" s="9" t="s">
        <v>39</v>
      </c>
    </row>
    <row r="105" spans="1:8" ht="15.6" customHeight="1" x14ac:dyDescent="0.25">
      <c r="A105" s="67">
        <v>202305072</v>
      </c>
      <c r="B105" s="22" t="s">
        <v>128</v>
      </c>
      <c r="C105" s="23">
        <v>45025</v>
      </c>
      <c r="D105" s="22">
        <v>-4.47</v>
      </c>
      <c r="E105" s="22" t="s">
        <v>236</v>
      </c>
      <c r="F105" s="9" t="s">
        <v>241</v>
      </c>
      <c r="G105" s="9" t="s">
        <v>48</v>
      </c>
      <c r="H105" s="8" t="s">
        <v>50</v>
      </c>
    </row>
    <row r="106" spans="1:8" ht="15.6" customHeight="1" x14ac:dyDescent="0.25">
      <c r="A106" s="67">
        <v>202305073</v>
      </c>
      <c r="B106" s="22" t="s">
        <v>128</v>
      </c>
      <c r="C106" s="23">
        <v>45026</v>
      </c>
      <c r="D106" s="22">
        <v>-4.25</v>
      </c>
      <c r="E106" s="22" t="s">
        <v>200</v>
      </c>
      <c r="F106" t="s">
        <v>241</v>
      </c>
      <c r="G106" s="9" t="s">
        <v>38</v>
      </c>
      <c r="H106" s="9" t="s">
        <v>39</v>
      </c>
    </row>
    <row r="107" spans="1:8" ht="15.6" customHeight="1" x14ac:dyDescent="0.25">
      <c r="A107" s="67">
        <v>202305074</v>
      </c>
      <c r="B107" s="22" t="s">
        <v>128</v>
      </c>
      <c r="C107" s="23">
        <v>45028</v>
      </c>
      <c r="D107" s="22">
        <v>-4.05</v>
      </c>
      <c r="E107" s="22" t="s">
        <v>301</v>
      </c>
      <c r="F107" t="s">
        <v>241</v>
      </c>
      <c r="G107" t="s">
        <v>16</v>
      </c>
      <c r="H107" t="s">
        <v>27</v>
      </c>
    </row>
    <row r="108" spans="1:8" ht="15.6" customHeight="1" x14ac:dyDescent="0.25">
      <c r="A108" s="67">
        <v>202305075</v>
      </c>
      <c r="B108" s="22" t="s">
        <v>128</v>
      </c>
      <c r="C108" s="23">
        <v>45028</v>
      </c>
      <c r="D108" s="22">
        <v>-3.85</v>
      </c>
      <c r="E108" s="22" t="s">
        <v>229</v>
      </c>
      <c r="F108" t="s">
        <v>241</v>
      </c>
      <c r="G108" s="9" t="s">
        <v>38</v>
      </c>
      <c r="H108" s="9" t="s">
        <v>39</v>
      </c>
    </row>
    <row r="109" spans="1:8" ht="15.6" customHeight="1" x14ac:dyDescent="0.25">
      <c r="A109" s="67">
        <v>202305076</v>
      </c>
      <c r="B109" s="22" t="s">
        <v>128</v>
      </c>
      <c r="C109" s="23">
        <v>45028</v>
      </c>
      <c r="D109" s="22">
        <v>-3.69</v>
      </c>
      <c r="E109" s="22" t="s">
        <v>199</v>
      </c>
      <c r="F109" t="s">
        <v>241</v>
      </c>
      <c r="G109" t="s">
        <v>16</v>
      </c>
      <c r="H109" t="s">
        <v>27</v>
      </c>
    </row>
    <row r="110" spans="1:8" ht="15.6" customHeight="1" x14ac:dyDescent="0.25">
      <c r="A110" s="67">
        <v>202305077</v>
      </c>
      <c r="B110" s="22" t="s">
        <v>128</v>
      </c>
      <c r="C110" s="23">
        <v>45028</v>
      </c>
      <c r="D110" s="22">
        <v>-3.52</v>
      </c>
      <c r="E110" s="22" t="s">
        <v>199</v>
      </c>
      <c r="F110" t="s">
        <v>241</v>
      </c>
      <c r="G110" t="s">
        <v>16</v>
      </c>
      <c r="H110" t="s">
        <v>27</v>
      </c>
    </row>
    <row r="111" spans="1:8" ht="15.6" customHeight="1" x14ac:dyDescent="0.25">
      <c r="A111" s="67">
        <v>202305078</v>
      </c>
      <c r="B111" s="22" t="s">
        <v>128</v>
      </c>
      <c r="C111" s="23">
        <v>45028</v>
      </c>
      <c r="D111" s="22">
        <v>-3.52</v>
      </c>
      <c r="E111" s="22" t="s">
        <v>350</v>
      </c>
      <c r="F111" t="s">
        <v>241</v>
      </c>
      <c r="G111" s="9" t="s">
        <v>38</v>
      </c>
      <c r="H111" s="9" t="s">
        <v>39</v>
      </c>
    </row>
    <row r="112" spans="1:8" ht="15.6" customHeight="1" x14ac:dyDescent="0.25">
      <c r="A112" s="67">
        <v>202305079</v>
      </c>
      <c r="B112" s="22" t="s">
        <v>128</v>
      </c>
      <c r="C112" s="23">
        <v>45028</v>
      </c>
      <c r="D112" s="22">
        <v>-3.52</v>
      </c>
      <c r="E112" s="22" t="s">
        <v>198</v>
      </c>
      <c r="F112" s="55" t="s">
        <v>241</v>
      </c>
      <c r="G112" s="9" t="s">
        <v>38</v>
      </c>
      <c r="H112" s="9" t="s">
        <v>39</v>
      </c>
    </row>
    <row r="113" spans="1:8" ht="15.6" customHeight="1" x14ac:dyDescent="0.25">
      <c r="A113" s="67">
        <v>202305080</v>
      </c>
      <c r="B113" s="22" t="s">
        <v>128</v>
      </c>
      <c r="C113" s="23">
        <v>45029</v>
      </c>
      <c r="D113" s="22">
        <v>-3.52</v>
      </c>
      <c r="E113" s="22" t="s">
        <v>232</v>
      </c>
      <c r="F113" s="9" t="s">
        <v>241</v>
      </c>
      <c r="G113" s="9" t="s">
        <v>48</v>
      </c>
      <c r="H113" s="8" t="s">
        <v>167</v>
      </c>
    </row>
    <row r="114" spans="1:8" ht="15.6" customHeight="1" x14ac:dyDescent="0.25">
      <c r="A114" s="67">
        <v>202305081</v>
      </c>
      <c r="B114" s="22" t="s">
        <v>128</v>
      </c>
      <c r="C114" s="23">
        <v>45030</v>
      </c>
      <c r="D114" s="22">
        <v>-3.44</v>
      </c>
      <c r="E114" s="22" t="s">
        <v>234</v>
      </c>
      <c r="F114" s="9" t="s">
        <v>306</v>
      </c>
      <c r="G114" s="9" t="s">
        <v>18</v>
      </c>
      <c r="H114" s="8" t="s">
        <v>153</v>
      </c>
    </row>
    <row r="115" spans="1:8" ht="15.6" customHeight="1" x14ac:dyDescent="0.25">
      <c r="A115" s="67">
        <v>202305082</v>
      </c>
      <c r="B115" s="22" t="s">
        <v>128</v>
      </c>
      <c r="C115" s="23">
        <v>45031</v>
      </c>
      <c r="D115" s="22">
        <v>-3</v>
      </c>
      <c r="E115" s="22" t="s">
        <v>227</v>
      </c>
      <c r="F115" s="56" t="s">
        <v>156</v>
      </c>
      <c r="G115" s="56" t="s">
        <v>156</v>
      </c>
      <c r="H115" s="56" t="s">
        <v>156</v>
      </c>
    </row>
    <row r="116" spans="1:8" ht="15.6" customHeight="1" x14ac:dyDescent="0.25">
      <c r="A116" s="67">
        <v>202305083</v>
      </c>
      <c r="B116" s="22" t="s">
        <v>128</v>
      </c>
      <c r="C116" s="23">
        <v>45031</v>
      </c>
      <c r="D116" s="22">
        <v>-2.99</v>
      </c>
      <c r="E116" s="22" t="s">
        <v>198</v>
      </c>
      <c r="F116" s="55" t="s">
        <v>241</v>
      </c>
      <c r="G116" s="9" t="s">
        <v>38</v>
      </c>
      <c r="H116" s="9" t="s">
        <v>39</v>
      </c>
    </row>
    <row r="117" spans="1:8" ht="15.6" customHeight="1" x14ac:dyDescent="0.25">
      <c r="A117" s="67">
        <v>202305084</v>
      </c>
      <c r="B117" s="22" t="s">
        <v>128</v>
      </c>
      <c r="C117" s="23">
        <v>45031</v>
      </c>
      <c r="D117" s="22">
        <v>-2.99</v>
      </c>
      <c r="E117" s="22" t="s">
        <v>198</v>
      </c>
      <c r="F117" s="55" t="s">
        <v>241</v>
      </c>
      <c r="G117" s="9" t="s">
        <v>38</v>
      </c>
      <c r="H117" s="9" t="s">
        <v>39</v>
      </c>
    </row>
    <row r="118" spans="1:8" ht="15.6" customHeight="1" x14ac:dyDescent="0.25">
      <c r="A118" s="67">
        <v>202305136</v>
      </c>
      <c r="B118" s="22" t="s">
        <v>178</v>
      </c>
      <c r="C118" s="23">
        <v>45031</v>
      </c>
      <c r="D118" s="22">
        <v>-2.99</v>
      </c>
      <c r="E118" s="22" t="s">
        <v>227</v>
      </c>
      <c r="F118" s="56" t="s">
        <v>156</v>
      </c>
      <c r="G118" s="56" t="s">
        <v>156</v>
      </c>
      <c r="H118" s="56" t="s">
        <v>156</v>
      </c>
    </row>
    <row r="119" spans="1:8" ht="15.6" customHeight="1" x14ac:dyDescent="0.25">
      <c r="A119" s="67">
        <v>202305156</v>
      </c>
      <c r="B119" s="66" t="s">
        <v>140</v>
      </c>
      <c r="C119" s="23">
        <v>45034</v>
      </c>
      <c r="D119" s="22">
        <v>-2.99</v>
      </c>
      <c r="E119" s="22" t="s">
        <v>363</v>
      </c>
      <c r="F119" s="9" t="s">
        <v>306</v>
      </c>
      <c r="G119" s="9" t="s">
        <v>18</v>
      </c>
      <c r="H119" s="8" t="s">
        <v>119</v>
      </c>
    </row>
    <row r="120" spans="1:8" ht="15.6" customHeight="1" x14ac:dyDescent="0.25">
      <c r="A120" s="67">
        <v>202305085</v>
      </c>
      <c r="B120" s="22" t="s">
        <v>128</v>
      </c>
      <c r="C120" s="23">
        <v>45035</v>
      </c>
      <c r="D120" s="65">
        <v>-2.99</v>
      </c>
      <c r="E120" s="22" t="s">
        <v>132</v>
      </c>
      <c r="F120" s="9" t="s">
        <v>306</v>
      </c>
      <c r="G120" s="9" t="s">
        <v>18</v>
      </c>
      <c r="H120" s="9" t="s">
        <v>129</v>
      </c>
    </row>
    <row r="121" spans="1:8" ht="15.6" customHeight="1" x14ac:dyDescent="0.25">
      <c r="A121" s="67">
        <v>202305086</v>
      </c>
      <c r="B121" s="22" t="s">
        <v>128</v>
      </c>
      <c r="C121" s="23">
        <v>45035</v>
      </c>
      <c r="D121" s="22">
        <v>-2.89</v>
      </c>
      <c r="E121" s="22" t="s">
        <v>206</v>
      </c>
      <c r="F121" t="s">
        <v>241</v>
      </c>
      <c r="G121" s="9" t="s">
        <v>16</v>
      </c>
      <c r="H121" t="s">
        <v>27</v>
      </c>
    </row>
    <row r="122" spans="1:8" ht="15.6" customHeight="1" x14ac:dyDescent="0.25">
      <c r="A122" s="67">
        <v>202305087</v>
      </c>
      <c r="B122" s="22" t="s">
        <v>128</v>
      </c>
      <c r="C122" s="23">
        <v>45035</v>
      </c>
      <c r="D122" s="22">
        <v>-2.78</v>
      </c>
      <c r="E122" s="22" t="s">
        <v>351</v>
      </c>
      <c r="F122" t="s">
        <v>241</v>
      </c>
      <c r="G122" s="9" t="s">
        <v>16</v>
      </c>
      <c r="H122" t="s">
        <v>27</v>
      </c>
    </row>
    <row r="123" spans="1:8" ht="15.6" customHeight="1" x14ac:dyDescent="0.25">
      <c r="A123" s="67">
        <v>202305088</v>
      </c>
      <c r="B123" s="22" t="s">
        <v>128</v>
      </c>
      <c r="C123" s="23">
        <v>45035</v>
      </c>
      <c r="D123" s="22">
        <v>-2.54</v>
      </c>
      <c r="E123" s="22" t="s">
        <v>297</v>
      </c>
      <c r="F123" s="9" t="s">
        <v>241</v>
      </c>
      <c r="G123" t="s">
        <v>48</v>
      </c>
      <c r="H123" t="s">
        <v>49</v>
      </c>
    </row>
    <row r="124" spans="1:8" ht="15.6" customHeight="1" x14ac:dyDescent="0.25">
      <c r="A124" s="67">
        <v>202305089</v>
      </c>
      <c r="B124" s="22" t="s">
        <v>128</v>
      </c>
      <c r="C124" s="23">
        <v>45035</v>
      </c>
      <c r="D124" s="22">
        <v>-2.5</v>
      </c>
      <c r="E124" s="22" t="s">
        <v>376</v>
      </c>
      <c r="F124" s="9" t="s">
        <v>306</v>
      </c>
      <c r="G124" s="9" t="s">
        <v>18</v>
      </c>
      <c r="H124" s="8" t="s">
        <v>217</v>
      </c>
    </row>
    <row r="125" spans="1:8" ht="15.6" customHeight="1" x14ac:dyDescent="0.25">
      <c r="A125" s="67">
        <v>202305090</v>
      </c>
      <c r="B125" s="22" t="s">
        <v>128</v>
      </c>
      <c r="C125" s="23">
        <v>45035</v>
      </c>
      <c r="D125" s="22">
        <v>-2.5</v>
      </c>
      <c r="E125" s="22" t="s">
        <v>235</v>
      </c>
      <c r="F125" t="s">
        <v>241</v>
      </c>
      <c r="G125" s="9" t="s">
        <v>16</v>
      </c>
      <c r="H125" t="s">
        <v>27</v>
      </c>
    </row>
    <row r="126" spans="1:8" ht="15.6" customHeight="1" x14ac:dyDescent="0.25">
      <c r="A126" s="67">
        <v>202305091</v>
      </c>
      <c r="B126" s="22" t="s">
        <v>128</v>
      </c>
      <c r="C126" s="23">
        <v>45035</v>
      </c>
      <c r="D126" s="65">
        <v>-2.48</v>
      </c>
      <c r="E126" s="22" t="s">
        <v>203</v>
      </c>
      <c r="F126" s="55" t="s">
        <v>241</v>
      </c>
      <c r="G126" s="9" t="s">
        <v>16</v>
      </c>
      <c r="H126" t="s">
        <v>27</v>
      </c>
    </row>
    <row r="127" spans="1:8" ht="15.6" customHeight="1" x14ac:dyDescent="0.25">
      <c r="A127" s="67">
        <v>202305092</v>
      </c>
      <c r="B127" s="22" t="s">
        <v>128</v>
      </c>
      <c r="C127" s="23">
        <v>45035</v>
      </c>
      <c r="D127" s="22">
        <v>-2.4300000000000002</v>
      </c>
      <c r="E127" s="22" t="s">
        <v>298</v>
      </c>
      <c r="F127" s="9" t="s">
        <v>241</v>
      </c>
      <c r="G127" t="s">
        <v>48</v>
      </c>
      <c r="H127" t="s">
        <v>50</v>
      </c>
    </row>
    <row r="128" spans="1:8" ht="15.6" customHeight="1" x14ac:dyDescent="0.25">
      <c r="A128" s="67">
        <v>202305093</v>
      </c>
      <c r="B128" s="22" t="s">
        <v>128</v>
      </c>
      <c r="C128" s="23">
        <v>45035</v>
      </c>
      <c r="D128" s="22">
        <v>-2.4</v>
      </c>
      <c r="E128" s="22" t="s">
        <v>296</v>
      </c>
      <c r="F128" t="s">
        <v>241</v>
      </c>
      <c r="G128" s="9" t="s">
        <v>38</v>
      </c>
      <c r="H128" s="9" t="s">
        <v>39</v>
      </c>
    </row>
    <row r="129" spans="1:8" ht="15.6" customHeight="1" x14ac:dyDescent="0.25">
      <c r="A129" s="67">
        <v>202305094</v>
      </c>
      <c r="B129" s="22" t="s">
        <v>128</v>
      </c>
      <c r="C129" s="23">
        <v>45036</v>
      </c>
      <c r="D129" s="22">
        <v>-2.1800000000000002</v>
      </c>
      <c r="E129" s="22" t="s">
        <v>78</v>
      </c>
      <c r="F129" s="9" t="s">
        <v>306</v>
      </c>
      <c r="G129" s="9" t="s">
        <v>18</v>
      </c>
      <c r="H129" s="8" t="s">
        <v>90</v>
      </c>
    </row>
    <row r="130" spans="1:8" ht="15.6" customHeight="1" x14ac:dyDescent="0.25">
      <c r="A130" s="67">
        <v>202305095</v>
      </c>
      <c r="B130" s="22" t="s">
        <v>128</v>
      </c>
      <c r="C130" s="23">
        <v>45037</v>
      </c>
      <c r="D130" s="22">
        <v>-2</v>
      </c>
      <c r="E130" s="22" t="s">
        <v>301</v>
      </c>
      <c r="F130" t="s">
        <v>241</v>
      </c>
      <c r="G130" t="s">
        <v>16</v>
      </c>
      <c r="H130" t="s">
        <v>27</v>
      </c>
    </row>
    <row r="131" spans="1:8" ht="15.6" customHeight="1" x14ac:dyDescent="0.25">
      <c r="A131" s="67">
        <v>202305096</v>
      </c>
      <c r="B131" s="22" t="s">
        <v>128</v>
      </c>
      <c r="C131" s="23">
        <v>45037</v>
      </c>
      <c r="D131" s="65">
        <v>-1.99</v>
      </c>
      <c r="E131" s="22" t="s">
        <v>199</v>
      </c>
      <c r="F131" t="s">
        <v>241</v>
      </c>
      <c r="G131" t="s">
        <v>16</v>
      </c>
      <c r="H131" t="s">
        <v>27</v>
      </c>
    </row>
    <row r="132" spans="1:8" ht="15.6" customHeight="1" x14ac:dyDescent="0.25">
      <c r="A132" s="67">
        <v>202305097</v>
      </c>
      <c r="B132" s="22" t="s">
        <v>128</v>
      </c>
      <c r="C132" s="23">
        <v>45037</v>
      </c>
      <c r="D132" s="22">
        <v>-1.95</v>
      </c>
      <c r="E132" s="22" t="s">
        <v>199</v>
      </c>
      <c r="F132" t="s">
        <v>241</v>
      </c>
      <c r="G132" t="s">
        <v>16</v>
      </c>
      <c r="H132" t="s">
        <v>27</v>
      </c>
    </row>
    <row r="133" spans="1:8" ht="15.6" customHeight="1" x14ac:dyDescent="0.25">
      <c r="A133" s="67">
        <v>202305098</v>
      </c>
      <c r="B133" s="22" t="s">
        <v>128</v>
      </c>
      <c r="C133" s="23">
        <v>45037</v>
      </c>
      <c r="D133" s="22">
        <v>-1.85</v>
      </c>
      <c r="E133" s="22" t="s">
        <v>231</v>
      </c>
      <c r="F133" s="22" t="s">
        <v>241</v>
      </c>
      <c r="G133" s="22" t="s">
        <v>16</v>
      </c>
      <c r="H133" s="22" t="s">
        <v>27</v>
      </c>
    </row>
    <row r="134" spans="1:8" ht="15.6" customHeight="1" x14ac:dyDescent="0.25">
      <c r="A134" s="67">
        <v>202305099</v>
      </c>
      <c r="B134" s="22" t="s">
        <v>128</v>
      </c>
      <c r="C134" s="23">
        <v>45037</v>
      </c>
      <c r="D134" s="22">
        <v>-1.78</v>
      </c>
      <c r="E134" s="22" t="s">
        <v>198</v>
      </c>
      <c r="F134" s="55" t="s">
        <v>241</v>
      </c>
      <c r="G134" s="9" t="s">
        <v>38</v>
      </c>
      <c r="H134" s="9" t="s">
        <v>39</v>
      </c>
    </row>
    <row r="135" spans="1:8" ht="15.6" customHeight="1" x14ac:dyDescent="0.25">
      <c r="A135" s="9">
        <v>202305162</v>
      </c>
      <c r="B135" s="22" t="s">
        <v>222</v>
      </c>
      <c r="C135" s="1">
        <v>45039</v>
      </c>
      <c r="D135" s="22">
        <v>-1.65</v>
      </c>
      <c r="E135" s="22" t="s">
        <v>370</v>
      </c>
      <c r="F135" t="s">
        <v>241</v>
      </c>
      <c r="G135" s="9" t="s">
        <v>18</v>
      </c>
      <c r="H135" s="2" t="s">
        <v>152</v>
      </c>
    </row>
    <row r="136" spans="1:8" ht="15.6" customHeight="1" x14ac:dyDescent="0.25">
      <c r="A136" s="67">
        <v>202305100</v>
      </c>
      <c r="B136" s="22" t="s">
        <v>128</v>
      </c>
      <c r="C136" s="62">
        <v>45041</v>
      </c>
      <c r="D136" s="22">
        <v>-1.62</v>
      </c>
      <c r="E136" s="65" t="s">
        <v>394</v>
      </c>
      <c r="F136" t="s">
        <v>240</v>
      </c>
      <c r="G136" s="9" t="s">
        <v>72</v>
      </c>
      <c r="H136" s="8" t="s">
        <v>73</v>
      </c>
    </row>
    <row r="137" spans="1:8" ht="15.6" customHeight="1" x14ac:dyDescent="0.25">
      <c r="A137" s="67">
        <v>202305101</v>
      </c>
      <c r="B137" s="22" t="s">
        <v>128</v>
      </c>
      <c r="C137" s="23">
        <v>45041</v>
      </c>
      <c r="D137" s="22">
        <v>-1.5</v>
      </c>
      <c r="E137" s="22" t="s">
        <v>192</v>
      </c>
      <c r="F137" s="9" t="s">
        <v>306</v>
      </c>
      <c r="G137" s="9" t="s">
        <v>18</v>
      </c>
      <c r="H137" s="8" t="s">
        <v>374</v>
      </c>
    </row>
    <row r="138" spans="1:8" ht="15.6" customHeight="1" x14ac:dyDescent="0.25">
      <c r="A138" s="67">
        <v>202305102</v>
      </c>
      <c r="B138" s="22" t="s">
        <v>128</v>
      </c>
      <c r="C138" s="23">
        <v>45041</v>
      </c>
      <c r="D138" s="22">
        <v>-1.5</v>
      </c>
      <c r="E138" s="22" t="s">
        <v>396</v>
      </c>
      <c r="F138" s="56" t="s">
        <v>156</v>
      </c>
      <c r="G138" s="56" t="s">
        <v>156</v>
      </c>
      <c r="H138" s="56" t="s">
        <v>156</v>
      </c>
    </row>
    <row r="139" spans="1:8" ht="15.6" customHeight="1" x14ac:dyDescent="0.25">
      <c r="A139" s="67">
        <v>202305137</v>
      </c>
      <c r="B139" s="22" t="s">
        <v>178</v>
      </c>
      <c r="C139" s="23">
        <v>45041</v>
      </c>
      <c r="D139" s="22">
        <v>-1.2</v>
      </c>
      <c r="E139" s="22" t="s">
        <v>227</v>
      </c>
      <c r="F139" s="56" t="s">
        <v>156</v>
      </c>
      <c r="G139" s="56" t="s">
        <v>156</v>
      </c>
      <c r="H139" s="56" t="s">
        <v>156</v>
      </c>
    </row>
    <row r="140" spans="1:8" ht="15.6" customHeight="1" x14ac:dyDescent="0.25">
      <c r="A140" s="67">
        <v>202305103</v>
      </c>
      <c r="B140" s="22" t="s">
        <v>128</v>
      </c>
      <c r="C140" s="23">
        <v>45042</v>
      </c>
      <c r="D140" s="22">
        <v>-1.2</v>
      </c>
      <c r="E140" s="22" t="s">
        <v>352</v>
      </c>
      <c r="F140" s="69" t="s">
        <v>395</v>
      </c>
      <c r="G140" s="68" t="s">
        <v>16</v>
      </c>
      <c r="H140" s="68" t="s">
        <v>27</v>
      </c>
    </row>
    <row r="141" spans="1:8" ht="15.6" customHeight="1" x14ac:dyDescent="0.25">
      <c r="A141" s="67">
        <v>202305104</v>
      </c>
      <c r="B141" s="22" t="s">
        <v>128</v>
      </c>
      <c r="C141" s="23">
        <v>45042</v>
      </c>
      <c r="D141" s="22">
        <v>-1.0900000000000001</v>
      </c>
      <c r="E141" s="22" t="s">
        <v>231</v>
      </c>
      <c r="F141" s="22" t="s">
        <v>241</v>
      </c>
      <c r="G141" s="22" t="s">
        <v>16</v>
      </c>
      <c r="H141" s="22" t="s">
        <v>27</v>
      </c>
    </row>
    <row r="142" spans="1:8" ht="15.6" customHeight="1" x14ac:dyDescent="0.25">
      <c r="A142" s="67">
        <v>202305105</v>
      </c>
      <c r="B142" s="22" t="s">
        <v>128</v>
      </c>
      <c r="C142" s="23">
        <v>45042</v>
      </c>
      <c r="D142" s="22">
        <v>-1.05</v>
      </c>
      <c r="E142" s="22" t="s">
        <v>199</v>
      </c>
      <c r="F142" t="s">
        <v>241</v>
      </c>
      <c r="G142" t="s">
        <v>16</v>
      </c>
      <c r="H142" t="s">
        <v>27</v>
      </c>
    </row>
    <row r="143" spans="1:8" ht="15.6" customHeight="1" x14ac:dyDescent="0.25">
      <c r="A143" s="67">
        <v>202305106</v>
      </c>
      <c r="B143" s="22" t="s">
        <v>128</v>
      </c>
      <c r="C143" s="23">
        <v>45042</v>
      </c>
      <c r="D143" s="65">
        <v>-1</v>
      </c>
      <c r="E143" s="22" t="s">
        <v>353</v>
      </c>
      <c r="F143" s="69" t="s">
        <v>241</v>
      </c>
      <c r="G143" s="68" t="s">
        <v>16</v>
      </c>
      <c r="H143" s="68" t="s">
        <v>27</v>
      </c>
    </row>
    <row r="144" spans="1:8" ht="15.6" customHeight="1" x14ac:dyDescent="0.25">
      <c r="A144" s="67">
        <v>202305107</v>
      </c>
      <c r="B144" s="22" t="s">
        <v>128</v>
      </c>
      <c r="C144" s="23">
        <v>45042</v>
      </c>
      <c r="D144" s="22">
        <v>-0.8</v>
      </c>
      <c r="E144" s="22" t="s">
        <v>198</v>
      </c>
      <c r="F144" s="55" t="s">
        <v>241</v>
      </c>
      <c r="G144" s="9" t="s">
        <v>38</v>
      </c>
      <c r="H144" s="9" t="s">
        <v>39</v>
      </c>
    </row>
    <row r="145" spans="1:8" ht="15.6" customHeight="1" x14ac:dyDescent="0.25">
      <c r="A145" s="67">
        <v>202305108</v>
      </c>
      <c r="B145" s="22" t="s">
        <v>128</v>
      </c>
      <c r="C145" s="23">
        <v>45042</v>
      </c>
      <c r="D145" s="22">
        <v>-0.8</v>
      </c>
      <c r="E145" s="22" t="s">
        <v>229</v>
      </c>
      <c r="F145" t="s">
        <v>241</v>
      </c>
      <c r="G145" s="9" t="s">
        <v>38</v>
      </c>
      <c r="H145" s="9" t="s">
        <v>39</v>
      </c>
    </row>
    <row r="146" spans="1:8" ht="15.6" customHeight="1" x14ac:dyDescent="0.25">
      <c r="A146" s="67">
        <v>202305109</v>
      </c>
      <c r="B146" s="22" t="s">
        <v>128</v>
      </c>
      <c r="C146" s="23">
        <v>45042</v>
      </c>
      <c r="D146" s="22">
        <v>-0.8</v>
      </c>
      <c r="E146" s="22" t="s">
        <v>229</v>
      </c>
      <c r="F146" t="s">
        <v>241</v>
      </c>
      <c r="G146" s="9" t="s">
        <v>38</v>
      </c>
      <c r="H146" s="9" t="s">
        <v>39</v>
      </c>
    </row>
    <row r="147" spans="1:8" ht="15.6" customHeight="1" x14ac:dyDescent="0.25">
      <c r="A147" s="67">
        <v>202305110</v>
      </c>
      <c r="B147" s="22" t="s">
        <v>128</v>
      </c>
      <c r="C147" s="23">
        <v>45043</v>
      </c>
      <c r="D147" s="22">
        <v>-0.8</v>
      </c>
      <c r="E147" s="22" t="s">
        <v>354</v>
      </c>
      <c r="F147" s="9" t="s">
        <v>241</v>
      </c>
      <c r="G147" s="9" t="s">
        <v>48</v>
      </c>
      <c r="H147" s="8" t="s">
        <v>167</v>
      </c>
    </row>
    <row r="148" spans="1:8" ht="15.6" customHeight="1" x14ac:dyDescent="0.25">
      <c r="A148" s="67">
        <v>202305111</v>
      </c>
      <c r="B148" s="22" t="s">
        <v>128</v>
      </c>
      <c r="C148" s="23">
        <v>45044</v>
      </c>
      <c r="D148" s="22">
        <v>-0.77</v>
      </c>
      <c r="E148" s="22" t="s">
        <v>219</v>
      </c>
      <c r="F148" s="56" t="s">
        <v>156</v>
      </c>
      <c r="G148" s="56" t="s">
        <v>156</v>
      </c>
      <c r="H148" s="56" t="s">
        <v>156</v>
      </c>
    </row>
    <row r="149" spans="1:8" ht="15.6" customHeight="1" x14ac:dyDescent="0.25">
      <c r="A149" s="67">
        <v>202305157</v>
      </c>
      <c r="B149" s="66" t="s">
        <v>140</v>
      </c>
      <c r="C149" s="23">
        <v>45044</v>
      </c>
      <c r="D149" s="22">
        <v>-0.69</v>
      </c>
      <c r="E149" s="22" t="s">
        <v>220</v>
      </c>
      <c r="F149" s="56" t="s">
        <v>156</v>
      </c>
      <c r="G149" s="56" t="s">
        <v>156</v>
      </c>
      <c r="H149" s="56" t="s">
        <v>156</v>
      </c>
    </row>
    <row r="150" spans="1:8" ht="15.6" customHeight="1" x14ac:dyDescent="0.25">
      <c r="A150" s="67">
        <v>202305112</v>
      </c>
      <c r="B150" s="22" t="s">
        <v>128</v>
      </c>
      <c r="C150" s="23">
        <v>45046</v>
      </c>
      <c r="D150" s="22">
        <v>-0.49</v>
      </c>
      <c r="E150" s="22" t="s">
        <v>198</v>
      </c>
      <c r="F150" s="55" t="s">
        <v>241</v>
      </c>
      <c r="G150" s="9" t="s">
        <v>38</v>
      </c>
      <c r="H150" s="9" t="s">
        <v>39</v>
      </c>
    </row>
    <row r="151" spans="1:8" ht="15.6" customHeight="1" x14ac:dyDescent="0.25">
      <c r="A151" s="67">
        <v>202305113</v>
      </c>
      <c r="B151" s="22" t="s">
        <v>128</v>
      </c>
      <c r="C151" s="23">
        <v>45046</v>
      </c>
      <c r="D151" s="22">
        <v>-0.15</v>
      </c>
      <c r="E151" s="22" t="s">
        <v>198</v>
      </c>
      <c r="F151" s="55" t="s">
        <v>241</v>
      </c>
      <c r="G151" s="9" t="s">
        <v>38</v>
      </c>
      <c r="H151" s="9" t="s">
        <v>39</v>
      </c>
    </row>
    <row r="152" spans="1:8" ht="15.6" customHeight="1" x14ac:dyDescent="0.25">
      <c r="A152" s="9">
        <v>202305163</v>
      </c>
      <c r="B152" s="22" t="s">
        <v>222</v>
      </c>
      <c r="C152" s="23">
        <v>45046</v>
      </c>
      <c r="D152" s="22">
        <v>-0.13</v>
      </c>
      <c r="E152" s="22" t="s">
        <v>397</v>
      </c>
      <c r="F152" t="s">
        <v>241</v>
      </c>
      <c r="G152" t="s">
        <v>38</v>
      </c>
      <c r="H152" t="s">
        <v>39</v>
      </c>
    </row>
    <row r="153" spans="1:8" ht="15.6" customHeight="1" x14ac:dyDescent="0.25">
      <c r="A153" s="67">
        <v>202305114</v>
      </c>
      <c r="B153" s="22" t="s">
        <v>128</v>
      </c>
      <c r="C153" s="23">
        <v>45048</v>
      </c>
      <c r="D153" s="22">
        <v>-0.02</v>
      </c>
      <c r="E153" s="22" t="s">
        <v>192</v>
      </c>
      <c r="F153" s="9" t="s">
        <v>306</v>
      </c>
      <c r="G153" s="9" t="s">
        <v>18</v>
      </c>
      <c r="H153" s="8" t="s">
        <v>75</v>
      </c>
    </row>
    <row r="154" spans="1:8" ht="15.6" customHeight="1" x14ac:dyDescent="0.25">
      <c r="A154" s="67">
        <v>202305115</v>
      </c>
      <c r="B154" s="22" t="s">
        <v>128</v>
      </c>
      <c r="C154" s="23">
        <v>45048</v>
      </c>
      <c r="D154" s="22">
        <v>-0.01</v>
      </c>
      <c r="E154" s="22" t="s">
        <v>190</v>
      </c>
      <c r="F154" s="9" t="s">
        <v>306</v>
      </c>
      <c r="G154" s="9" t="s">
        <v>18</v>
      </c>
      <c r="H154" s="9" t="s">
        <v>216</v>
      </c>
    </row>
    <row r="155" spans="1:8" ht="15.6" customHeight="1" x14ac:dyDescent="0.25">
      <c r="A155" s="67">
        <v>202305116</v>
      </c>
      <c r="B155" s="22" t="s">
        <v>128</v>
      </c>
      <c r="C155" s="23">
        <v>45048</v>
      </c>
      <c r="D155" s="63">
        <v>1.88</v>
      </c>
      <c r="E155" s="22" t="s">
        <v>232</v>
      </c>
      <c r="F155" s="9" t="s">
        <v>241</v>
      </c>
      <c r="G155" s="9" t="s">
        <v>48</v>
      </c>
      <c r="H155" s="8" t="s">
        <v>167</v>
      </c>
    </row>
    <row r="156" spans="1:8" ht="15.6" customHeight="1" x14ac:dyDescent="0.25">
      <c r="A156" s="67">
        <v>202305117</v>
      </c>
      <c r="B156" s="22" t="s">
        <v>128</v>
      </c>
      <c r="C156" s="23">
        <v>45049</v>
      </c>
      <c r="D156" s="63">
        <f>74.14-71.55</f>
        <v>2.5900000000000034</v>
      </c>
      <c r="E156" s="22" t="s">
        <v>17</v>
      </c>
      <c r="F156" s="9" t="s">
        <v>306</v>
      </c>
      <c r="G156" s="9" t="s">
        <v>18</v>
      </c>
      <c r="H156" s="8" t="s">
        <v>19</v>
      </c>
    </row>
    <row r="157" spans="1:8" ht="15.6" customHeight="1" x14ac:dyDescent="0.25">
      <c r="A157" s="67">
        <v>202305118</v>
      </c>
      <c r="B157" s="22" t="s">
        <v>128</v>
      </c>
      <c r="C157" s="23">
        <v>45049</v>
      </c>
      <c r="D157" s="22">
        <v>7.98</v>
      </c>
      <c r="E157" s="22" t="s">
        <v>17</v>
      </c>
      <c r="F157" s="9" t="s">
        <v>306</v>
      </c>
      <c r="G157" s="9" t="s">
        <v>18</v>
      </c>
      <c r="H157" s="8" t="s">
        <v>19</v>
      </c>
    </row>
    <row r="158" spans="1:8" ht="15.6" customHeight="1" x14ac:dyDescent="0.25">
      <c r="A158" s="67">
        <v>202305119</v>
      </c>
      <c r="B158" s="22" t="s">
        <v>128</v>
      </c>
      <c r="C158" s="23">
        <v>45049</v>
      </c>
      <c r="D158" s="22">
        <v>7.98</v>
      </c>
      <c r="E158" s="22" t="s">
        <v>205</v>
      </c>
      <c r="F158" s="55" t="s">
        <v>241</v>
      </c>
      <c r="G158" s="9" t="s">
        <v>16</v>
      </c>
      <c r="H158" t="s">
        <v>27</v>
      </c>
    </row>
    <row r="159" spans="1:8" ht="15.6" customHeight="1" x14ac:dyDescent="0.25">
      <c r="A159" s="67">
        <v>202305120</v>
      </c>
      <c r="B159" s="22" t="s">
        <v>128</v>
      </c>
      <c r="C159" s="23">
        <v>45049</v>
      </c>
      <c r="D159" s="65">
        <v>7.98</v>
      </c>
      <c r="E159" s="22" t="s">
        <v>205</v>
      </c>
      <c r="F159" s="55" t="s">
        <v>241</v>
      </c>
      <c r="G159" s="9" t="s">
        <v>16</v>
      </c>
      <c r="H159" t="s">
        <v>27</v>
      </c>
    </row>
    <row r="160" spans="1:8" ht="15.6" customHeight="1" x14ac:dyDescent="0.25">
      <c r="A160" s="67">
        <v>202305121</v>
      </c>
      <c r="B160" s="22" t="s">
        <v>128</v>
      </c>
      <c r="C160" s="23">
        <v>45049</v>
      </c>
      <c r="D160" s="20">
        <v>8.85</v>
      </c>
      <c r="E160" s="22" t="s">
        <v>204</v>
      </c>
      <c r="F160" t="s">
        <v>241</v>
      </c>
      <c r="G160" s="9" t="s">
        <v>38</v>
      </c>
      <c r="H160" s="9" t="s">
        <v>39</v>
      </c>
    </row>
    <row r="161" spans="1:8" ht="15.6" customHeight="1" x14ac:dyDescent="0.25">
      <c r="A161" s="67">
        <v>202305158</v>
      </c>
      <c r="B161" s="66" t="s">
        <v>140</v>
      </c>
      <c r="C161" s="23">
        <v>45049</v>
      </c>
      <c r="D161" s="63">
        <v>12.46</v>
      </c>
      <c r="E161" s="22" t="s">
        <v>364</v>
      </c>
      <c r="F161" s="9" t="s">
        <v>306</v>
      </c>
      <c r="G161" s="9" t="s">
        <v>18</v>
      </c>
      <c r="H161" s="8" t="s">
        <v>217</v>
      </c>
    </row>
    <row r="162" spans="1:8" ht="15.6" customHeight="1" x14ac:dyDescent="0.25">
      <c r="A162" s="67">
        <v>202305122</v>
      </c>
      <c r="B162" s="22" t="s">
        <v>128</v>
      </c>
      <c r="C162" s="23">
        <v>45051</v>
      </c>
      <c r="D162" s="22">
        <v>16.36</v>
      </c>
      <c r="E162" s="22" t="s">
        <v>200</v>
      </c>
      <c r="F162" t="s">
        <v>241</v>
      </c>
      <c r="G162" s="9" t="s">
        <v>38</v>
      </c>
      <c r="H162" s="9" t="s">
        <v>39</v>
      </c>
    </row>
    <row r="163" spans="1:8" ht="15.6" customHeight="1" x14ac:dyDescent="0.25">
      <c r="A163" s="67">
        <v>202305123</v>
      </c>
      <c r="B163" s="22" t="s">
        <v>128</v>
      </c>
      <c r="C163" s="23">
        <v>45052</v>
      </c>
      <c r="D163" s="22">
        <v>17.73</v>
      </c>
      <c r="E163" s="22" t="s">
        <v>378</v>
      </c>
      <c r="F163" s="55" t="s">
        <v>241</v>
      </c>
      <c r="G163" t="s">
        <v>16</v>
      </c>
      <c r="H163" t="s">
        <v>16</v>
      </c>
    </row>
    <row r="164" spans="1:8" ht="15.6" customHeight="1" x14ac:dyDescent="0.25">
      <c r="A164" s="67">
        <v>202305124</v>
      </c>
      <c r="B164" s="22" t="s">
        <v>128</v>
      </c>
      <c r="C164" s="23">
        <v>45052</v>
      </c>
      <c r="D164" s="22">
        <v>22.71</v>
      </c>
      <c r="E164" s="22" t="s">
        <v>199</v>
      </c>
      <c r="F164" t="s">
        <v>241</v>
      </c>
      <c r="G164" t="s">
        <v>16</v>
      </c>
      <c r="H164" t="s">
        <v>27</v>
      </c>
    </row>
    <row r="165" spans="1:8" ht="15.6" customHeight="1" x14ac:dyDescent="0.25">
      <c r="A165" s="67">
        <v>202305125</v>
      </c>
      <c r="B165" s="22" t="s">
        <v>128</v>
      </c>
      <c r="C165" s="23">
        <v>45052</v>
      </c>
      <c r="D165" s="20">
        <v>59.09</v>
      </c>
      <c r="E165" s="22" t="s">
        <v>375</v>
      </c>
      <c r="F165" t="s">
        <v>241</v>
      </c>
      <c r="G165" t="s">
        <v>16</v>
      </c>
      <c r="H165" t="s">
        <v>27</v>
      </c>
    </row>
    <row r="166" spans="1:8" ht="15.6" customHeight="1" x14ac:dyDescent="0.25">
      <c r="A166" s="67">
        <v>202305126</v>
      </c>
      <c r="B166" s="22" t="s">
        <v>128</v>
      </c>
      <c r="C166" s="23">
        <v>45052</v>
      </c>
      <c r="D166" s="22">
        <v>154</v>
      </c>
      <c r="E166" s="22" t="s">
        <v>357</v>
      </c>
      <c r="F166" t="s">
        <v>241</v>
      </c>
      <c r="G166" s="9" t="s">
        <v>16</v>
      </c>
      <c r="H166" t="s">
        <v>27</v>
      </c>
    </row>
    <row r="167" spans="1:8" ht="15.6" customHeight="1" x14ac:dyDescent="0.25">
      <c r="A167" s="67">
        <v>202305127</v>
      </c>
      <c r="B167" s="22" t="s">
        <v>128</v>
      </c>
      <c r="C167" s="23">
        <v>45052</v>
      </c>
      <c r="D167" s="22">
        <v>155</v>
      </c>
      <c r="E167" s="22" t="s">
        <v>198</v>
      </c>
      <c r="F167" s="55" t="s">
        <v>241</v>
      </c>
      <c r="G167" s="9" t="s">
        <v>38</v>
      </c>
      <c r="H167" s="9" t="s">
        <v>39</v>
      </c>
    </row>
    <row r="168" spans="1:8" ht="15.6" customHeight="1" x14ac:dyDescent="0.25">
      <c r="A168" s="67">
        <v>202305128</v>
      </c>
      <c r="B168" s="22" t="s">
        <v>128</v>
      </c>
      <c r="C168" s="23">
        <v>45052</v>
      </c>
      <c r="D168" s="22">
        <v>155</v>
      </c>
      <c r="E168" s="22" t="s">
        <v>198</v>
      </c>
      <c r="F168" s="55" t="s">
        <v>241</v>
      </c>
      <c r="G168" s="9" t="s">
        <v>38</v>
      </c>
      <c r="H168" s="9" t="s">
        <v>39</v>
      </c>
    </row>
    <row r="169" spans="1:8" ht="15.6" customHeight="1" x14ac:dyDescent="0.25">
      <c r="A169" s="67">
        <v>202305129</v>
      </c>
      <c r="B169" s="22" t="s">
        <v>128</v>
      </c>
      <c r="C169" s="23">
        <v>45052</v>
      </c>
      <c r="D169" s="22">
        <v>155</v>
      </c>
      <c r="E169" s="22" t="s">
        <v>358</v>
      </c>
      <c r="F169" t="s">
        <v>241</v>
      </c>
      <c r="G169" s="9" t="s">
        <v>16</v>
      </c>
      <c r="H169" s="22" t="s">
        <v>27</v>
      </c>
    </row>
    <row r="170" spans="1:8" ht="15.6" customHeight="1" thickBot="1" x14ac:dyDescent="0.3">
      <c r="A170" s="9">
        <v>202305163</v>
      </c>
      <c r="B170" s="22" t="s">
        <v>239</v>
      </c>
      <c r="C170" s="1">
        <v>45053</v>
      </c>
      <c r="D170" s="22">
        <v>200</v>
      </c>
      <c r="E170" s="22" t="s">
        <v>398</v>
      </c>
      <c r="F170" t="s">
        <v>241</v>
      </c>
      <c r="G170" t="s">
        <v>38</v>
      </c>
      <c r="H170" t="s">
        <v>39</v>
      </c>
    </row>
    <row r="171" spans="1:8" ht="15.6" customHeight="1" thickBot="1" x14ac:dyDescent="0.3">
      <c r="A171" s="9">
        <v>202305163</v>
      </c>
      <c r="B171" s="58" t="s">
        <v>239</v>
      </c>
      <c r="C171" s="1">
        <v>45053</v>
      </c>
      <c r="D171" s="58">
        <v>400</v>
      </c>
      <c r="E171" s="22" t="s">
        <v>399</v>
      </c>
      <c r="F171" t="s">
        <v>241</v>
      </c>
      <c r="G171" t="s">
        <v>16</v>
      </c>
      <c r="H171" t="s">
        <v>27</v>
      </c>
    </row>
    <row r="172" spans="1:8" ht="15.6" customHeight="1" thickBot="1" x14ac:dyDescent="0.3">
      <c r="A172" s="9">
        <v>202305163</v>
      </c>
      <c r="B172" s="58" t="s">
        <v>222</v>
      </c>
      <c r="C172" s="1">
        <v>45053</v>
      </c>
      <c r="D172" s="58">
        <v>500</v>
      </c>
      <c r="E172" s="22" t="s">
        <v>397</v>
      </c>
      <c r="F172" t="s">
        <v>241</v>
      </c>
      <c r="G172" t="s">
        <v>38</v>
      </c>
      <c r="H172" t="s">
        <v>39</v>
      </c>
    </row>
    <row r="173" spans="1:8" ht="15.6" customHeight="1" thickBot="1" x14ac:dyDescent="0.3">
      <c r="A173" s="9">
        <v>202305163</v>
      </c>
      <c r="B173" s="58" t="s">
        <v>222</v>
      </c>
      <c r="C173" s="1">
        <v>45053</v>
      </c>
      <c r="D173" s="58">
        <v>1500</v>
      </c>
      <c r="E173" s="22" t="s">
        <v>400</v>
      </c>
      <c r="F173" t="s">
        <v>241</v>
      </c>
      <c r="G173" t="s">
        <v>16</v>
      </c>
      <c r="H173" t="s">
        <v>27</v>
      </c>
    </row>
    <row r="174" spans="1:8" ht="15.6" customHeight="1" thickBot="1" x14ac:dyDescent="0.3">
      <c r="A174" s="67">
        <v>202305130</v>
      </c>
      <c r="B174" s="58" t="s">
        <v>128</v>
      </c>
      <c r="C174" s="23">
        <v>45054</v>
      </c>
      <c r="D174" s="58">
        <v>1</v>
      </c>
      <c r="E174" s="22" t="s">
        <v>352</v>
      </c>
      <c r="F174" s="69" t="s">
        <v>241</v>
      </c>
      <c r="G174" s="68" t="s">
        <v>16</v>
      </c>
      <c r="H174" s="68" t="s">
        <v>27</v>
      </c>
    </row>
    <row r="175" spans="1:8" ht="15.6" customHeight="1" thickBot="1" x14ac:dyDescent="0.3">
      <c r="A175" s="67">
        <v>202305131</v>
      </c>
      <c r="B175" s="58" t="s">
        <v>128</v>
      </c>
      <c r="C175" s="23">
        <v>45054</v>
      </c>
      <c r="D175" s="58">
        <v>2</v>
      </c>
      <c r="E175" s="22" t="s">
        <v>357</v>
      </c>
      <c r="F175" t="s">
        <v>241</v>
      </c>
      <c r="G175" s="9" t="s">
        <v>16</v>
      </c>
      <c r="H175" t="s">
        <v>27</v>
      </c>
    </row>
    <row r="176" spans="1:8" ht="15.6" customHeight="1" thickBot="1" x14ac:dyDescent="0.3">
      <c r="A176" s="67">
        <v>202305132</v>
      </c>
      <c r="B176" s="58" t="s">
        <v>128</v>
      </c>
      <c r="C176" s="23">
        <v>45054</v>
      </c>
      <c r="D176" s="58">
        <v>3</v>
      </c>
      <c r="E176" s="22" t="s">
        <v>231</v>
      </c>
      <c r="F176" s="22" t="s">
        <v>241</v>
      </c>
      <c r="G176" s="22" t="s">
        <v>16</v>
      </c>
      <c r="H176" s="22" t="s">
        <v>27</v>
      </c>
    </row>
    <row r="177" spans="1:1" ht="15.6" customHeight="1" x14ac:dyDescent="0.25">
      <c r="A177" s="9"/>
    </row>
    <row r="178" spans="1:1" ht="15.6" customHeight="1" x14ac:dyDescent="0.25">
      <c r="A178" s="9"/>
    </row>
    <row r="179" spans="1:1" ht="15.6" customHeight="1" x14ac:dyDescent="0.25">
      <c r="A179" s="9"/>
    </row>
    <row r="180" spans="1:1" ht="15.6" customHeight="1" x14ac:dyDescent="0.25">
      <c r="A180" s="9"/>
    </row>
    <row r="181" spans="1:1" ht="15.6" customHeight="1" x14ac:dyDescent="0.25">
      <c r="A181" s="9"/>
    </row>
    <row r="182" spans="1:1" ht="15.6" customHeight="1" x14ac:dyDescent="0.25">
      <c r="A182" s="9"/>
    </row>
    <row r="183" spans="1:1" ht="15.6" customHeight="1" x14ac:dyDescent="0.25">
      <c r="A183" s="9"/>
    </row>
    <row r="184" spans="1:1" ht="15.6" customHeight="1" x14ac:dyDescent="0.25">
      <c r="A184" s="9"/>
    </row>
    <row r="185" spans="1:1" ht="15.6" customHeight="1" x14ac:dyDescent="0.25">
      <c r="A185" s="9"/>
    </row>
    <row r="186" spans="1:1" ht="15.6" customHeight="1" x14ac:dyDescent="0.25">
      <c r="A186" s="9"/>
    </row>
    <row r="187" spans="1:1" ht="15.6" customHeight="1" x14ac:dyDescent="0.25">
      <c r="A187" s="9"/>
    </row>
    <row r="188" spans="1:1" ht="15.6" customHeight="1" x14ac:dyDescent="0.25">
      <c r="A188" s="9"/>
    </row>
    <row r="189" spans="1:1" ht="15.6" customHeight="1" x14ac:dyDescent="0.25">
      <c r="A189" s="9"/>
    </row>
    <row r="190" spans="1:1" ht="15.6" customHeight="1" x14ac:dyDescent="0.25">
      <c r="A190" s="9"/>
    </row>
    <row r="191" spans="1:1" ht="15.6" customHeight="1" x14ac:dyDescent="0.25">
      <c r="A191" s="9"/>
    </row>
    <row r="192" spans="1:1" ht="15.6" customHeight="1" x14ac:dyDescent="0.25">
      <c r="A192" s="9"/>
    </row>
    <row r="193" spans="1:1" ht="15.6" customHeight="1" x14ac:dyDescent="0.25">
      <c r="A193" s="9"/>
    </row>
    <row r="194" spans="1:1" ht="15.6" customHeight="1" x14ac:dyDescent="0.25">
      <c r="A194" s="9"/>
    </row>
    <row r="195" spans="1:1" ht="15.6" customHeight="1" x14ac:dyDescent="0.25">
      <c r="A195" s="9"/>
    </row>
    <row r="196" spans="1:1" ht="15.6" customHeight="1" x14ac:dyDescent="0.25">
      <c r="A196" s="9"/>
    </row>
    <row r="197" spans="1:1" ht="15.6" customHeight="1" x14ac:dyDescent="0.25">
      <c r="A197" s="9"/>
    </row>
    <row r="198" spans="1:1" ht="15.6" customHeight="1" x14ac:dyDescent="0.25">
      <c r="A198" s="9"/>
    </row>
    <row r="199" spans="1:1" ht="15.6" customHeight="1" x14ac:dyDescent="0.25">
      <c r="A199" s="9"/>
    </row>
    <row r="200" spans="1:1" ht="15.6" customHeight="1" x14ac:dyDescent="0.25">
      <c r="A200" s="9"/>
    </row>
    <row r="201" spans="1:1" ht="15.6" customHeight="1" x14ac:dyDescent="0.25">
      <c r="A201" s="9"/>
    </row>
    <row r="202" spans="1:1" ht="15.6" customHeight="1" x14ac:dyDescent="0.25">
      <c r="A202" s="9"/>
    </row>
    <row r="203" spans="1:1" ht="15.6" customHeight="1" x14ac:dyDescent="0.25">
      <c r="A203" s="9"/>
    </row>
    <row r="204" spans="1:1" ht="15.6" customHeight="1" x14ac:dyDescent="0.25">
      <c r="A204" s="9"/>
    </row>
    <row r="205" spans="1:1" ht="15.6" customHeight="1" x14ac:dyDescent="0.25">
      <c r="A205" s="9"/>
    </row>
    <row r="206" spans="1:1" ht="15.6" customHeight="1" x14ac:dyDescent="0.25">
      <c r="A206" s="9"/>
    </row>
    <row r="207" spans="1:1" ht="15.6" customHeight="1" x14ac:dyDescent="0.25">
      <c r="A207" s="9"/>
    </row>
    <row r="208" spans="1:1" ht="15.6" customHeight="1" x14ac:dyDescent="0.25">
      <c r="A208" s="9"/>
    </row>
    <row r="209" spans="1:1" ht="15.6" customHeight="1" x14ac:dyDescent="0.25">
      <c r="A209" s="9"/>
    </row>
    <row r="210" spans="1:1" ht="15.6" customHeight="1" x14ac:dyDescent="0.25">
      <c r="A210" s="9"/>
    </row>
    <row r="211" spans="1:1" ht="15.6" customHeight="1" x14ac:dyDescent="0.25">
      <c r="A211" s="9"/>
    </row>
  </sheetData>
  <sortState xmlns:xlrd2="http://schemas.microsoft.com/office/spreadsheetml/2017/richdata2" ref="D15:D176">
    <sortCondition ref="D1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F6BB5-2FDE-41C4-9EFE-DFF2053CFA36}">
  <sheetPr codeName="Blad5"/>
  <dimension ref="A1:K24"/>
  <sheetViews>
    <sheetView workbookViewId="0">
      <selection activeCell="D13" sqref="D13:E13"/>
    </sheetView>
  </sheetViews>
  <sheetFormatPr defaultRowHeight="15" x14ac:dyDescent="0.25"/>
  <cols>
    <col min="1" max="1" width="17.7109375" customWidth="1"/>
    <col min="2" max="2" width="27.5703125" customWidth="1"/>
    <col min="4" max="4" width="12.5703125" customWidth="1"/>
    <col min="5" max="5" width="20.140625" customWidth="1"/>
    <col min="7" max="7" width="15.85546875" customWidth="1"/>
    <col min="8" max="8" width="18.140625" customWidth="1"/>
  </cols>
  <sheetData>
    <row r="1" spans="1:11" x14ac:dyDescent="0.25">
      <c r="A1" s="13" t="s">
        <v>10</v>
      </c>
      <c r="B1" s="14" t="s">
        <v>157</v>
      </c>
      <c r="D1" s="9" t="s">
        <v>16</v>
      </c>
      <c r="E1" s="9" t="s">
        <v>168</v>
      </c>
      <c r="G1" s="9" t="s">
        <v>57</v>
      </c>
      <c r="H1" s="8" t="s">
        <v>101</v>
      </c>
      <c r="J1" s="9" t="s">
        <v>18</v>
      </c>
      <c r="K1" s="8" t="s">
        <v>121</v>
      </c>
    </row>
    <row r="2" spans="1:11" x14ac:dyDescent="0.25">
      <c r="A2" s="15" t="s">
        <v>10</v>
      </c>
      <c r="B2" s="14" t="s">
        <v>141</v>
      </c>
      <c r="D2" s="9" t="s">
        <v>16</v>
      </c>
      <c r="E2" s="8" t="s">
        <v>175</v>
      </c>
      <c r="G2" s="9" t="s">
        <v>57</v>
      </c>
      <c r="H2" s="8" t="s">
        <v>71</v>
      </c>
      <c r="J2" s="9"/>
      <c r="K2" s="9"/>
    </row>
    <row r="3" spans="1:11" x14ac:dyDescent="0.25">
      <c r="A3" s="9" t="s">
        <v>10</v>
      </c>
      <c r="B3" s="8" t="s">
        <v>283</v>
      </c>
      <c r="D3" s="9" t="s">
        <v>16</v>
      </c>
      <c r="E3" s="2" t="s">
        <v>15</v>
      </c>
      <c r="G3" s="9" t="s">
        <v>124</v>
      </c>
      <c r="H3" s="8" t="s">
        <v>11</v>
      </c>
      <c r="J3" s="9" t="s">
        <v>18</v>
      </c>
      <c r="K3" s="8" t="s">
        <v>154</v>
      </c>
    </row>
    <row r="4" spans="1:11" x14ac:dyDescent="0.25">
      <c r="A4" s="9" t="s">
        <v>10</v>
      </c>
      <c r="B4" s="8" t="s">
        <v>118</v>
      </c>
      <c r="D4" s="9" t="s">
        <v>16</v>
      </c>
      <c r="E4" s="9" t="s">
        <v>278</v>
      </c>
      <c r="G4" s="9" t="s">
        <v>42</v>
      </c>
      <c r="H4" s="8" t="s">
        <v>43</v>
      </c>
      <c r="J4" s="9" t="s">
        <v>18</v>
      </c>
      <c r="K4" s="8" t="s">
        <v>153</v>
      </c>
    </row>
    <row r="5" spans="1:11" x14ac:dyDescent="0.25">
      <c r="A5" s="9" t="s">
        <v>10</v>
      </c>
      <c r="B5" s="8" t="s">
        <v>173</v>
      </c>
      <c r="D5" s="9" t="s">
        <v>16</v>
      </c>
      <c r="E5" s="8" t="s">
        <v>37</v>
      </c>
      <c r="G5" s="9" t="s">
        <v>72</v>
      </c>
      <c r="H5" s="8" t="s">
        <v>79</v>
      </c>
      <c r="J5" s="9" t="s">
        <v>18</v>
      </c>
      <c r="K5" s="8" t="s">
        <v>35</v>
      </c>
    </row>
    <row r="6" spans="1:11" x14ac:dyDescent="0.25">
      <c r="A6" s="11" t="s">
        <v>161</v>
      </c>
      <c r="B6" s="8" t="s">
        <v>11</v>
      </c>
      <c r="D6" s="9" t="s">
        <v>16</v>
      </c>
      <c r="E6" s="8" t="s">
        <v>137</v>
      </c>
      <c r="G6" s="9" t="s">
        <v>72</v>
      </c>
      <c r="H6" s="9" t="s">
        <v>135</v>
      </c>
      <c r="J6" s="13" t="s">
        <v>18</v>
      </c>
      <c r="K6" s="13" t="s">
        <v>15</v>
      </c>
    </row>
    <row r="7" spans="1:11" x14ac:dyDescent="0.25">
      <c r="A7" s="11" t="s">
        <v>161</v>
      </c>
      <c r="B7" s="8" t="s">
        <v>163</v>
      </c>
      <c r="D7" s="9" t="s">
        <v>16</v>
      </c>
      <c r="E7" s="9" t="s">
        <v>172</v>
      </c>
      <c r="G7" s="9" t="s">
        <v>72</v>
      </c>
      <c r="H7" s="8" t="s">
        <v>73</v>
      </c>
      <c r="J7" s="9" t="s">
        <v>18</v>
      </c>
      <c r="K7" s="8" t="s">
        <v>120</v>
      </c>
    </row>
    <row r="8" spans="1:11" x14ac:dyDescent="0.25">
      <c r="A8" s="11" t="s">
        <v>161</v>
      </c>
      <c r="B8" s="8" t="s">
        <v>162</v>
      </c>
      <c r="D8" s="9" t="s">
        <v>16</v>
      </c>
      <c r="E8" s="9" t="s">
        <v>130</v>
      </c>
      <c r="G8" s="9" t="s">
        <v>48</v>
      </c>
      <c r="H8" s="8" t="s">
        <v>49</v>
      </c>
      <c r="J8" s="9" t="s">
        <v>18</v>
      </c>
      <c r="K8" s="2" t="s">
        <v>152</v>
      </c>
    </row>
    <row r="9" spans="1:11" x14ac:dyDescent="0.25">
      <c r="A9" s="9" t="s">
        <v>165</v>
      </c>
      <c r="B9" s="8" t="s">
        <v>123</v>
      </c>
      <c r="D9" s="9" t="s">
        <v>16</v>
      </c>
      <c r="E9" s="9" t="s">
        <v>45</v>
      </c>
      <c r="G9" s="9" t="s">
        <v>48</v>
      </c>
      <c r="H9" s="9" t="s">
        <v>166</v>
      </c>
      <c r="J9" s="9" t="s">
        <v>18</v>
      </c>
      <c r="K9" s="2" t="s">
        <v>87</v>
      </c>
    </row>
    <row r="10" spans="1:11" x14ac:dyDescent="0.25">
      <c r="A10" s="9" t="s">
        <v>165</v>
      </c>
      <c r="B10" s="8" t="s">
        <v>22</v>
      </c>
      <c r="D10" s="9" t="s">
        <v>16</v>
      </c>
      <c r="E10" s="9" t="s">
        <v>170</v>
      </c>
      <c r="G10" s="9" t="s">
        <v>48</v>
      </c>
      <c r="H10" s="8" t="s">
        <v>167</v>
      </c>
      <c r="J10" s="9" t="s">
        <v>18</v>
      </c>
      <c r="K10" s="8" t="s">
        <v>45</v>
      </c>
    </row>
    <row r="11" spans="1:11" x14ac:dyDescent="0.25">
      <c r="A11" s="9" t="s">
        <v>165</v>
      </c>
      <c r="B11" s="8" t="s">
        <v>97</v>
      </c>
      <c r="D11" s="9" t="s">
        <v>16</v>
      </c>
      <c r="E11" s="9" t="s">
        <v>171</v>
      </c>
      <c r="G11" s="15" t="s">
        <v>72</v>
      </c>
      <c r="H11" s="14" t="s">
        <v>223</v>
      </c>
      <c r="J11" s="9" t="s">
        <v>18</v>
      </c>
      <c r="K11" s="8" t="s">
        <v>24</v>
      </c>
    </row>
    <row r="12" spans="1:11" x14ac:dyDescent="0.25">
      <c r="A12" s="9" t="s">
        <v>165</v>
      </c>
      <c r="B12" s="8" t="s">
        <v>282</v>
      </c>
      <c r="D12" s="9" t="s">
        <v>16</v>
      </c>
      <c r="E12" s="8" t="s">
        <v>34</v>
      </c>
      <c r="G12" s="9" t="s">
        <v>48</v>
      </c>
      <c r="H12" s="8" t="s">
        <v>50</v>
      </c>
      <c r="J12" s="9" t="s">
        <v>18</v>
      </c>
      <c r="K12" s="8" t="s">
        <v>21</v>
      </c>
    </row>
    <row r="13" spans="1:11" x14ac:dyDescent="0.25">
      <c r="A13" s="9" t="s">
        <v>38</v>
      </c>
      <c r="B13" s="9" t="s">
        <v>39</v>
      </c>
      <c r="D13" s="9" t="s">
        <v>16</v>
      </c>
      <c r="E13" s="8" t="s">
        <v>83</v>
      </c>
      <c r="G13" s="9" t="s">
        <v>18</v>
      </c>
      <c r="H13" s="9" t="s">
        <v>164</v>
      </c>
      <c r="J13" s="9" t="s">
        <v>18</v>
      </c>
      <c r="K13" s="9" t="s">
        <v>131</v>
      </c>
    </row>
    <row r="14" spans="1:11" x14ac:dyDescent="0.25">
      <c r="A14" s="12" t="s">
        <v>38</v>
      </c>
      <c r="B14" s="8" t="s">
        <v>139</v>
      </c>
      <c r="D14" s="9"/>
      <c r="E14" s="9"/>
      <c r="G14" s="9"/>
      <c r="H14" s="8" t="s">
        <v>19</v>
      </c>
      <c r="J14" s="9" t="s">
        <v>18</v>
      </c>
      <c r="K14" s="8" t="s">
        <v>25</v>
      </c>
    </row>
    <row r="15" spans="1:11" x14ac:dyDescent="0.25">
      <c r="A15" s="9"/>
      <c r="B15" s="8"/>
      <c r="D15" s="9" t="s">
        <v>16</v>
      </c>
      <c r="E15" s="8" t="s">
        <v>125</v>
      </c>
      <c r="G15" s="9" t="s">
        <v>18</v>
      </c>
      <c r="H15" s="8" t="s">
        <v>138</v>
      </c>
      <c r="J15" s="9" t="s">
        <v>18</v>
      </c>
      <c r="K15" s="8" t="s">
        <v>61</v>
      </c>
    </row>
    <row r="16" spans="1:11" x14ac:dyDescent="0.25">
      <c r="A16" s="9" t="s">
        <v>16</v>
      </c>
      <c r="B16" s="8" t="s">
        <v>47</v>
      </c>
      <c r="D16" s="9" t="s">
        <v>16</v>
      </c>
      <c r="E16" s="8" t="s">
        <v>127</v>
      </c>
      <c r="G16" s="9" t="s">
        <v>18</v>
      </c>
      <c r="H16" s="9" t="s">
        <v>169</v>
      </c>
      <c r="J16" s="9" t="s">
        <v>54</v>
      </c>
      <c r="K16" s="8" t="s">
        <v>126</v>
      </c>
    </row>
    <row r="17" spans="1:11" x14ac:dyDescent="0.25">
      <c r="A17" s="9" t="s">
        <v>27</v>
      </c>
      <c r="B17" s="8" t="s">
        <v>136</v>
      </c>
      <c r="D17" s="9" t="s">
        <v>6</v>
      </c>
      <c r="E17" s="8" t="s">
        <v>7</v>
      </c>
      <c r="G17" s="9" t="s">
        <v>18</v>
      </c>
      <c r="H17" s="9" t="s">
        <v>27</v>
      </c>
      <c r="J17" s="9" t="s">
        <v>54</v>
      </c>
      <c r="K17" s="8" t="s">
        <v>55</v>
      </c>
    </row>
    <row r="18" spans="1:11" x14ac:dyDescent="0.25">
      <c r="A18" s="9" t="s">
        <v>16</v>
      </c>
      <c r="B18" s="8" t="s">
        <v>27</v>
      </c>
      <c r="D18" s="9" t="s">
        <v>57</v>
      </c>
      <c r="E18" s="8" t="s">
        <v>64</v>
      </c>
      <c r="G18" s="9" t="s">
        <v>18</v>
      </c>
      <c r="H18" s="9" t="s">
        <v>129</v>
      </c>
      <c r="J18" s="9" t="s">
        <v>74</v>
      </c>
      <c r="K18" s="8" t="s">
        <v>90</v>
      </c>
    </row>
    <row r="19" spans="1:11" x14ac:dyDescent="0.25">
      <c r="A19" s="9" t="s">
        <v>16</v>
      </c>
      <c r="B19" s="8" t="s">
        <v>122</v>
      </c>
      <c r="D19" s="9" t="s">
        <v>57</v>
      </c>
      <c r="E19" s="8" t="s">
        <v>59</v>
      </c>
      <c r="G19" s="9" t="s">
        <v>18</v>
      </c>
      <c r="H19" s="9" t="s">
        <v>174</v>
      </c>
      <c r="J19" s="9" t="s">
        <v>74</v>
      </c>
      <c r="K19" s="8" t="s">
        <v>75</v>
      </c>
    </row>
    <row r="20" spans="1:11" x14ac:dyDescent="0.25">
      <c r="A20" s="9" t="s">
        <v>27</v>
      </c>
      <c r="B20" s="9" t="s">
        <v>134</v>
      </c>
      <c r="D20" s="9" t="s">
        <v>57</v>
      </c>
      <c r="E20" s="8" t="s">
        <v>58</v>
      </c>
      <c r="G20" s="9" t="s">
        <v>18</v>
      </c>
      <c r="H20" s="8" t="s">
        <v>119</v>
      </c>
      <c r="J20" s="9"/>
      <c r="K20" s="8"/>
    </row>
    <row r="21" spans="1:11" x14ac:dyDescent="0.25">
      <c r="A21" s="4" t="s">
        <v>16</v>
      </c>
      <c r="B21" s="4" t="s">
        <v>209</v>
      </c>
      <c r="D21" s="9" t="s">
        <v>57</v>
      </c>
      <c r="E21" s="8" t="s">
        <v>233</v>
      </c>
      <c r="G21" s="9" t="s">
        <v>18</v>
      </c>
      <c r="H21" s="9" t="s">
        <v>221</v>
      </c>
      <c r="J21" s="9" t="s">
        <v>16</v>
      </c>
      <c r="K21" s="8" t="s">
        <v>196</v>
      </c>
    </row>
    <row r="22" spans="1:11" x14ac:dyDescent="0.25">
      <c r="A22" s="9" t="s">
        <v>16</v>
      </c>
      <c r="B22" s="8" t="s">
        <v>239</v>
      </c>
      <c r="D22" s="9" t="s">
        <v>210</v>
      </c>
      <c r="E22" s="9" t="s">
        <v>65</v>
      </c>
      <c r="J22" s="13" t="s">
        <v>18</v>
      </c>
      <c r="K22" s="13" t="s">
        <v>207</v>
      </c>
    </row>
    <row r="23" spans="1:11" x14ac:dyDescent="0.25">
      <c r="D23" s="9" t="s">
        <v>279</v>
      </c>
      <c r="E23" s="8" t="s">
        <v>280</v>
      </c>
      <c r="J23" s="9" t="s">
        <v>42</v>
      </c>
      <c r="K23" s="4" t="s">
        <v>208</v>
      </c>
    </row>
    <row r="24" spans="1:11" x14ac:dyDescent="0.25">
      <c r="D24" s="9" t="s">
        <v>57</v>
      </c>
      <c r="E24" s="8" t="s">
        <v>287</v>
      </c>
      <c r="J24" s="9" t="s">
        <v>18</v>
      </c>
      <c r="K24" s="9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597B3-E595-4243-83F2-DDDAE01BF29A}">
  <dimension ref="A1:S7"/>
  <sheetViews>
    <sheetView workbookViewId="0">
      <selection activeCell="E11" sqref="E11"/>
    </sheetView>
  </sheetViews>
  <sheetFormatPr defaultRowHeight="15" x14ac:dyDescent="0.25"/>
  <sheetData>
    <row r="1" spans="1:19" x14ac:dyDescent="0.25">
      <c r="A1" t="s">
        <v>1</v>
      </c>
      <c r="B1" t="s">
        <v>240</v>
      </c>
      <c r="C1" t="s">
        <v>241</v>
      </c>
      <c r="D1" t="s">
        <v>306</v>
      </c>
      <c r="E1" t="s">
        <v>294</v>
      </c>
      <c r="F1" t="s">
        <v>295</v>
      </c>
      <c r="G1" t="s">
        <v>303</v>
      </c>
      <c r="H1" t="s">
        <v>304</v>
      </c>
      <c r="K1" t="s">
        <v>176</v>
      </c>
      <c r="L1" t="s">
        <v>305</v>
      </c>
      <c r="N1" t="s">
        <v>241</v>
      </c>
      <c r="O1" t="s">
        <v>306</v>
      </c>
      <c r="P1" t="s">
        <v>294</v>
      </c>
      <c r="R1" t="s">
        <v>303</v>
      </c>
      <c r="S1" t="s">
        <v>304</v>
      </c>
    </row>
    <row r="2" spans="1:19" x14ac:dyDescent="0.25">
      <c r="A2">
        <v>2017</v>
      </c>
      <c r="B2">
        <v>8302.81</v>
      </c>
      <c r="C2">
        <v>-3887.45</v>
      </c>
      <c r="D2">
        <v>-2543.5299999999902</v>
      </c>
      <c r="E2">
        <v>-1987.14</v>
      </c>
      <c r="F2">
        <v>-1814.11</v>
      </c>
      <c r="G2">
        <v>-10232.23</v>
      </c>
      <c r="H2">
        <v>-1929.42</v>
      </c>
      <c r="J2">
        <v>2017</v>
      </c>
      <c r="K2">
        <v>245</v>
      </c>
      <c r="L2">
        <v>120</v>
      </c>
      <c r="N2">
        <f t="shared" ref="N2:N7" si="0">+C2/K2</f>
        <v>-15.867142857142856</v>
      </c>
      <c r="O2">
        <f t="shared" ref="O2:O7" si="1">+D2/(K2+L2)</f>
        <v>-6.9685753424657264</v>
      </c>
      <c r="P2">
        <f t="shared" ref="P2:P7" si="2">+(E2+F2)/L2</f>
        <v>-31.677083333333332</v>
      </c>
      <c r="R2">
        <f t="shared" ref="R2:R7" si="3">+G2/(K2+L2)</f>
        <v>-28.033506849315067</v>
      </c>
    </row>
    <row r="3" spans="1:19" x14ac:dyDescent="0.25">
      <c r="A3">
        <v>2018</v>
      </c>
      <c r="B3">
        <v>10048.65</v>
      </c>
      <c r="C3">
        <v>-3996.46</v>
      </c>
      <c r="D3">
        <v>-2507.9499999999998</v>
      </c>
      <c r="E3">
        <v>-2467.7199999999998</v>
      </c>
      <c r="F3">
        <v>-1791.61</v>
      </c>
      <c r="G3">
        <v>-10763.74</v>
      </c>
      <c r="H3">
        <v>-715.09000000000106</v>
      </c>
      <c r="J3">
        <v>2018</v>
      </c>
      <c r="K3">
        <v>245</v>
      </c>
      <c r="L3">
        <v>120</v>
      </c>
      <c r="N3">
        <f t="shared" si="0"/>
        <v>-16.312081632653062</v>
      </c>
      <c r="O3">
        <f t="shared" si="1"/>
        <v>-6.8710958904109587</v>
      </c>
      <c r="P3">
        <f t="shared" si="2"/>
        <v>-35.494416666666666</v>
      </c>
      <c r="R3">
        <f t="shared" si="3"/>
        <v>-29.489698630136985</v>
      </c>
    </row>
    <row r="4" spans="1:19" x14ac:dyDescent="0.25">
      <c r="A4">
        <v>2019</v>
      </c>
      <c r="B4">
        <v>9606.2199999999993</v>
      </c>
      <c r="C4">
        <v>-3918.16</v>
      </c>
      <c r="D4">
        <v>-1462.99</v>
      </c>
      <c r="E4">
        <v>-1225.04</v>
      </c>
      <c r="F4">
        <v>-1133.07</v>
      </c>
      <c r="G4">
        <v>-7739.2599999999902</v>
      </c>
      <c r="H4">
        <v>1866.96</v>
      </c>
      <c r="J4">
        <v>2019</v>
      </c>
      <c r="K4">
        <v>222</v>
      </c>
      <c r="L4">
        <v>143</v>
      </c>
      <c r="N4">
        <f t="shared" si="0"/>
        <v>-17.649369369369367</v>
      </c>
      <c r="O4">
        <f t="shared" si="1"/>
        <v>-4.0081917808219174</v>
      </c>
      <c r="P4">
        <f t="shared" si="2"/>
        <v>-16.49027972027972</v>
      </c>
      <c r="R4">
        <f t="shared" si="3"/>
        <v>-21.203452054794493</v>
      </c>
    </row>
    <row r="5" spans="1:19" x14ac:dyDescent="0.25">
      <c r="A5">
        <v>2020</v>
      </c>
      <c r="B5">
        <v>4380.68</v>
      </c>
      <c r="C5">
        <v>-2173.9299999999998</v>
      </c>
      <c r="D5">
        <v>-1169.1399999999901</v>
      </c>
      <c r="E5">
        <v>-3378.0485714285701</v>
      </c>
      <c r="F5">
        <v>-2182.15</v>
      </c>
      <c r="G5">
        <v>-8903.2685714285708</v>
      </c>
      <c r="H5">
        <v>-4522.5885714285696</v>
      </c>
      <c r="J5">
        <v>2020</v>
      </c>
      <c r="K5">
        <v>184</v>
      </c>
      <c r="L5">
        <v>181</v>
      </c>
      <c r="N5">
        <f t="shared" si="0"/>
        <v>-11.814836956521738</v>
      </c>
      <c r="O5">
        <f t="shared" si="1"/>
        <v>-3.2031232876712057</v>
      </c>
      <c r="P5">
        <f t="shared" si="2"/>
        <v>-30.719329123914754</v>
      </c>
      <c r="R5">
        <f t="shared" si="3"/>
        <v>-24.392516634050878</v>
      </c>
    </row>
    <row r="6" spans="1:19" x14ac:dyDescent="0.25">
      <c r="A6">
        <v>2021</v>
      </c>
      <c r="B6">
        <v>10247.619999999901</v>
      </c>
      <c r="C6">
        <v>-2397.7799999999902</v>
      </c>
      <c r="D6">
        <v>-971.04</v>
      </c>
      <c r="E6">
        <v>-863.72777777777696</v>
      </c>
      <c r="F6">
        <v>-542.55999999999995</v>
      </c>
      <c r="G6">
        <v>-4775.10777777777</v>
      </c>
      <c r="H6">
        <v>5472.5122222222199</v>
      </c>
      <c r="J6">
        <v>2021</v>
      </c>
      <c r="K6">
        <v>318</v>
      </c>
      <c r="L6">
        <v>47</v>
      </c>
      <c r="N6">
        <f t="shared" si="0"/>
        <v>-7.5401886792452526</v>
      </c>
      <c r="O6">
        <f t="shared" si="1"/>
        <v>-2.6603835616438354</v>
      </c>
      <c r="P6">
        <f t="shared" si="2"/>
        <v>-29.921016548463339</v>
      </c>
      <c r="R6">
        <f t="shared" si="3"/>
        <v>-13.08248706240485</v>
      </c>
    </row>
    <row r="7" spans="1:19" x14ac:dyDescent="0.25">
      <c r="A7">
        <v>2022</v>
      </c>
      <c r="B7">
        <v>5300.61333333333</v>
      </c>
      <c r="C7">
        <v>-1743.8188888888801</v>
      </c>
      <c r="D7">
        <v>-606.22</v>
      </c>
      <c r="E7">
        <v>-2525.8444444444399</v>
      </c>
      <c r="F7">
        <v>-836.29</v>
      </c>
      <c r="G7">
        <v>-5712.1733333333304</v>
      </c>
      <c r="H7">
        <v>-411.55999999999898</v>
      </c>
      <c r="J7">
        <v>2022</v>
      </c>
      <c r="K7">
        <v>104</v>
      </c>
      <c r="L7">
        <v>140</v>
      </c>
      <c r="N7">
        <f t="shared" si="0"/>
        <v>-16.767489316239232</v>
      </c>
      <c r="O7">
        <f t="shared" si="1"/>
        <v>-2.4845081967213116</v>
      </c>
      <c r="P7">
        <f t="shared" si="2"/>
        <v>-24.015246031745999</v>
      </c>
      <c r="R7">
        <f t="shared" si="3"/>
        <v>-23.41054644808742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A0DE7-DE18-47A0-8FFF-3DD097C56B26}">
  <sheetPr codeName="Blad2"/>
  <dimension ref="A4:H16"/>
  <sheetViews>
    <sheetView workbookViewId="0">
      <selection sqref="A1:F16"/>
    </sheetView>
  </sheetViews>
  <sheetFormatPr defaultRowHeight="15" x14ac:dyDescent="0.25"/>
  <cols>
    <col min="1" max="1" width="14.42578125" customWidth="1"/>
    <col min="4" max="4" width="12.42578125" customWidth="1"/>
  </cols>
  <sheetData>
    <row r="4" spans="1:8" x14ac:dyDescent="0.25">
      <c r="H4" t="s">
        <v>150</v>
      </c>
    </row>
    <row r="5" spans="1:8" x14ac:dyDescent="0.25">
      <c r="B5">
        <v>2017</v>
      </c>
      <c r="C5">
        <v>2018</v>
      </c>
      <c r="D5">
        <v>2019</v>
      </c>
      <c r="E5">
        <v>2020</v>
      </c>
    </row>
    <row r="6" spans="1:8" x14ac:dyDescent="0.25">
      <c r="A6" t="s">
        <v>10</v>
      </c>
      <c r="B6">
        <v>-1987.14</v>
      </c>
      <c r="C6">
        <v>-1963.7199999999998</v>
      </c>
      <c r="D6">
        <v>-2351.34</v>
      </c>
      <c r="E6">
        <v>-2881.833264447916</v>
      </c>
      <c r="H6">
        <v>-9184.0332644479149</v>
      </c>
    </row>
    <row r="7" spans="1:8" x14ac:dyDescent="0.25">
      <c r="A7" t="s">
        <v>38</v>
      </c>
      <c r="B7">
        <v>-855.54</v>
      </c>
      <c r="C7">
        <v>-823.6</v>
      </c>
      <c r="D7">
        <v>-1038.3899999999999</v>
      </c>
      <c r="E7">
        <v>-234.88</v>
      </c>
      <c r="H7">
        <v>-2952.4100000000012</v>
      </c>
    </row>
    <row r="8" spans="1:8" x14ac:dyDescent="0.25">
      <c r="A8" t="s">
        <v>16</v>
      </c>
      <c r="B8">
        <v>-686.26</v>
      </c>
      <c r="C8">
        <v>-842.94999999999993</v>
      </c>
      <c r="D8">
        <v>-858.37000000000023</v>
      </c>
      <c r="E8">
        <v>-34.880000000000024</v>
      </c>
      <c r="H8">
        <v>-2422.4600000000014</v>
      </c>
    </row>
    <row r="9" spans="1:8" x14ac:dyDescent="0.25">
      <c r="A9" t="s">
        <v>57</v>
      </c>
      <c r="B9">
        <v>-563.4</v>
      </c>
      <c r="C9">
        <v>-292.45000000000005</v>
      </c>
      <c r="D9">
        <v>-304.20999999999998</v>
      </c>
      <c r="E9">
        <v>-44.470000000000006</v>
      </c>
      <c r="H9">
        <v>-1204.53</v>
      </c>
    </row>
    <row r="10" spans="1:8" x14ac:dyDescent="0.25">
      <c r="A10" t="s">
        <v>124</v>
      </c>
      <c r="B10">
        <v>11.340000000000003</v>
      </c>
      <c r="C10">
        <v>0</v>
      </c>
      <c r="D10">
        <v>-204.64</v>
      </c>
      <c r="H10">
        <v>-193.29999999999995</v>
      </c>
    </row>
    <row r="11" spans="1:8" x14ac:dyDescent="0.25">
      <c r="A11" t="s">
        <v>42</v>
      </c>
      <c r="B11">
        <v>-322.45</v>
      </c>
      <c r="C11">
        <v>-182.19</v>
      </c>
      <c r="D11">
        <v>-360.01</v>
      </c>
      <c r="E11">
        <v>-117</v>
      </c>
      <c r="H11">
        <v>-981.65000000000009</v>
      </c>
    </row>
    <row r="12" spans="1:8" x14ac:dyDescent="0.25">
      <c r="A12" t="s">
        <v>48</v>
      </c>
      <c r="B12">
        <v>-1355.44</v>
      </c>
      <c r="C12">
        <v>-1188.27</v>
      </c>
      <c r="D12">
        <v>-778.75000000000011</v>
      </c>
      <c r="E12">
        <v>-122.89999999999999</v>
      </c>
      <c r="H12">
        <v>-3445.3599999999988</v>
      </c>
    </row>
    <row r="13" spans="1:8" x14ac:dyDescent="0.25">
      <c r="A13" t="s">
        <v>18</v>
      </c>
      <c r="B13">
        <v>-2446.6599999999994</v>
      </c>
      <c r="C13">
        <v>-2413.0500000000002</v>
      </c>
      <c r="D13">
        <v>-1509.54</v>
      </c>
      <c r="E13">
        <v>-599.28</v>
      </c>
      <c r="H13">
        <v>-6968.5300000000007</v>
      </c>
    </row>
    <row r="14" spans="1:8" x14ac:dyDescent="0.25">
      <c r="A14" t="s">
        <v>54</v>
      </c>
      <c r="B14">
        <v>-55</v>
      </c>
      <c r="C14">
        <v>-93.55</v>
      </c>
      <c r="D14">
        <v>-50</v>
      </c>
      <c r="H14">
        <v>-198.55</v>
      </c>
    </row>
    <row r="15" spans="1:8" x14ac:dyDescent="0.25">
      <c r="A15" t="s">
        <v>74</v>
      </c>
      <c r="B15">
        <v>-157.57</v>
      </c>
      <c r="C15">
        <v>-101.30000000000003</v>
      </c>
      <c r="D15">
        <v>-26.629999999999981</v>
      </c>
      <c r="E15">
        <v>-236</v>
      </c>
      <c r="H15">
        <v>-521.5</v>
      </c>
    </row>
    <row r="16" spans="1:8" x14ac:dyDescent="0.25">
      <c r="A16" t="s">
        <v>150</v>
      </c>
      <c r="B16">
        <v>-1270.4199999999976</v>
      </c>
      <c r="C16">
        <v>-1058.3199999999988</v>
      </c>
      <c r="D16">
        <v>2781.1600000000008</v>
      </c>
      <c r="E16">
        <v>-5343.4932644479159</v>
      </c>
      <c r="H16">
        <v>-4891.0732644479149</v>
      </c>
    </row>
  </sheetData>
  <sortState xmlns:xlrd2="http://schemas.microsoft.com/office/spreadsheetml/2017/richdata2" ref="A1:F16">
    <sortCondition ref="F1:F20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D216-ED86-40B0-A297-4CE2DF9E462A}">
  <sheetPr codeName="Sheet2"/>
  <dimension ref="A3:L35"/>
  <sheetViews>
    <sheetView topLeftCell="A13" workbookViewId="0">
      <selection activeCell="F20" sqref="F20:H20"/>
    </sheetView>
  </sheetViews>
  <sheetFormatPr defaultRowHeight="15" x14ac:dyDescent="0.25"/>
  <cols>
    <col min="3" max="3" width="14.5703125" customWidth="1"/>
    <col min="4" max="4" width="9.140625" bestFit="1" customWidth="1"/>
  </cols>
  <sheetData>
    <row r="3" spans="1:12" ht="15.75" thickBot="1" x14ac:dyDescent="0.3"/>
    <row r="4" spans="1:12" ht="27" thickBot="1" x14ac:dyDescent="0.3">
      <c r="A4" s="25"/>
      <c r="B4" s="45"/>
      <c r="C4" s="28"/>
      <c r="D4" s="28"/>
      <c r="E4" s="32" t="s">
        <v>268</v>
      </c>
      <c r="F4" s="37" t="s">
        <v>269</v>
      </c>
      <c r="G4" s="37" t="s">
        <v>270</v>
      </c>
      <c r="H4" s="37" t="s">
        <v>271</v>
      </c>
    </row>
    <row r="5" spans="1:12" ht="27" thickBot="1" x14ac:dyDescent="0.3">
      <c r="A5" s="26" t="s">
        <v>277</v>
      </c>
      <c r="B5" s="46"/>
      <c r="C5" s="29" t="s">
        <v>256</v>
      </c>
      <c r="D5" s="41">
        <v>42735</v>
      </c>
      <c r="E5" s="33">
        <v>30</v>
      </c>
      <c r="F5" s="39">
        <v>189.3</v>
      </c>
      <c r="G5" s="39">
        <v>157.19999999999999</v>
      </c>
      <c r="H5" s="39">
        <v>238.8</v>
      </c>
    </row>
    <row r="6" spans="1:12" ht="27" thickBot="1" x14ac:dyDescent="0.3">
      <c r="A6" s="26" t="s">
        <v>276</v>
      </c>
      <c r="B6" s="46"/>
      <c r="C6" s="29"/>
      <c r="D6" s="41">
        <v>42766</v>
      </c>
      <c r="E6" s="49">
        <v>30</v>
      </c>
      <c r="F6" s="50">
        <v>189.3</v>
      </c>
      <c r="G6" s="50">
        <v>157.19999999999999</v>
      </c>
      <c r="H6" s="50">
        <v>238.8</v>
      </c>
    </row>
    <row r="7" spans="1:12" ht="15.75" thickBot="1" x14ac:dyDescent="0.3">
      <c r="A7" s="26" t="s">
        <v>245</v>
      </c>
      <c r="B7" s="46"/>
      <c r="C7" s="29" t="s">
        <v>257</v>
      </c>
      <c r="D7" s="41">
        <v>42794</v>
      </c>
      <c r="E7" s="49">
        <v>30</v>
      </c>
      <c r="F7" s="50">
        <v>242.1</v>
      </c>
      <c r="G7" s="50">
        <v>246.6</v>
      </c>
      <c r="H7" s="50">
        <v>323.10000000000002</v>
      </c>
    </row>
    <row r="8" spans="1:12" ht="27" thickBot="1" x14ac:dyDescent="0.3">
      <c r="A8" s="26" t="s">
        <v>246</v>
      </c>
      <c r="B8" s="46"/>
      <c r="C8" s="30" t="s">
        <v>258</v>
      </c>
      <c r="D8" s="42">
        <v>43069</v>
      </c>
      <c r="E8" s="51">
        <v>45</v>
      </c>
      <c r="F8" s="50">
        <v>105.42666666666666</v>
      </c>
      <c r="G8" s="50">
        <v>156.4</v>
      </c>
      <c r="H8" s="50">
        <v>125.48</v>
      </c>
    </row>
    <row r="9" spans="1:12" ht="27" thickBot="1" x14ac:dyDescent="0.3">
      <c r="A9" s="26" t="s">
        <v>246</v>
      </c>
      <c r="B9" s="46"/>
      <c r="C9" s="30"/>
      <c r="D9" s="42">
        <v>43084</v>
      </c>
      <c r="E9" s="51"/>
      <c r="F9" s="50">
        <v>52.713333333333324</v>
      </c>
      <c r="G9" s="50">
        <v>78.199999999999989</v>
      </c>
      <c r="H9" s="50">
        <v>62.739999999999995</v>
      </c>
    </row>
    <row r="10" spans="1:12" ht="27" thickBot="1" x14ac:dyDescent="0.3">
      <c r="A10" s="26" t="s">
        <v>247</v>
      </c>
      <c r="B10" s="46"/>
      <c r="C10" s="30" t="s">
        <v>259</v>
      </c>
      <c r="D10" s="42">
        <v>43100</v>
      </c>
      <c r="E10" s="51">
        <v>45</v>
      </c>
      <c r="F10" s="50">
        <v>120.25</v>
      </c>
      <c r="G10" s="52">
        <v>68.579499999999996</v>
      </c>
      <c r="H10" s="50">
        <v>59.106666666666662</v>
      </c>
    </row>
    <row r="11" spans="1:12" ht="27" thickBot="1" x14ac:dyDescent="0.3">
      <c r="A11" s="26" t="s">
        <v>275</v>
      </c>
      <c r="B11" s="46"/>
      <c r="C11" s="30"/>
      <c r="D11" s="42">
        <v>43131</v>
      </c>
      <c r="E11" s="34"/>
      <c r="F11" s="39">
        <v>240.5</v>
      </c>
      <c r="G11" s="35">
        <v>137.15899999999999</v>
      </c>
      <c r="H11" s="39">
        <v>118.21333333333332</v>
      </c>
    </row>
    <row r="12" spans="1:12" ht="39.75" thickBot="1" x14ac:dyDescent="0.3">
      <c r="A12" s="26" t="s">
        <v>248</v>
      </c>
      <c r="B12" s="46"/>
      <c r="C12" s="30" t="s">
        <v>260</v>
      </c>
      <c r="D12" s="42">
        <v>43144</v>
      </c>
      <c r="E12" s="34">
        <v>13</v>
      </c>
      <c r="F12" s="39">
        <v>76.319999999999993</v>
      </c>
      <c r="G12" s="35">
        <v>73.961766670000003</v>
      </c>
      <c r="H12" s="39">
        <v>61.62</v>
      </c>
    </row>
    <row r="13" spans="1:12" ht="39.75" thickBot="1" x14ac:dyDescent="0.3">
      <c r="A13" s="26" t="s">
        <v>249</v>
      </c>
      <c r="B13" s="46"/>
      <c r="C13" s="30" t="s">
        <v>260</v>
      </c>
      <c r="D13" s="42">
        <v>43149</v>
      </c>
      <c r="E13" s="34">
        <v>5</v>
      </c>
      <c r="F13" s="39">
        <v>31.04</v>
      </c>
      <c r="G13" s="39">
        <v>21.1</v>
      </c>
      <c r="H13" s="39">
        <v>27.52</v>
      </c>
    </row>
    <row r="14" spans="1:12" ht="39.75" thickBot="1" x14ac:dyDescent="0.3">
      <c r="A14" s="26" t="s">
        <v>250</v>
      </c>
      <c r="B14" s="46"/>
      <c r="C14" s="30" t="s">
        <v>261</v>
      </c>
      <c r="D14" s="42">
        <v>43434</v>
      </c>
      <c r="E14" s="34">
        <v>27</v>
      </c>
      <c r="F14" s="39">
        <v>133.25</v>
      </c>
      <c r="G14" s="35">
        <v>130.82499999999999</v>
      </c>
      <c r="H14" s="39">
        <v>158.53</v>
      </c>
    </row>
    <row r="15" spans="1:12" ht="27" thickBot="1" x14ac:dyDescent="0.3">
      <c r="A15" s="26" t="s">
        <v>251</v>
      </c>
      <c r="B15" s="46"/>
      <c r="C15" s="30" t="s">
        <v>262</v>
      </c>
      <c r="D15" s="42">
        <v>43465</v>
      </c>
      <c r="E15" s="34">
        <v>67</v>
      </c>
      <c r="F15" s="39">
        <v>274.9376119402985</v>
      </c>
      <c r="G15" s="35">
        <v>166.90713608955224</v>
      </c>
      <c r="H15" s="39">
        <v>137.15880597014925</v>
      </c>
      <c r="J15" s="38"/>
      <c r="K15" s="38"/>
      <c r="L15" s="38"/>
    </row>
    <row r="16" spans="1:12" ht="27" thickBot="1" x14ac:dyDescent="0.3">
      <c r="A16" s="26" t="s">
        <v>251</v>
      </c>
      <c r="B16" s="46"/>
      <c r="C16" s="30"/>
      <c r="D16" s="42">
        <v>43496</v>
      </c>
      <c r="E16" s="34"/>
      <c r="F16" s="53">
        <v>274.9376119402985</v>
      </c>
      <c r="G16" s="54">
        <v>166.90713608955224</v>
      </c>
      <c r="H16" s="53">
        <v>137.15880597014925</v>
      </c>
      <c r="J16" s="38"/>
      <c r="K16" s="38"/>
      <c r="L16" s="38"/>
    </row>
    <row r="17" spans="1:12" ht="27" thickBot="1" x14ac:dyDescent="0.3">
      <c r="A17" s="26" t="s">
        <v>251</v>
      </c>
      <c r="B17" s="46"/>
      <c r="C17" s="30"/>
      <c r="D17" s="42">
        <v>43501</v>
      </c>
      <c r="E17" s="34"/>
      <c r="F17" s="53">
        <v>44.344776119402987</v>
      </c>
      <c r="G17" s="54">
        <v>26.920505820895521</v>
      </c>
      <c r="H17" s="53">
        <v>22.122388059701489</v>
      </c>
      <c r="J17" s="38"/>
      <c r="K17" s="38"/>
      <c r="L17" s="38"/>
    </row>
    <row r="18" spans="1:12" ht="39.75" thickBot="1" x14ac:dyDescent="0.3">
      <c r="A18" s="26" t="s">
        <v>252</v>
      </c>
      <c r="B18" s="46"/>
      <c r="C18" s="30" t="s">
        <v>263</v>
      </c>
      <c r="D18" s="42">
        <v>43524</v>
      </c>
      <c r="E18" s="34">
        <v>23</v>
      </c>
      <c r="F18" s="53">
        <v>127.68</v>
      </c>
      <c r="G18" s="54">
        <v>164.4634203</v>
      </c>
      <c r="H18" s="53">
        <v>84.16</v>
      </c>
    </row>
    <row r="19" spans="1:12" ht="27" thickBot="1" x14ac:dyDescent="0.3">
      <c r="A19" s="26" t="s">
        <v>253</v>
      </c>
      <c r="B19" s="46"/>
      <c r="C19" s="30" t="s">
        <v>264</v>
      </c>
      <c r="D19" s="42">
        <v>43799</v>
      </c>
      <c r="E19" s="34">
        <v>27</v>
      </c>
      <c r="F19" s="53">
        <v>192.76</v>
      </c>
      <c r="G19" s="54">
        <v>149.31800000000001</v>
      </c>
      <c r="H19" s="53">
        <v>171.86</v>
      </c>
    </row>
    <row r="20" spans="1:12" ht="27" thickBot="1" x14ac:dyDescent="0.3">
      <c r="A20" s="26" t="s">
        <v>251</v>
      </c>
      <c r="B20" s="46"/>
      <c r="C20" s="30" t="s">
        <v>265</v>
      </c>
      <c r="D20" s="42">
        <v>43830</v>
      </c>
      <c r="E20" s="34">
        <v>69</v>
      </c>
      <c r="F20" s="53">
        <v>347.97</v>
      </c>
      <c r="G20" s="53">
        <v>197.64</v>
      </c>
      <c r="H20" s="53">
        <v>134.715</v>
      </c>
    </row>
    <row r="21" spans="1:12" ht="15.75" thickBot="1" x14ac:dyDescent="0.3">
      <c r="A21" s="26"/>
      <c r="B21" s="46"/>
      <c r="C21" s="30"/>
      <c r="D21" s="42">
        <v>43861</v>
      </c>
      <c r="E21" s="34"/>
      <c r="F21" s="39">
        <v>347.97</v>
      </c>
      <c r="G21" s="39">
        <v>197.64</v>
      </c>
      <c r="H21" s="39">
        <v>134.715</v>
      </c>
    </row>
    <row r="22" spans="1:12" ht="15.75" thickBot="1" x14ac:dyDescent="0.3">
      <c r="A22" s="27" t="s">
        <v>254</v>
      </c>
      <c r="B22" s="47"/>
      <c r="C22" s="30" t="s">
        <v>266</v>
      </c>
      <c r="D22" s="42">
        <v>43889</v>
      </c>
      <c r="E22" s="35">
        <v>26</v>
      </c>
      <c r="F22" s="39">
        <v>112.44</v>
      </c>
      <c r="G22" s="35">
        <v>215.42929290000001</v>
      </c>
      <c r="H22" s="39">
        <v>162.66</v>
      </c>
    </row>
    <row r="23" spans="1:12" ht="39.75" thickBot="1" x14ac:dyDescent="0.3">
      <c r="A23" s="26" t="s">
        <v>255</v>
      </c>
      <c r="B23" s="48"/>
      <c r="C23" s="31" t="s">
        <v>267</v>
      </c>
      <c r="D23" s="43">
        <v>43921</v>
      </c>
      <c r="E23" s="36">
        <v>106</v>
      </c>
      <c r="F23" s="39">
        <v>133.52500000000001</v>
      </c>
      <c r="G23" s="39">
        <v>151.59</v>
      </c>
      <c r="H23" s="39">
        <v>145.12</v>
      </c>
    </row>
    <row r="24" spans="1:12" ht="15.75" thickBot="1" x14ac:dyDescent="0.3">
      <c r="D24" s="1">
        <v>43951</v>
      </c>
      <c r="F24" s="39">
        <v>133.52500000000001</v>
      </c>
      <c r="G24" s="39">
        <v>151.59</v>
      </c>
      <c r="H24" s="39">
        <v>145.12</v>
      </c>
    </row>
    <row r="25" spans="1:12" ht="15.75" thickBot="1" x14ac:dyDescent="0.3">
      <c r="D25" s="1">
        <v>43982</v>
      </c>
      <c r="F25" s="39">
        <v>133.52500000000001</v>
      </c>
      <c r="G25" s="39">
        <v>151.59</v>
      </c>
      <c r="H25" s="39">
        <v>145.12</v>
      </c>
    </row>
    <row r="26" spans="1:12" ht="15.75" thickBot="1" x14ac:dyDescent="0.3">
      <c r="D26" s="1">
        <v>44012</v>
      </c>
      <c r="F26" s="39">
        <v>133.52500000000001</v>
      </c>
      <c r="G26" s="39">
        <v>151.59</v>
      </c>
      <c r="H26" s="39">
        <v>145.12</v>
      </c>
    </row>
    <row r="27" spans="1:12" x14ac:dyDescent="0.25">
      <c r="F27" s="40"/>
      <c r="H27" s="40"/>
    </row>
    <row r="29" spans="1:12" x14ac:dyDescent="0.25">
      <c r="F29" s="40"/>
      <c r="H29" s="40"/>
    </row>
    <row r="31" spans="1:12" x14ac:dyDescent="0.25">
      <c r="F31" s="40"/>
      <c r="G31" s="40"/>
      <c r="H31" s="40"/>
    </row>
    <row r="33" spans="6:8" x14ac:dyDescent="0.25">
      <c r="F33" s="40"/>
      <c r="H33" s="40"/>
    </row>
    <row r="35" spans="6:8" x14ac:dyDescent="0.25">
      <c r="F35" s="40"/>
      <c r="G35" s="40"/>
      <c r="H35" s="4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6802-B165-4C70-A40C-230F38182ED2}">
  <sheetPr codeName="Sheet3"/>
  <dimension ref="A1:D67"/>
  <sheetViews>
    <sheetView workbookViewId="0">
      <selection activeCell="B24" sqref="B24"/>
    </sheetView>
  </sheetViews>
  <sheetFormatPr defaultRowHeight="15" x14ac:dyDescent="0.25"/>
  <cols>
    <col min="3" max="3" width="17.5703125" customWidth="1"/>
  </cols>
  <sheetData>
    <row r="1" spans="1:4" ht="15.75" thickBot="1" x14ac:dyDescent="0.3">
      <c r="A1" s="28"/>
      <c r="B1" s="32"/>
      <c r="C1" s="37" t="s">
        <v>270</v>
      </c>
      <c r="D1" s="37"/>
    </row>
    <row r="2" spans="1:4" ht="15.75" thickBot="1" x14ac:dyDescent="0.3">
      <c r="A2" s="41">
        <v>42735</v>
      </c>
      <c r="B2" s="33">
        <v>-189.3</v>
      </c>
      <c r="C2" s="39" t="s">
        <v>272</v>
      </c>
    </row>
    <row r="3" spans="1:4" ht="15.75" thickBot="1" x14ac:dyDescent="0.3">
      <c r="A3" s="41">
        <v>42766</v>
      </c>
      <c r="B3" s="33">
        <v>-189.3</v>
      </c>
      <c r="C3" s="39" t="s">
        <v>272</v>
      </c>
    </row>
    <row r="4" spans="1:4" ht="15.75" thickBot="1" x14ac:dyDescent="0.3">
      <c r="A4" s="41">
        <v>42794</v>
      </c>
      <c r="B4" s="33">
        <v>-242.1</v>
      </c>
      <c r="C4" s="39" t="s">
        <v>272</v>
      </c>
    </row>
    <row r="5" spans="1:4" ht="15.75" thickBot="1" x14ac:dyDescent="0.3">
      <c r="A5" s="42">
        <v>43069</v>
      </c>
      <c r="B5" s="33">
        <v>-105.42666666666666</v>
      </c>
      <c r="C5" s="39" t="s">
        <v>272</v>
      </c>
    </row>
    <row r="6" spans="1:4" ht="15.75" thickBot="1" x14ac:dyDescent="0.3">
      <c r="A6" s="42">
        <v>43084</v>
      </c>
      <c r="B6" s="33">
        <v>-52.713333333333324</v>
      </c>
      <c r="C6" s="39" t="s">
        <v>272</v>
      </c>
    </row>
    <row r="7" spans="1:4" ht="15.75" thickBot="1" x14ac:dyDescent="0.3">
      <c r="A7" s="42">
        <v>43100</v>
      </c>
      <c r="B7" s="33">
        <v>-120.25</v>
      </c>
      <c r="C7" s="39" t="s">
        <v>272</v>
      </c>
    </row>
    <row r="8" spans="1:4" ht="15.75" thickBot="1" x14ac:dyDescent="0.3">
      <c r="A8" s="42">
        <v>43131</v>
      </c>
      <c r="B8" s="33">
        <v>-240.5</v>
      </c>
      <c r="C8" s="39" t="s">
        <v>272</v>
      </c>
    </row>
    <row r="9" spans="1:4" ht="15.75" thickBot="1" x14ac:dyDescent="0.3">
      <c r="A9" s="42">
        <v>43144</v>
      </c>
      <c r="B9" s="33">
        <v>-76.319999999999993</v>
      </c>
      <c r="C9" s="39" t="s">
        <v>272</v>
      </c>
    </row>
    <row r="10" spans="1:4" ht="15.75" thickBot="1" x14ac:dyDescent="0.3">
      <c r="A10" s="42">
        <v>43149</v>
      </c>
      <c r="B10" s="33">
        <v>-31.04</v>
      </c>
      <c r="C10" s="39" t="s">
        <v>272</v>
      </c>
    </row>
    <row r="11" spans="1:4" ht="15.75" thickBot="1" x14ac:dyDescent="0.3">
      <c r="A11" s="42">
        <v>43434</v>
      </c>
      <c r="B11" s="33">
        <v>-133.25</v>
      </c>
      <c r="C11" s="39" t="s">
        <v>272</v>
      </c>
    </row>
    <row r="12" spans="1:4" ht="15.75" thickBot="1" x14ac:dyDescent="0.3">
      <c r="A12" s="42">
        <v>43465</v>
      </c>
      <c r="B12" s="33">
        <v>-274.9376119402985</v>
      </c>
      <c r="C12" s="39" t="s">
        <v>272</v>
      </c>
    </row>
    <row r="13" spans="1:4" ht="15.75" thickBot="1" x14ac:dyDescent="0.3">
      <c r="A13" s="42">
        <v>43496</v>
      </c>
      <c r="B13" s="33">
        <v>-274.9376119402985</v>
      </c>
      <c r="C13" s="39" t="s">
        <v>272</v>
      </c>
    </row>
    <row r="14" spans="1:4" ht="15.75" thickBot="1" x14ac:dyDescent="0.3">
      <c r="A14" s="42">
        <v>43501</v>
      </c>
      <c r="B14" s="33">
        <v>-44.344776119402987</v>
      </c>
      <c r="C14" s="39" t="s">
        <v>272</v>
      </c>
    </row>
    <row r="15" spans="1:4" ht="15.75" thickBot="1" x14ac:dyDescent="0.3">
      <c r="A15" s="42">
        <v>43524</v>
      </c>
      <c r="B15" s="33">
        <v>-127.68</v>
      </c>
      <c r="C15" s="39" t="s">
        <v>272</v>
      </c>
    </row>
    <row r="16" spans="1:4" ht="15.75" thickBot="1" x14ac:dyDescent="0.3">
      <c r="A16" s="42">
        <v>43799</v>
      </c>
      <c r="B16" s="33">
        <v>-192.76</v>
      </c>
      <c r="C16" s="39" t="s">
        <v>272</v>
      </c>
    </row>
    <row r="17" spans="1:3" ht="15.75" thickBot="1" x14ac:dyDescent="0.3">
      <c r="A17" s="42">
        <v>43830</v>
      </c>
      <c r="B17" s="33">
        <v>-347.97</v>
      </c>
      <c r="C17" s="39" t="s">
        <v>272</v>
      </c>
    </row>
    <row r="18" spans="1:3" ht="15.75" thickBot="1" x14ac:dyDescent="0.3">
      <c r="A18" s="42">
        <v>43496</v>
      </c>
      <c r="B18" s="33">
        <v>-347.97</v>
      </c>
      <c r="C18" s="39" t="s">
        <v>272</v>
      </c>
    </row>
    <row r="19" spans="1:3" ht="15.75" thickBot="1" x14ac:dyDescent="0.3">
      <c r="A19" s="42">
        <v>43889</v>
      </c>
      <c r="B19" s="33">
        <v>-112.44</v>
      </c>
      <c r="C19" s="39" t="s">
        <v>272</v>
      </c>
    </row>
    <row r="20" spans="1:3" ht="15.75" thickBot="1" x14ac:dyDescent="0.3">
      <c r="A20" s="43">
        <v>43921</v>
      </c>
      <c r="B20" s="33">
        <v>-133.52500000000001</v>
      </c>
      <c r="C20" s="39" t="s">
        <v>272</v>
      </c>
    </row>
    <row r="21" spans="1:3" ht="15.75" thickBot="1" x14ac:dyDescent="0.3">
      <c r="A21" s="1">
        <v>43951</v>
      </c>
      <c r="B21" s="33">
        <v>-133.52500000000001</v>
      </c>
      <c r="C21" s="39" t="s">
        <v>272</v>
      </c>
    </row>
    <row r="22" spans="1:3" ht="15.75" thickBot="1" x14ac:dyDescent="0.3">
      <c r="A22" s="1">
        <v>43982</v>
      </c>
      <c r="B22" s="33">
        <v>-133.52500000000001</v>
      </c>
      <c r="C22" s="39" t="s">
        <v>272</v>
      </c>
    </row>
    <row r="23" spans="1:3" ht="15.75" thickBot="1" x14ac:dyDescent="0.3">
      <c r="A23" s="1">
        <v>44012</v>
      </c>
      <c r="B23" s="33">
        <v>-133.52500000000001</v>
      </c>
      <c r="C23" s="39" t="s">
        <v>272</v>
      </c>
    </row>
    <row r="24" spans="1:3" ht="15.75" thickBot="1" x14ac:dyDescent="0.3">
      <c r="A24" s="41">
        <v>42735</v>
      </c>
      <c r="B24" s="33">
        <v>-157.19999999999999</v>
      </c>
      <c r="C24" s="44" t="s">
        <v>273</v>
      </c>
    </row>
    <row r="25" spans="1:3" ht="15.75" thickBot="1" x14ac:dyDescent="0.3">
      <c r="A25" s="41">
        <v>42766</v>
      </c>
      <c r="B25" s="33">
        <v>-157.19999999999999</v>
      </c>
      <c r="C25" s="44" t="s">
        <v>273</v>
      </c>
    </row>
    <row r="26" spans="1:3" ht="15.75" thickBot="1" x14ac:dyDescent="0.3">
      <c r="A26" s="41">
        <v>42794</v>
      </c>
      <c r="B26" s="33">
        <v>-246.6</v>
      </c>
      <c r="C26" s="44" t="s">
        <v>273</v>
      </c>
    </row>
    <row r="27" spans="1:3" ht="15.75" thickBot="1" x14ac:dyDescent="0.3">
      <c r="A27" s="42">
        <v>43069</v>
      </c>
      <c r="B27" s="33">
        <v>-156.4</v>
      </c>
      <c r="C27" s="44" t="s">
        <v>273</v>
      </c>
    </row>
    <row r="28" spans="1:3" ht="15.75" thickBot="1" x14ac:dyDescent="0.3">
      <c r="A28" s="42">
        <v>43084</v>
      </c>
      <c r="B28" s="33">
        <v>-78.199999999999989</v>
      </c>
      <c r="C28" s="44" t="s">
        <v>273</v>
      </c>
    </row>
    <row r="29" spans="1:3" ht="15.75" thickBot="1" x14ac:dyDescent="0.3">
      <c r="A29" s="42">
        <v>43100</v>
      </c>
      <c r="B29" s="33">
        <v>-68.579499999999996</v>
      </c>
      <c r="C29" s="44" t="s">
        <v>273</v>
      </c>
    </row>
    <row r="30" spans="1:3" ht="15.75" thickBot="1" x14ac:dyDescent="0.3">
      <c r="A30" s="42">
        <v>43131</v>
      </c>
      <c r="B30" s="33">
        <v>-137.15899999999999</v>
      </c>
      <c r="C30" s="44" t="s">
        <v>273</v>
      </c>
    </row>
    <row r="31" spans="1:3" ht="15.75" thickBot="1" x14ac:dyDescent="0.3">
      <c r="A31" s="42">
        <v>43144</v>
      </c>
      <c r="B31" s="33">
        <v>-73.961766670000003</v>
      </c>
      <c r="C31" s="44" t="s">
        <v>273</v>
      </c>
    </row>
    <row r="32" spans="1:3" ht="15.75" thickBot="1" x14ac:dyDescent="0.3">
      <c r="A32" s="42">
        <v>43149</v>
      </c>
      <c r="B32" s="33">
        <v>-21.1</v>
      </c>
      <c r="C32" s="44" t="s">
        <v>273</v>
      </c>
    </row>
    <row r="33" spans="1:3" ht="15.75" thickBot="1" x14ac:dyDescent="0.3">
      <c r="A33" s="42">
        <v>43434</v>
      </c>
      <c r="B33" s="33">
        <v>-130.82499999999999</v>
      </c>
      <c r="C33" s="44" t="s">
        <v>273</v>
      </c>
    </row>
    <row r="34" spans="1:3" ht="15.75" thickBot="1" x14ac:dyDescent="0.3">
      <c r="A34" s="42">
        <v>43465</v>
      </c>
      <c r="B34" s="33">
        <v>-166.90713608955224</v>
      </c>
      <c r="C34" s="44" t="s">
        <v>273</v>
      </c>
    </row>
    <row r="35" spans="1:3" ht="15.75" thickBot="1" x14ac:dyDescent="0.3">
      <c r="A35" s="42">
        <v>43496</v>
      </c>
      <c r="B35" s="33">
        <v>-166.90713608955224</v>
      </c>
      <c r="C35" s="44" t="s">
        <v>273</v>
      </c>
    </row>
    <row r="36" spans="1:3" ht="15.75" thickBot="1" x14ac:dyDescent="0.3">
      <c r="A36" s="42">
        <v>43501</v>
      </c>
      <c r="B36" s="33">
        <v>-26.920505820895521</v>
      </c>
      <c r="C36" s="44" t="s">
        <v>273</v>
      </c>
    </row>
    <row r="37" spans="1:3" ht="15.75" thickBot="1" x14ac:dyDescent="0.3">
      <c r="A37" s="42">
        <v>43524</v>
      </c>
      <c r="B37" s="33">
        <v>-164.4634203</v>
      </c>
      <c r="C37" s="44" t="s">
        <v>273</v>
      </c>
    </row>
    <row r="38" spans="1:3" ht="15.75" thickBot="1" x14ac:dyDescent="0.3">
      <c r="A38" s="42">
        <v>43799</v>
      </c>
      <c r="B38" s="33">
        <v>-149.31800000000001</v>
      </c>
      <c r="C38" s="44" t="s">
        <v>273</v>
      </c>
    </row>
    <row r="39" spans="1:3" ht="15.75" thickBot="1" x14ac:dyDescent="0.3">
      <c r="A39" s="42">
        <v>43830</v>
      </c>
      <c r="B39" s="33">
        <v>-197.64</v>
      </c>
      <c r="C39" s="44" t="s">
        <v>273</v>
      </c>
    </row>
    <row r="40" spans="1:3" ht="15.75" thickBot="1" x14ac:dyDescent="0.3">
      <c r="A40" s="42">
        <v>43496</v>
      </c>
      <c r="B40" s="33">
        <v>-197.64</v>
      </c>
      <c r="C40" s="44" t="s">
        <v>273</v>
      </c>
    </row>
    <row r="41" spans="1:3" ht="15.75" thickBot="1" x14ac:dyDescent="0.3">
      <c r="A41" s="42">
        <v>43889</v>
      </c>
      <c r="B41" s="33">
        <v>-215.42929290000001</v>
      </c>
      <c r="C41" s="44" t="s">
        <v>273</v>
      </c>
    </row>
    <row r="42" spans="1:3" ht="15.75" thickBot="1" x14ac:dyDescent="0.3">
      <c r="A42" s="43">
        <v>43921</v>
      </c>
      <c r="B42" s="33">
        <v>-151.59</v>
      </c>
      <c r="C42" s="44" t="s">
        <v>273</v>
      </c>
    </row>
    <row r="43" spans="1:3" ht="15.75" thickBot="1" x14ac:dyDescent="0.3">
      <c r="A43" s="1">
        <v>43951</v>
      </c>
      <c r="B43" s="33">
        <v>-151.59</v>
      </c>
      <c r="C43" s="44" t="s">
        <v>273</v>
      </c>
    </row>
    <row r="44" spans="1:3" ht="15.75" thickBot="1" x14ac:dyDescent="0.3">
      <c r="A44" s="1">
        <v>43982</v>
      </c>
      <c r="B44" s="33">
        <v>-151.59</v>
      </c>
      <c r="C44" s="44" t="s">
        <v>273</v>
      </c>
    </row>
    <row r="45" spans="1:3" ht="15.75" thickBot="1" x14ac:dyDescent="0.3">
      <c r="A45" s="1">
        <v>44012</v>
      </c>
      <c r="B45" s="33">
        <v>-151.59</v>
      </c>
      <c r="C45" s="44" t="s">
        <v>273</v>
      </c>
    </row>
    <row r="46" spans="1:3" ht="27" thickBot="1" x14ac:dyDescent="0.3">
      <c r="A46" s="41">
        <v>42735</v>
      </c>
      <c r="B46" s="33">
        <v>-238.8</v>
      </c>
      <c r="C46" s="44" t="s">
        <v>274</v>
      </c>
    </row>
    <row r="47" spans="1:3" ht="27" thickBot="1" x14ac:dyDescent="0.3">
      <c r="A47" s="41">
        <v>42766</v>
      </c>
      <c r="B47" s="33">
        <v>-238.8</v>
      </c>
      <c r="C47" s="44" t="s">
        <v>274</v>
      </c>
    </row>
    <row r="48" spans="1:3" ht="27" thickBot="1" x14ac:dyDescent="0.3">
      <c r="A48" s="41">
        <v>42794</v>
      </c>
      <c r="B48" s="33">
        <v>-323.10000000000002</v>
      </c>
      <c r="C48" s="44" t="s">
        <v>274</v>
      </c>
    </row>
    <row r="49" spans="1:3" ht="27" thickBot="1" x14ac:dyDescent="0.3">
      <c r="A49" s="42">
        <v>43069</v>
      </c>
      <c r="B49" s="33">
        <v>-125.48</v>
      </c>
      <c r="C49" s="44" t="s">
        <v>274</v>
      </c>
    </row>
    <row r="50" spans="1:3" ht="27" thickBot="1" x14ac:dyDescent="0.3">
      <c r="A50" s="42">
        <v>43084</v>
      </c>
      <c r="B50" s="33">
        <v>-62.739999999999995</v>
      </c>
      <c r="C50" s="44" t="s">
        <v>274</v>
      </c>
    </row>
    <row r="51" spans="1:3" ht="27" thickBot="1" x14ac:dyDescent="0.3">
      <c r="A51" s="42">
        <v>43100</v>
      </c>
      <c r="B51" s="33">
        <v>-59.106666666666662</v>
      </c>
      <c r="C51" s="44" t="s">
        <v>274</v>
      </c>
    </row>
    <row r="52" spans="1:3" ht="27" thickBot="1" x14ac:dyDescent="0.3">
      <c r="A52" s="42">
        <v>43131</v>
      </c>
      <c r="B52" s="33">
        <v>-118.21333333333332</v>
      </c>
      <c r="C52" s="44" t="s">
        <v>274</v>
      </c>
    </row>
    <row r="53" spans="1:3" ht="27" thickBot="1" x14ac:dyDescent="0.3">
      <c r="A53" s="42">
        <v>43144</v>
      </c>
      <c r="B53" s="33">
        <v>-61.62</v>
      </c>
      <c r="C53" s="44" t="s">
        <v>274</v>
      </c>
    </row>
    <row r="54" spans="1:3" ht="27" thickBot="1" x14ac:dyDescent="0.3">
      <c r="A54" s="42">
        <v>43149</v>
      </c>
      <c r="B54" s="33">
        <v>-27.52</v>
      </c>
      <c r="C54" s="44" t="s">
        <v>274</v>
      </c>
    </row>
    <row r="55" spans="1:3" ht="27" thickBot="1" x14ac:dyDescent="0.3">
      <c r="A55" s="42">
        <v>43434</v>
      </c>
      <c r="B55" s="33">
        <v>-158.53</v>
      </c>
      <c r="C55" s="44" t="s">
        <v>274</v>
      </c>
    </row>
    <row r="56" spans="1:3" ht="27" thickBot="1" x14ac:dyDescent="0.3">
      <c r="A56" s="42">
        <v>43465</v>
      </c>
      <c r="B56" s="33">
        <v>-137.15880597014925</v>
      </c>
      <c r="C56" s="44" t="s">
        <v>274</v>
      </c>
    </row>
    <row r="57" spans="1:3" ht="27" thickBot="1" x14ac:dyDescent="0.3">
      <c r="A57" s="42">
        <v>43496</v>
      </c>
      <c r="B57" s="33">
        <v>-137.15880597014925</v>
      </c>
      <c r="C57" s="44" t="s">
        <v>274</v>
      </c>
    </row>
    <row r="58" spans="1:3" ht="27" thickBot="1" x14ac:dyDescent="0.3">
      <c r="A58" s="42">
        <v>43501</v>
      </c>
      <c r="B58" s="33">
        <v>-22.122388059701489</v>
      </c>
      <c r="C58" s="44" t="s">
        <v>274</v>
      </c>
    </row>
    <row r="59" spans="1:3" ht="27" thickBot="1" x14ac:dyDescent="0.3">
      <c r="A59" s="42">
        <v>43524</v>
      </c>
      <c r="B59" s="33">
        <v>-84.16</v>
      </c>
      <c r="C59" s="44" t="s">
        <v>274</v>
      </c>
    </row>
    <row r="60" spans="1:3" ht="27" thickBot="1" x14ac:dyDescent="0.3">
      <c r="A60" s="42">
        <v>43799</v>
      </c>
      <c r="B60" s="33">
        <v>-171.86</v>
      </c>
      <c r="C60" s="44" t="s">
        <v>274</v>
      </c>
    </row>
    <row r="61" spans="1:3" ht="27" thickBot="1" x14ac:dyDescent="0.3">
      <c r="A61" s="42">
        <v>43830</v>
      </c>
      <c r="B61" s="33">
        <v>-134.715</v>
      </c>
      <c r="C61" s="44" t="s">
        <v>274</v>
      </c>
    </row>
    <row r="62" spans="1:3" ht="27" thickBot="1" x14ac:dyDescent="0.3">
      <c r="A62" s="42">
        <v>43496</v>
      </c>
      <c r="B62" s="33">
        <v>-134.715</v>
      </c>
      <c r="C62" s="44" t="s">
        <v>274</v>
      </c>
    </row>
    <row r="63" spans="1:3" ht="27" thickBot="1" x14ac:dyDescent="0.3">
      <c r="A63" s="42">
        <v>43889</v>
      </c>
      <c r="B63" s="33">
        <v>-162.66</v>
      </c>
      <c r="C63" s="44" t="s">
        <v>274</v>
      </c>
    </row>
    <row r="64" spans="1:3" ht="27" thickBot="1" x14ac:dyDescent="0.3">
      <c r="A64" s="43">
        <v>43921</v>
      </c>
      <c r="B64" s="33">
        <v>-145.12</v>
      </c>
      <c r="C64" s="44" t="s">
        <v>274</v>
      </c>
    </row>
    <row r="65" spans="1:3" ht="27" thickBot="1" x14ac:dyDescent="0.3">
      <c r="A65" s="1">
        <v>43951</v>
      </c>
      <c r="B65" s="33">
        <v>-145.12</v>
      </c>
      <c r="C65" s="44" t="s">
        <v>274</v>
      </c>
    </row>
    <row r="66" spans="1:3" ht="27" thickBot="1" x14ac:dyDescent="0.3">
      <c r="A66" s="1">
        <v>43982</v>
      </c>
      <c r="B66" s="33">
        <v>-145.12</v>
      </c>
      <c r="C66" s="44" t="s">
        <v>274</v>
      </c>
    </row>
    <row r="67" spans="1:3" ht="27" thickBot="1" x14ac:dyDescent="0.3">
      <c r="A67" s="1">
        <v>44012</v>
      </c>
      <c r="B67" s="33">
        <v>-145.12</v>
      </c>
      <c r="C67" s="44" t="s">
        <v>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Sheet3</vt:lpstr>
      <vt:lpstr>KRUISTABEL_IN_UIT</vt:lpstr>
      <vt:lpstr>Sheet2</vt:lpstr>
      <vt:lpstr>KRUISTABEL</vt:lpstr>
      <vt:lpstr>Sheet1</vt:lpstr>
      <vt:lpstr>Sheet4</vt:lpstr>
      <vt:lpstr>kruistabel bron</vt:lpstr>
      <vt:lpstr>INVOER</vt:lpstr>
      <vt:lpstr>RUBRIEKEN</vt:lpstr>
      <vt:lpstr>PER DAG</vt:lpstr>
      <vt:lpstr>AZIE</vt:lpstr>
      <vt:lpstr>Blad28</vt:lpstr>
      <vt:lpstr>Blad29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Smit</dc:creator>
  <cp:lastModifiedBy>René Smit</cp:lastModifiedBy>
  <dcterms:created xsi:type="dcterms:W3CDTF">2019-08-01T11:03:45Z</dcterms:created>
  <dcterms:modified xsi:type="dcterms:W3CDTF">2023-05-09T19:13:04Z</dcterms:modified>
</cp:coreProperties>
</file>